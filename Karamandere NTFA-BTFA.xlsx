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4385" yWindow="-15" windowWidth="14430" windowHeight="12585" activeTab="5"/>
  </bookViews>
  <sheets>
    <sheet name="T3.1" sheetId="7" r:id="rId1"/>
    <sheet name="7.1 AGİ-YAMA" sheetId="11" r:id="rId2"/>
    <sheet name="T7.2BTFA" sheetId="4" r:id="rId3"/>
    <sheet name="NTFA" sheetId="1" state="hidden" r:id="rId4"/>
    <sheet name="Ş7.1 A-Q2" sheetId="6" r:id="rId5"/>
    <sheet name="Ş7.2 A-Q100" sheetId="8" r:id="rId6"/>
    <sheet name="Ş7.3 A-Qmax" sheetId="9" state="hidden" r:id="rId7"/>
    <sheet name="T7.3 MMY" sheetId="12" r:id="rId8"/>
    <sheet name="T7.4" sheetId="3" r:id="rId9"/>
    <sheet name="T7.9" sheetId="10" r:id="rId10"/>
    <sheet name="T7.10 bolgesel hid" sheetId="13" r:id="rId11"/>
    <sheet name="T7.11" sheetId="1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a">#REF!</definedName>
    <definedName name="\p">#N/A</definedName>
    <definedName name="__________________de2">[1]yENİCE!#REF!</definedName>
    <definedName name="_________________de2">[1]yENİCE!#REF!</definedName>
    <definedName name="_________________xx1">#REF!</definedName>
    <definedName name="________________de2">[1]yENİCE!#REF!</definedName>
    <definedName name="________________xx1">#REF!</definedName>
    <definedName name="_______________de2">[1]yENİCE!#REF!</definedName>
    <definedName name="_______________xx1">#REF!</definedName>
    <definedName name="______________de2">[1]yENİCE!#REF!</definedName>
    <definedName name="______________xx1">#REF!</definedName>
    <definedName name="_____________de2">[1]yENİCE!#REF!</definedName>
    <definedName name="_____________xx1">#REF!</definedName>
    <definedName name="____________de2">[1]yENİCE!#REF!</definedName>
    <definedName name="____________T1">[1]yENİCE!#REF!</definedName>
    <definedName name="____________xx1">#REF!</definedName>
    <definedName name="___________de2">[1]yENİCE!#REF!</definedName>
    <definedName name="___________T1">[1]yENİCE!#REF!</definedName>
    <definedName name="___________xx1">#REF!</definedName>
    <definedName name="___________xx2">#REF!</definedName>
    <definedName name="__________de2">[1]yENİCE!#REF!</definedName>
    <definedName name="__________T1">[1]yENİCE!#REF!</definedName>
    <definedName name="__________xx1">#REF!</definedName>
    <definedName name="_________de2">[1]yENİCE!#REF!</definedName>
    <definedName name="_________T1">[1]yENİCE!#REF!</definedName>
    <definedName name="_________xx1">#REF!</definedName>
    <definedName name="________3">[1]yENİCE!#REF!</definedName>
    <definedName name="________de2">[1]yENİCE!#REF!</definedName>
    <definedName name="________T1">[1]yENİCE!#REF!</definedName>
    <definedName name="________xx1">#REF!</definedName>
    <definedName name="_______de2">[2]yENİCE!#REF!</definedName>
    <definedName name="_______T1">[1]yENİCE!#REF!</definedName>
    <definedName name="_______xx1">#REF!</definedName>
    <definedName name="______de2">[2]yENİCE!#REF!</definedName>
    <definedName name="______T1">[1]yENİCE!#REF!</definedName>
    <definedName name="______xx1">#REF!</definedName>
    <definedName name="_____de2">[3]yENİCE!#REF!</definedName>
    <definedName name="_____T1">[1]yENİCE!#REF!</definedName>
    <definedName name="_____xx1">#REF!</definedName>
    <definedName name="____de2">[3]yENİCE!#REF!</definedName>
    <definedName name="____T1">[1]yENİCE!#REF!</definedName>
    <definedName name="____xx1">#REF!</definedName>
    <definedName name="___1Yazdırma_Alanı_MI">#REF!</definedName>
    <definedName name="___de2">[3]yENİCE!#REF!</definedName>
    <definedName name="___T1">[1]yENİCE!#REF!</definedName>
    <definedName name="___xx1">#REF!</definedName>
    <definedName name="__123Graph_A" hidden="1">[4]YAĞIŞ!#REF!</definedName>
    <definedName name="__1Yazdırma_Alanı_MI">#REF!</definedName>
    <definedName name="__de2">[5]yENİCE!#REF!</definedName>
    <definedName name="__HCO3">#REF!</definedName>
    <definedName name="__OPO4">#REF!</definedName>
    <definedName name="__SO4">#REF!</definedName>
    <definedName name="__T1">[5]yENİCE!#REF!</definedName>
    <definedName name="__xx1">#REF!</definedName>
    <definedName name="_123">[1]yENİCE!#REF!</definedName>
    <definedName name="_1Yazdırma_Alanı_MI">#REF!</definedName>
    <definedName name="_21Yazdırma_Alanı_MI">#REF!</definedName>
    <definedName name="_2Yazdırma_Alanı_MI">#REF!</definedName>
    <definedName name="_5Yazdırma_Alanı_MI">#REF!</definedName>
    <definedName name="_6Yazdırma_Alanı_MI">#REF!</definedName>
    <definedName name="_a1">#REF!</definedName>
    <definedName name="_a2">#REF!</definedName>
    <definedName name="_b1">#REF!</definedName>
    <definedName name="_b2">#REF!</definedName>
    <definedName name="_c1">#REF!</definedName>
    <definedName name="_de2">[5]yENİCE!#REF!</definedName>
    <definedName name="_Fill" hidden="1">#REF!</definedName>
    <definedName name="_HCO3">#REF!</definedName>
    <definedName name="_OPO4">#REF!</definedName>
    <definedName name="_SO4">#REF!</definedName>
    <definedName name="_T1">[5]yENİCE!#REF!</definedName>
    <definedName name="_Tab21">#REF!</definedName>
    <definedName name="_TMAutoChartCount" hidden="1">1</definedName>
    <definedName name="_xx1">#REF!</definedName>
    <definedName name="a">#REF!</definedName>
    <definedName name="a1_">#REF!</definedName>
    <definedName name="a100_">#REF!</definedName>
    <definedName name="a2_">#REF!</definedName>
    <definedName name="a233_">#REF!</definedName>
    <definedName name="a3_">#REF!</definedName>
    <definedName name="aa">#REF!</definedName>
    <definedName name="aaa">#REF!</definedName>
    <definedName name="aaaaaaaaaa">#REF!</definedName>
    <definedName name="ABOLGE">#REF!</definedName>
    <definedName name="as">#REF!</definedName>
    <definedName name="as_">[6]input!$C$17</definedName>
    <definedName name="at_">[6]input!$C$22</definedName>
    <definedName name="AYKIR">'[7]tarla CIKTI'!#REF!</definedName>
    <definedName name="AzalmaOrani">#REF!</definedName>
    <definedName name="b">#REF!</definedName>
    <definedName name="b_123">#REF!</definedName>
    <definedName name="b1_">#REF!</definedName>
    <definedName name="b100_">#REF!</definedName>
    <definedName name="b2_">#REF!</definedName>
    <definedName name="b233_">#REF!</definedName>
    <definedName name="b3_">#REF!</definedName>
    <definedName name="BAS">#N/A</definedName>
    <definedName name="BBOLGE">#REF!</definedName>
    <definedName name="BOD">#REF!</definedName>
    <definedName name="bs_">[6]input!$C$18</definedName>
    <definedName name="bt_">[6]input!$C$23</definedName>
    <definedName name="BULANIK">#REF!</definedName>
    <definedName name="CA">#REF!</definedName>
    <definedName name="CAMG">#REF!</definedName>
    <definedName name="cc">#REF!</definedName>
    <definedName name="ce">#REF!</definedName>
    <definedName name="cemal">#REF!</definedName>
    <definedName name="cenk">#REF!</definedName>
    <definedName name="chtx">OFFSET(#REF!,1,0,datasayı,1)</definedName>
    <definedName name="chtx1">OFFSET(#REF!,1,0,datasayı,1)</definedName>
    <definedName name="chtx2">OFFSET(#REF!,1,0,datasayı,1)</definedName>
    <definedName name="chtx3">OFFSET(#REF!,1,0,datasayı,1)</definedName>
    <definedName name="chtx4">OFFSET(#REF!,1,0,datasayı,1)</definedName>
    <definedName name="chtx5">OFFSET(#REF!,1,0,datasayı,1)</definedName>
    <definedName name="chtx6">OFFSET(#REF!,1,0,datasayı,1)</definedName>
    <definedName name="chtx7">OFFSET(#REF!,1,0,datayıl,1)</definedName>
    <definedName name="chtx8">OFFSET(#REF!,1,0,datayıl,1)</definedName>
    <definedName name="chtx9">OFFSET(#REF!,1,0,datayıl,1)</definedName>
    <definedName name="chty">OFFSET(chtx,0,1,,)</definedName>
    <definedName name="chty1">OFFSET(chtx1,0,1,,)</definedName>
    <definedName name="chty2">OFFSET(chtx2,0,1,,)</definedName>
    <definedName name="chty3">OFFSET(chtx3,0,1,,)</definedName>
    <definedName name="chty4">OFFSET(chtx4,0,1,,)</definedName>
    <definedName name="chty5">OFFSET(chtx5,0,1,,)</definedName>
    <definedName name="chty6">OFFSET(chtx6,0,1,,)</definedName>
    <definedName name="chty7">OFFSET(chtx7,0,1,,)</definedName>
    <definedName name="chty8">OFFSET(chtx8,0,1,,)</definedName>
    <definedName name="chty9">OFFSET(chtx9,0,1,,)</definedName>
    <definedName name="CL">#REF!</definedName>
    <definedName name="CO">#REF!</definedName>
    <definedName name="CO3_">#REF!</definedName>
    <definedName name="d">#REF!</definedName>
    <definedName name="DAMLA">[8]CIKTI!#REF!</definedName>
    <definedName name="datasayı">#REF!</definedName>
    <definedName name="datayıl">#REF!</definedName>
    <definedName name="dd">[5]yENİCE!#REF!</definedName>
    <definedName name="dddd" localSheetId="10">[9]yENİCE!#REF!</definedName>
    <definedName name="dddd">[2]yENİCE!#REF!</definedName>
    <definedName name="Debi1" localSheetId="10">[10]yENİCE!#REF!</definedName>
    <definedName name="Debi1">[10]yENİCE!#REF!</definedName>
    <definedName name="debi2" localSheetId="10">[9]yENİCE!#REF!</definedName>
    <definedName name="debi2">[2]yENİCE!#REF!</definedName>
    <definedName name="depolamakatsayisi">#REF!</definedName>
    <definedName name="DO">#REF!</definedName>
    <definedName name="Duzlt">#REF!</definedName>
    <definedName name="e">#REF!</definedName>
    <definedName name="EC">#REF!</definedName>
    <definedName name="eeee">#REF!</definedName>
    <definedName name="emn">OFFSET(#REF!,1,0,datasayı,1)</definedName>
    <definedName name="enerkas">#REF!</definedName>
    <definedName name="ere">[5]yENİCE!#REF!</definedName>
    <definedName name="F">#REF!</definedName>
    <definedName name="FE">#REF!</definedName>
    <definedName name="FSTRP">#REF!</definedName>
    <definedName name="g">#REF!</definedName>
    <definedName name="gel">#REF!</definedName>
    <definedName name="gelll">#REF!</definedName>
    <definedName name="GIRISTAB">#REF!</definedName>
    <definedName name="GirisQ">[11]Sheet1!$J$2:$J$148</definedName>
    <definedName name="Girist">[11]Sheet1!$H$2:$H$148</definedName>
    <definedName name="GRAFİK2" hidden="1">#REF!</definedName>
    <definedName name="GRF">[5]yENİCE!#REF!</definedName>
    <definedName name="gul">[12]tefen_hes!#REF!</definedName>
    <definedName name="gygh">[1]yENİCE!#REF!</definedName>
    <definedName name="H">#REF!</definedName>
    <definedName name="HE">#REF!</definedName>
    <definedName name="ISTASYONNO">#REF!</definedName>
    <definedName name="İC">#REF!</definedName>
    <definedName name="İÇ">#REF!</definedName>
    <definedName name="İÇ1">#REF!</definedName>
    <definedName name="ii" localSheetId="10">#REF!</definedName>
    <definedName name="ii">#REF!</definedName>
    <definedName name="ilmer">#REF!</definedName>
    <definedName name="isik" localSheetId="10">[13]yENİCE!#REF!</definedName>
    <definedName name="isik">[2]yENİCE!#REF!</definedName>
    <definedName name="K">#REF!</definedName>
    <definedName name="kandıra">#REF!</definedName>
    <definedName name="KASAENER">'[7]tarla CIKTI'!#REF!</definedName>
    <definedName name="kastablo">#REF!</definedName>
    <definedName name="_xlnm.Recorder">[14]TABLO!#REF!</definedName>
    <definedName name="KES">'[15]tarla CIKTI'!#REF!</definedName>
    <definedName name="KESME">#REF!</definedName>
    <definedName name="KESTABLO">#REF!</definedName>
    <definedName name="khgygcg">[1]yENİCE!#REF!</definedName>
    <definedName name="kjj">[1]yENİCE!#REF!</definedName>
    <definedName name="KTS">#REF!</definedName>
    <definedName name="lll">'[16]Tablo 4.31'!$A$1:$IV$65536</definedName>
    <definedName name="m">#REF!</definedName>
    <definedName name="medyan">#REF!</definedName>
    <definedName name="mgt_">#REF!</definedName>
    <definedName name="Min17_34">#REF!</definedName>
    <definedName name="Min17_35">#REF!</definedName>
    <definedName name="MinAra0">#REF!</definedName>
    <definedName name="MN">#REF!</definedName>
    <definedName name="n">#REF!</definedName>
    <definedName name="n_">[17]Alkumru!$D$70</definedName>
    <definedName name="NA">#REF!</definedName>
    <definedName name="NH3N">#REF!</definedName>
    <definedName name="NO2N">#REF!</definedName>
    <definedName name="NO3N">#REF!</definedName>
    <definedName name="Oran1">#REF!</definedName>
    <definedName name="p">#REF!</definedName>
    <definedName name="PH">#REF!</definedName>
    <definedName name="pppp">#REF!</definedName>
    <definedName name="PRINT_AREA_MI">#REF!</definedName>
    <definedName name="PRINT_TITLES_MI">#REF!</definedName>
    <definedName name="ProjeAlani">#REF!</definedName>
    <definedName name="PV">#REF!</definedName>
    <definedName name="Q2zarfı" hidden="1">#REF!</definedName>
    <definedName name="QDEBIM3SN">#REF!</definedName>
    <definedName name="qq">[18]Proje1!#REF!</definedName>
    <definedName name="RAF">[19]CIKTI!#REF!</definedName>
    <definedName name="rafet">[20]CIKTI!#REF!</definedName>
    <definedName name="Regulasyon">#REF!</definedName>
    <definedName name="RENK">#REF!</definedName>
    <definedName name="rr">[21]yENİCE!#REF!</definedName>
    <definedName name="s">#REF!</definedName>
    <definedName name="s4.1.16">#REF!</definedName>
    <definedName name="sd">[10]yENİCE!#REF!</definedName>
    <definedName name="sdfjklhasklşfhaskşghaşskghaf">[1]yENİCE!#REF!</definedName>
    <definedName name="sdfşlkgigj">[1]yENİCE!#REF!</definedName>
    <definedName name="sdlşfkgjselşrjg">[1]yENİCE!#REF!</definedName>
    <definedName name="ser.k.">#REF!</definedName>
    <definedName name="sfg">#REF!</definedName>
    <definedName name="SIRANO">#REF!</definedName>
    <definedName name="Sira">[11]Sheet1!$G$2:$G$148</definedName>
    <definedName name="ss">#REF!</definedName>
    <definedName name="st">OFFSET([22]Sheet3!$C$4,1,0,[0]!datasayı,1)</definedName>
    <definedName name="station">'[23]Annual data'!$A$3</definedName>
    <definedName name="T">#REF!</definedName>
    <definedName name="t..">OFFSET([22]Sheet3!$K$4,1,0,[0]!datasayı,1)</definedName>
    <definedName name="t3.999">#REF!</definedName>
    <definedName name="T4.566" localSheetId="10">#REF!</definedName>
    <definedName name="T4.566">#REF!</definedName>
    <definedName name="tablo">#REF!</definedName>
    <definedName name="tablo_3" hidden="1">#REF!</definedName>
    <definedName name="TARIH">#REF!</definedName>
    <definedName name="TavaKtsy">#REF!</definedName>
    <definedName name="TCOLI">#REF!</definedName>
    <definedName name="TDS">#REF!</definedName>
    <definedName name="teke2">[1]yENİCE!#REF!</definedName>
    <definedName name="Toplam_Sertlik">#REF!</definedName>
    <definedName name="veli">#REF!</definedName>
    <definedName name="veli.1">'[7]tarla CIKTI'!#REF!</definedName>
    <definedName name="veliler">#REF!</definedName>
    <definedName name="_xlnm.Database">#REF!</definedName>
    <definedName name="wqw">'[24]T-SIIRT.DMI'!$S$1</definedName>
    <definedName name="wrn.Ocak." hidden="1">{#N/A,#N/A,FALSE,"99yılı"}</definedName>
    <definedName name="ww">[25]CIKTI!#REF!</definedName>
    <definedName name="X_1">#REF!</definedName>
    <definedName name="x_2">#REF!</definedName>
    <definedName name="Xvalues">OFFSET([26]Sheet1!$B$2,[26]Routing!$Z$1-1,0,[26]Routing!$Y$1,1)</definedName>
    <definedName name="xx" localSheetId="10">[9]yENİCE!#REF!</definedName>
    <definedName name="xx">[13]yENİCE!#REF!</definedName>
    <definedName name="Y_1">#REF!</definedName>
    <definedName name="y_2">#REF!</definedName>
    <definedName name="yagis" localSheetId="10">[9]yENİCE!#REF!</definedName>
    <definedName name="yagis">[2]yENİCE!#REF!</definedName>
    <definedName name="YARIKPINAR">#REF!</definedName>
    <definedName name="YAT10">#REF!</definedName>
    <definedName name="YAT11">#REF!</definedName>
    <definedName name="YAT20">#REF!</definedName>
    <definedName name="YatakYuku">[6]input!$C$13</definedName>
    <definedName name="YATTTTT">#REF!</definedName>
    <definedName name="_xlnm.Print_Area" localSheetId="1">'7.1 AGİ-YAMA'!$A$1:$AL$71</definedName>
    <definedName name="_xlnm.Print_Area" localSheetId="10">'T7.10 bolgesel hid'!$A$3:$M$115</definedName>
    <definedName name="_xlnm.Print_Area" localSheetId="11">'T7.11'!$A$1:$J$114</definedName>
    <definedName name="_xlnm.Print_Area" localSheetId="2">T7.2BTFA!$A$1:$S$26</definedName>
    <definedName name="_xlnm.Print_Area" localSheetId="7">'T7.3 MMY'!$A$1:$J$54</definedName>
    <definedName name="_xlnm.Print_Area" localSheetId="8">'T7.4'!$A$1:$F$11</definedName>
    <definedName name="_xlnm.Print_Area">'[27]Tablo 4.31'!$A$1:$IV$65536</definedName>
    <definedName name="_xlnm.Print_Titles" localSheetId="10">'T7.10 bolgesel hid'!$3:$7</definedName>
    <definedName name="_xlnm.Print_Titles" localSheetId="11">'T7.11'!$1:$5</definedName>
    <definedName name="_xlnm.Print_Titles">#REF!</definedName>
    <definedName name="Yıllar" localSheetId="10">[28]Aybastı!#REF!</definedName>
    <definedName name="Yıllar">#REF!</definedName>
    <definedName name="yıllar2" localSheetId="10">[29]Aybastı!#REF!</definedName>
    <definedName name="yıllar2">[30]Aybastı!#REF!</definedName>
    <definedName name="Yvalues">OFFSET([31]!Xvalues,0,1)</definedName>
    <definedName name="Yvalues2">OFFSET([31]!Xvalues,0,2)</definedName>
  </definedNames>
  <calcPr calcId="162913"/>
  <fileRecoveryPr repairLoad="1"/>
</workbook>
</file>

<file path=xl/calcChain.xml><?xml version="1.0" encoding="utf-8"?>
<calcChain xmlns="http://schemas.openxmlformats.org/spreadsheetml/2006/main">
  <c r="N27" i="4" l="1"/>
  <c r="K8" i="14" l="1"/>
  <c r="L8" i="14"/>
  <c r="M8" i="14"/>
  <c r="N8" i="14"/>
  <c r="O8" i="14"/>
  <c r="P8" i="14"/>
  <c r="Q8" i="14"/>
  <c r="R8" i="14"/>
  <c r="S8" i="14"/>
  <c r="K9" i="14"/>
  <c r="L9" i="14"/>
  <c r="M9" i="14"/>
  <c r="N9" i="14"/>
  <c r="O9" i="14"/>
  <c r="P9" i="14"/>
  <c r="Q9" i="14"/>
  <c r="R9" i="14"/>
  <c r="S9" i="14"/>
  <c r="K10" i="14"/>
  <c r="L10" i="14"/>
  <c r="M10" i="14"/>
  <c r="N10" i="14"/>
  <c r="O10" i="14"/>
  <c r="P10" i="14"/>
  <c r="Q10" i="14"/>
  <c r="R10" i="14"/>
  <c r="S10" i="14"/>
  <c r="K11" i="14"/>
  <c r="L11" i="14"/>
  <c r="M11" i="14"/>
  <c r="N11" i="14"/>
  <c r="O11" i="14"/>
  <c r="P11" i="14"/>
  <c r="Q11" i="14"/>
  <c r="R11" i="14"/>
  <c r="S11" i="14"/>
  <c r="K12" i="14"/>
  <c r="L12" i="14"/>
  <c r="M12" i="14"/>
  <c r="N12" i="14"/>
  <c r="O12" i="14"/>
  <c r="P12" i="14"/>
  <c r="Q12" i="14"/>
  <c r="R12" i="14"/>
  <c r="S12" i="14"/>
  <c r="K13" i="14"/>
  <c r="L13" i="14"/>
  <c r="M13" i="14"/>
  <c r="N13" i="14"/>
  <c r="O13" i="14"/>
  <c r="P13" i="14"/>
  <c r="Q13" i="14"/>
  <c r="R13" i="14"/>
  <c r="S13" i="14"/>
  <c r="K14" i="14"/>
  <c r="L14" i="14"/>
  <c r="M14" i="14"/>
  <c r="N14" i="14"/>
  <c r="O14" i="14"/>
  <c r="P14" i="14"/>
  <c r="Q14" i="14"/>
  <c r="R14" i="14"/>
  <c r="S14" i="14"/>
  <c r="K15" i="14"/>
  <c r="L15" i="14"/>
  <c r="M15" i="14"/>
  <c r="N15" i="14"/>
  <c r="O15" i="14"/>
  <c r="P15" i="14"/>
  <c r="Q15" i="14"/>
  <c r="R15" i="14"/>
  <c r="S15" i="14"/>
  <c r="K16" i="14"/>
  <c r="L16" i="14"/>
  <c r="M16" i="14"/>
  <c r="N16" i="14"/>
  <c r="O16" i="14"/>
  <c r="P16" i="14"/>
  <c r="Q16" i="14"/>
  <c r="R16" i="14"/>
  <c r="S16" i="14"/>
  <c r="K17" i="14"/>
  <c r="L17" i="14"/>
  <c r="M17" i="14"/>
  <c r="N17" i="14"/>
  <c r="O17" i="14"/>
  <c r="P17" i="14"/>
  <c r="Q17" i="14"/>
  <c r="R17" i="14"/>
  <c r="S17" i="14"/>
  <c r="K18" i="14"/>
  <c r="L18" i="14"/>
  <c r="M18" i="14"/>
  <c r="N18" i="14"/>
  <c r="O18" i="14"/>
  <c r="P18" i="14"/>
  <c r="Q18" i="14"/>
  <c r="R18" i="14"/>
  <c r="S18" i="14"/>
  <c r="K19" i="14"/>
  <c r="L19" i="14"/>
  <c r="M19" i="14"/>
  <c r="N19" i="14"/>
  <c r="O19" i="14"/>
  <c r="P19" i="14"/>
  <c r="Q19" i="14"/>
  <c r="R19" i="14"/>
  <c r="S19" i="14"/>
  <c r="K20" i="14"/>
  <c r="L20" i="14"/>
  <c r="M20" i="14"/>
  <c r="N20" i="14"/>
  <c r="O20" i="14"/>
  <c r="P20" i="14"/>
  <c r="Q20" i="14"/>
  <c r="R20" i="14"/>
  <c r="S20" i="14"/>
  <c r="K21" i="14"/>
  <c r="L21" i="14"/>
  <c r="M21" i="14"/>
  <c r="N21" i="14"/>
  <c r="O21" i="14"/>
  <c r="P21" i="14"/>
  <c r="Q21" i="14"/>
  <c r="R21" i="14"/>
  <c r="S21" i="14"/>
  <c r="K22" i="14"/>
  <c r="L22" i="14"/>
  <c r="M22" i="14"/>
  <c r="N22" i="14"/>
  <c r="O22" i="14"/>
  <c r="P22" i="14"/>
  <c r="Q22" i="14"/>
  <c r="R22" i="14"/>
  <c r="S22" i="14"/>
  <c r="K23" i="14"/>
  <c r="L23" i="14"/>
  <c r="M23" i="14"/>
  <c r="N23" i="14"/>
  <c r="O23" i="14"/>
  <c r="P23" i="14"/>
  <c r="Q23" i="14"/>
  <c r="R23" i="14"/>
  <c r="S23" i="14"/>
  <c r="K24" i="14"/>
  <c r="L24" i="14"/>
  <c r="M24" i="14"/>
  <c r="N24" i="14"/>
  <c r="O24" i="14"/>
  <c r="P24" i="14"/>
  <c r="Q24" i="14"/>
  <c r="R24" i="14"/>
  <c r="S24" i="14"/>
  <c r="K25" i="14"/>
  <c r="L25" i="14"/>
  <c r="M25" i="14"/>
  <c r="N25" i="14"/>
  <c r="O25" i="14"/>
  <c r="P25" i="14"/>
  <c r="Q25" i="14"/>
  <c r="R25" i="14"/>
  <c r="S25" i="14"/>
  <c r="K26" i="14"/>
  <c r="L26" i="14"/>
  <c r="M26" i="14"/>
  <c r="N26" i="14"/>
  <c r="O26" i="14"/>
  <c r="P26" i="14"/>
  <c r="Q26" i="14"/>
  <c r="R26" i="14"/>
  <c r="S26" i="14"/>
  <c r="K27" i="14"/>
  <c r="L27" i="14"/>
  <c r="M27" i="14"/>
  <c r="N27" i="14"/>
  <c r="O27" i="14"/>
  <c r="P27" i="14"/>
  <c r="Q27" i="14"/>
  <c r="R27" i="14"/>
  <c r="S27" i="14"/>
  <c r="K28" i="14"/>
  <c r="L28" i="14"/>
  <c r="M28" i="14"/>
  <c r="N28" i="14"/>
  <c r="O28" i="14"/>
  <c r="P28" i="14"/>
  <c r="Q28" i="14"/>
  <c r="R28" i="14"/>
  <c r="S28" i="14"/>
  <c r="K29" i="14"/>
  <c r="L29" i="14"/>
  <c r="M29" i="14"/>
  <c r="N29" i="14"/>
  <c r="O29" i="14"/>
  <c r="P29" i="14"/>
  <c r="Q29" i="14"/>
  <c r="R29" i="14"/>
  <c r="S29" i="14"/>
  <c r="K30" i="14"/>
  <c r="L30" i="14"/>
  <c r="M30" i="14"/>
  <c r="N30" i="14"/>
  <c r="O30" i="14"/>
  <c r="P30" i="14"/>
  <c r="Q30" i="14"/>
  <c r="R30" i="14"/>
  <c r="S30" i="14"/>
  <c r="K31" i="14"/>
  <c r="L31" i="14"/>
  <c r="M31" i="14"/>
  <c r="N31" i="14"/>
  <c r="O31" i="14"/>
  <c r="P31" i="14"/>
  <c r="Q31" i="14"/>
  <c r="R31" i="14"/>
  <c r="S31" i="14"/>
  <c r="K32" i="14"/>
  <c r="L32" i="14"/>
  <c r="M32" i="14"/>
  <c r="N32" i="14"/>
  <c r="O32" i="14"/>
  <c r="P32" i="14"/>
  <c r="Q32" i="14"/>
  <c r="R32" i="14"/>
  <c r="S32" i="14"/>
  <c r="K33" i="14"/>
  <c r="L33" i="14"/>
  <c r="M33" i="14"/>
  <c r="N33" i="14"/>
  <c r="O33" i="14"/>
  <c r="P33" i="14"/>
  <c r="Q33" i="14"/>
  <c r="R33" i="14"/>
  <c r="S33" i="14"/>
  <c r="K34" i="14"/>
  <c r="L34" i="14"/>
  <c r="M34" i="14"/>
  <c r="N34" i="14"/>
  <c r="O34" i="14"/>
  <c r="P34" i="14"/>
  <c r="Q34" i="14"/>
  <c r="R34" i="14"/>
  <c r="S34" i="14"/>
  <c r="K35" i="14"/>
  <c r="L35" i="14"/>
  <c r="M35" i="14"/>
  <c r="N35" i="14"/>
  <c r="O35" i="14"/>
  <c r="P35" i="14"/>
  <c r="Q35" i="14"/>
  <c r="R35" i="14"/>
  <c r="S35" i="14"/>
  <c r="K36" i="14"/>
  <c r="L36" i="14"/>
  <c r="M36" i="14"/>
  <c r="N36" i="14"/>
  <c r="O36" i="14"/>
  <c r="P36" i="14"/>
  <c r="Q36" i="14"/>
  <c r="R36" i="14"/>
  <c r="S36" i="14"/>
  <c r="K37" i="14"/>
  <c r="L37" i="14"/>
  <c r="M37" i="14"/>
  <c r="N37" i="14"/>
  <c r="O37" i="14"/>
  <c r="P37" i="14"/>
  <c r="Q37" i="14"/>
  <c r="R37" i="14"/>
  <c r="S37" i="14"/>
  <c r="K38" i="14"/>
  <c r="L38" i="14"/>
  <c r="M38" i="14"/>
  <c r="N38" i="14"/>
  <c r="O38" i="14"/>
  <c r="P38" i="14"/>
  <c r="Q38" i="14"/>
  <c r="R38" i="14"/>
  <c r="S38" i="14"/>
  <c r="K39" i="14"/>
  <c r="L39" i="14"/>
  <c r="M39" i="14"/>
  <c r="N39" i="14"/>
  <c r="O39" i="14"/>
  <c r="P39" i="14"/>
  <c r="Q39" i="14"/>
  <c r="R39" i="14"/>
  <c r="S39" i="14"/>
  <c r="K40" i="14"/>
  <c r="L40" i="14"/>
  <c r="M40" i="14"/>
  <c r="N40" i="14"/>
  <c r="O40" i="14"/>
  <c r="P40" i="14"/>
  <c r="Q40" i="14"/>
  <c r="R40" i="14"/>
  <c r="S40" i="14"/>
  <c r="K41" i="14"/>
  <c r="L41" i="14"/>
  <c r="M41" i="14"/>
  <c r="N41" i="14"/>
  <c r="O41" i="14"/>
  <c r="P41" i="14"/>
  <c r="Q41" i="14"/>
  <c r="R41" i="14"/>
  <c r="S41" i="14"/>
  <c r="K42" i="14"/>
  <c r="L42" i="14"/>
  <c r="M42" i="14"/>
  <c r="N42" i="14"/>
  <c r="O42" i="14"/>
  <c r="P42" i="14"/>
  <c r="Q42" i="14"/>
  <c r="R42" i="14"/>
  <c r="S42" i="14"/>
  <c r="K43" i="14"/>
  <c r="L43" i="14"/>
  <c r="M43" i="14"/>
  <c r="N43" i="14"/>
  <c r="O43" i="14"/>
  <c r="P43" i="14"/>
  <c r="Q43" i="14"/>
  <c r="R43" i="14"/>
  <c r="S43" i="14"/>
  <c r="K44" i="14"/>
  <c r="L44" i="14"/>
  <c r="M44" i="14"/>
  <c r="N44" i="14"/>
  <c r="O44" i="14"/>
  <c r="P44" i="14"/>
  <c r="Q44" i="14"/>
  <c r="R44" i="14"/>
  <c r="S44" i="14"/>
  <c r="K45" i="14"/>
  <c r="L45" i="14"/>
  <c r="M45" i="14"/>
  <c r="N45" i="14"/>
  <c r="O45" i="14"/>
  <c r="P45" i="14"/>
  <c r="Q45" i="14"/>
  <c r="R45" i="14"/>
  <c r="S45" i="14"/>
  <c r="K46" i="14"/>
  <c r="L46" i="14"/>
  <c r="M46" i="14"/>
  <c r="N46" i="14"/>
  <c r="O46" i="14"/>
  <c r="P46" i="14"/>
  <c r="Q46" i="14"/>
  <c r="R46" i="14"/>
  <c r="S46" i="14"/>
  <c r="K47" i="14"/>
  <c r="L47" i="14"/>
  <c r="M47" i="14"/>
  <c r="N47" i="14"/>
  <c r="O47" i="14"/>
  <c r="P47" i="14"/>
  <c r="Q47" i="14"/>
  <c r="R47" i="14"/>
  <c r="S47" i="14"/>
  <c r="K48" i="14"/>
  <c r="L48" i="14"/>
  <c r="M48" i="14"/>
  <c r="N48" i="14"/>
  <c r="O48" i="14"/>
  <c r="P48" i="14"/>
  <c r="Q48" i="14"/>
  <c r="R48" i="14"/>
  <c r="S48" i="14"/>
  <c r="K49" i="14"/>
  <c r="L49" i="14"/>
  <c r="M49" i="14"/>
  <c r="N49" i="14"/>
  <c r="O49" i="14"/>
  <c r="P49" i="14"/>
  <c r="Q49" i="14"/>
  <c r="R49" i="14"/>
  <c r="S49" i="14"/>
  <c r="K50" i="14"/>
  <c r="L50" i="14"/>
  <c r="M50" i="14"/>
  <c r="N50" i="14"/>
  <c r="O50" i="14"/>
  <c r="P50" i="14"/>
  <c r="Q50" i="14"/>
  <c r="R50" i="14"/>
  <c r="S50" i="14"/>
  <c r="K51" i="14"/>
  <c r="L51" i="14"/>
  <c r="M51" i="14"/>
  <c r="N51" i="14"/>
  <c r="O51" i="14"/>
  <c r="P51" i="14"/>
  <c r="Q51" i="14"/>
  <c r="R51" i="14"/>
  <c r="S51" i="14"/>
  <c r="K52" i="14"/>
  <c r="L52" i="14"/>
  <c r="M52" i="14"/>
  <c r="N52" i="14"/>
  <c r="O52" i="14"/>
  <c r="P52" i="14"/>
  <c r="Q52" i="14"/>
  <c r="R52" i="14"/>
  <c r="S52" i="14"/>
  <c r="K53" i="14"/>
  <c r="L53" i="14"/>
  <c r="M53" i="14"/>
  <c r="N53" i="14"/>
  <c r="O53" i="14"/>
  <c r="P53" i="14"/>
  <c r="Q53" i="14"/>
  <c r="R53" i="14"/>
  <c r="S53" i="14"/>
  <c r="K54" i="14"/>
  <c r="L54" i="14"/>
  <c r="M54" i="14"/>
  <c r="N54" i="14"/>
  <c r="O54" i="14"/>
  <c r="P54" i="14"/>
  <c r="Q54" i="14"/>
  <c r="R54" i="14"/>
  <c r="S54" i="14"/>
  <c r="K55" i="14"/>
  <c r="L55" i="14"/>
  <c r="M55" i="14"/>
  <c r="N55" i="14"/>
  <c r="O55" i="14"/>
  <c r="P55" i="14"/>
  <c r="Q55" i="14"/>
  <c r="R55" i="14"/>
  <c r="S55" i="14"/>
  <c r="K56" i="14"/>
  <c r="L56" i="14"/>
  <c r="M56" i="14"/>
  <c r="N56" i="14"/>
  <c r="O56" i="14"/>
  <c r="P56" i="14"/>
  <c r="Q56" i="14"/>
  <c r="R56" i="14"/>
  <c r="S56" i="14"/>
  <c r="K57" i="14"/>
  <c r="L57" i="14"/>
  <c r="M57" i="14"/>
  <c r="N57" i="14"/>
  <c r="O57" i="14"/>
  <c r="P57" i="14"/>
  <c r="Q57" i="14"/>
  <c r="R57" i="14"/>
  <c r="S57" i="14"/>
  <c r="K58" i="14"/>
  <c r="L58" i="14"/>
  <c r="M58" i="14"/>
  <c r="N58" i="14"/>
  <c r="O58" i="14"/>
  <c r="P58" i="14"/>
  <c r="Q58" i="14"/>
  <c r="R58" i="14"/>
  <c r="S58" i="14"/>
  <c r="K59" i="14"/>
  <c r="L59" i="14"/>
  <c r="M59" i="14"/>
  <c r="N59" i="14"/>
  <c r="O59" i="14"/>
  <c r="P59" i="14"/>
  <c r="Q59" i="14"/>
  <c r="R59" i="14"/>
  <c r="S59" i="14"/>
  <c r="K60" i="14"/>
  <c r="L60" i="14"/>
  <c r="M60" i="14"/>
  <c r="N60" i="14"/>
  <c r="O60" i="14"/>
  <c r="P60" i="14"/>
  <c r="Q60" i="14"/>
  <c r="R60" i="14"/>
  <c r="S60" i="14"/>
  <c r="K61" i="14"/>
  <c r="L61" i="14"/>
  <c r="M61" i="14"/>
  <c r="N61" i="14"/>
  <c r="O61" i="14"/>
  <c r="P61" i="14"/>
  <c r="Q61" i="14"/>
  <c r="R61" i="14"/>
  <c r="S61" i="14"/>
  <c r="K62" i="14"/>
  <c r="L62" i="14"/>
  <c r="M62" i="14"/>
  <c r="N62" i="14"/>
  <c r="O62" i="14"/>
  <c r="P62" i="14"/>
  <c r="Q62" i="14"/>
  <c r="R62" i="14"/>
  <c r="S62" i="14"/>
  <c r="K63" i="14"/>
  <c r="L63" i="14"/>
  <c r="M63" i="14"/>
  <c r="N63" i="14"/>
  <c r="O63" i="14"/>
  <c r="P63" i="14"/>
  <c r="Q63" i="14"/>
  <c r="R63" i="14"/>
  <c r="S63" i="14"/>
  <c r="K64" i="14"/>
  <c r="L64" i="14"/>
  <c r="M64" i="14"/>
  <c r="N64" i="14"/>
  <c r="O64" i="14"/>
  <c r="P64" i="14"/>
  <c r="Q64" i="14"/>
  <c r="R64" i="14"/>
  <c r="S64" i="14"/>
  <c r="K65" i="14"/>
  <c r="L65" i="14"/>
  <c r="M65" i="14"/>
  <c r="N65" i="14"/>
  <c r="O65" i="14"/>
  <c r="P65" i="14"/>
  <c r="Q65" i="14"/>
  <c r="R65" i="14"/>
  <c r="S65" i="14"/>
  <c r="K66" i="14"/>
  <c r="L66" i="14"/>
  <c r="M66" i="14"/>
  <c r="N66" i="14"/>
  <c r="O66" i="14"/>
  <c r="P66" i="14"/>
  <c r="Q66" i="14"/>
  <c r="R66" i="14"/>
  <c r="S66" i="14"/>
  <c r="K67" i="14"/>
  <c r="L67" i="14"/>
  <c r="M67" i="14"/>
  <c r="N67" i="14"/>
  <c r="O67" i="14"/>
  <c r="P67" i="14"/>
  <c r="Q67" i="14"/>
  <c r="R67" i="14"/>
  <c r="S67" i="14"/>
  <c r="K68" i="14"/>
  <c r="L68" i="14"/>
  <c r="M68" i="14"/>
  <c r="N68" i="14"/>
  <c r="O68" i="14"/>
  <c r="P68" i="14"/>
  <c r="Q68" i="14"/>
  <c r="R68" i="14"/>
  <c r="S68" i="14"/>
  <c r="K69" i="14"/>
  <c r="L69" i="14"/>
  <c r="M69" i="14"/>
  <c r="N69" i="14"/>
  <c r="O69" i="14"/>
  <c r="P69" i="14"/>
  <c r="Q69" i="14"/>
  <c r="R69" i="14"/>
  <c r="S69" i="14"/>
  <c r="K70" i="14"/>
  <c r="L70" i="14"/>
  <c r="M70" i="14"/>
  <c r="N70" i="14"/>
  <c r="O70" i="14"/>
  <c r="P70" i="14"/>
  <c r="Q70" i="14"/>
  <c r="R70" i="14"/>
  <c r="S70" i="14"/>
  <c r="K71" i="14"/>
  <c r="L71" i="14"/>
  <c r="M71" i="14"/>
  <c r="N71" i="14"/>
  <c r="O71" i="14"/>
  <c r="P71" i="14"/>
  <c r="Q71" i="14"/>
  <c r="R71" i="14"/>
  <c r="S71" i="14"/>
  <c r="K72" i="14"/>
  <c r="L72" i="14"/>
  <c r="M72" i="14"/>
  <c r="N72" i="14"/>
  <c r="O72" i="14"/>
  <c r="P72" i="14"/>
  <c r="Q72" i="14"/>
  <c r="R72" i="14"/>
  <c r="S72" i="14"/>
  <c r="K73" i="14"/>
  <c r="L73" i="14"/>
  <c r="M73" i="14"/>
  <c r="N73" i="14"/>
  <c r="O73" i="14"/>
  <c r="P73" i="14"/>
  <c r="Q73" i="14"/>
  <c r="R73" i="14"/>
  <c r="S73" i="14"/>
  <c r="K74" i="14"/>
  <c r="L74" i="14"/>
  <c r="M74" i="14"/>
  <c r="N74" i="14"/>
  <c r="O74" i="14"/>
  <c r="P74" i="14"/>
  <c r="Q74" i="14"/>
  <c r="R74" i="14"/>
  <c r="S74" i="14"/>
  <c r="K75" i="14"/>
  <c r="L75" i="14"/>
  <c r="M75" i="14"/>
  <c r="N75" i="14"/>
  <c r="O75" i="14"/>
  <c r="P75" i="14"/>
  <c r="Q75" i="14"/>
  <c r="R75" i="14"/>
  <c r="S75" i="14"/>
  <c r="K76" i="14"/>
  <c r="L76" i="14"/>
  <c r="M76" i="14"/>
  <c r="N76" i="14"/>
  <c r="O76" i="14"/>
  <c r="P76" i="14"/>
  <c r="Q76" i="14"/>
  <c r="R76" i="14"/>
  <c r="S76" i="14"/>
  <c r="K77" i="14"/>
  <c r="L77" i="14"/>
  <c r="M77" i="14"/>
  <c r="N77" i="14"/>
  <c r="O77" i="14"/>
  <c r="P77" i="14"/>
  <c r="Q77" i="14"/>
  <c r="R77" i="14"/>
  <c r="S77" i="14"/>
  <c r="K78" i="14"/>
  <c r="L78" i="14"/>
  <c r="M78" i="14"/>
  <c r="N78" i="14"/>
  <c r="O78" i="14"/>
  <c r="P78" i="14"/>
  <c r="Q78" i="14"/>
  <c r="R78" i="14"/>
  <c r="S78" i="14"/>
  <c r="K79" i="14"/>
  <c r="L79" i="14"/>
  <c r="M79" i="14"/>
  <c r="N79" i="14"/>
  <c r="O79" i="14"/>
  <c r="P79" i="14"/>
  <c r="Q79" i="14"/>
  <c r="R79" i="14"/>
  <c r="S79" i="14"/>
  <c r="K80" i="14"/>
  <c r="L80" i="14"/>
  <c r="M80" i="14"/>
  <c r="N80" i="14"/>
  <c r="O80" i="14"/>
  <c r="P80" i="14"/>
  <c r="Q80" i="14"/>
  <c r="R80" i="14"/>
  <c r="S80" i="14"/>
  <c r="K81" i="14"/>
  <c r="L81" i="14"/>
  <c r="M81" i="14"/>
  <c r="N81" i="14"/>
  <c r="O81" i="14"/>
  <c r="P81" i="14"/>
  <c r="Q81" i="14"/>
  <c r="R81" i="14"/>
  <c r="S81" i="14"/>
  <c r="K82" i="14"/>
  <c r="L82" i="14"/>
  <c r="M82" i="14"/>
  <c r="N82" i="14"/>
  <c r="O82" i="14"/>
  <c r="P82" i="14"/>
  <c r="Q82" i="14"/>
  <c r="R82" i="14"/>
  <c r="S82" i="14"/>
  <c r="K83" i="14"/>
  <c r="L83" i="14"/>
  <c r="M83" i="14"/>
  <c r="N83" i="14"/>
  <c r="O83" i="14"/>
  <c r="P83" i="14"/>
  <c r="Q83" i="14"/>
  <c r="R83" i="14"/>
  <c r="S83" i="14"/>
  <c r="K84" i="14"/>
  <c r="L84" i="14"/>
  <c r="M84" i="14"/>
  <c r="N84" i="14"/>
  <c r="O84" i="14"/>
  <c r="P84" i="14"/>
  <c r="Q84" i="14"/>
  <c r="R84" i="14"/>
  <c r="S84" i="14"/>
  <c r="K85" i="14"/>
  <c r="L85" i="14"/>
  <c r="M85" i="14"/>
  <c r="N85" i="14"/>
  <c r="O85" i="14"/>
  <c r="P85" i="14"/>
  <c r="Q85" i="14"/>
  <c r="R85" i="14"/>
  <c r="S85" i="14"/>
  <c r="K86" i="14"/>
  <c r="L86" i="14"/>
  <c r="M86" i="14"/>
  <c r="N86" i="14"/>
  <c r="O86" i="14"/>
  <c r="P86" i="14"/>
  <c r="Q86" i="14"/>
  <c r="R86" i="14"/>
  <c r="S86" i="14"/>
  <c r="K87" i="14"/>
  <c r="L87" i="14"/>
  <c r="M87" i="14"/>
  <c r="N87" i="14"/>
  <c r="O87" i="14"/>
  <c r="P87" i="14"/>
  <c r="Q87" i="14"/>
  <c r="R87" i="14"/>
  <c r="S87" i="14"/>
  <c r="K88" i="14"/>
  <c r="L88" i="14"/>
  <c r="M88" i="14"/>
  <c r="N88" i="14"/>
  <c r="O88" i="14"/>
  <c r="P88" i="14"/>
  <c r="Q88" i="14"/>
  <c r="R88" i="14"/>
  <c r="S88" i="14"/>
  <c r="K89" i="14"/>
  <c r="L89" i="14"/>
  <c r="M89" i="14"/>
  <c r="N89" i="14"/>
  <c r="O89" i="14"/>
  <c r="P89" i="14"/>
  <c r="Q89" i="14"/>
  <c r="R89" i="14"/>
  <c r="S89" i="14"/>
  <c r="K90" i="14"/>
  <c r="L90" i="14"/>
  <c r="M90" i="14"/>
  <c r="N90" i="14"/>
  <c r="O90" i="14"/>
  <c r="P90" i="14"/>
  <c r="Q90" i="14"/>
  <c r="R90" i="14"/>
  <c r="S90" i="14"/>
  <c r="K91" i="14"/>
  <c r="L91" i="14"/>
  <c r="M91" i="14"/>
  <c r="N91" i="14"/>
  <c r="O91" i="14"/>
  <c r="P91" i="14"/>
  <c r="Q91" i="14"/>
  <c r="R91" i="14"/>
  <c r="S91" i="14"/>
  <c r="K92" i="14"/>
  <c r="L92" i="14"/>
  <c r="M92" i="14"/>
  <c r="N92" i="14"/>
  <c r="O92" i="14"/>
  <c r="P92" i="14"/>
  <c r="Q92" i="14"/>
  <c r="R92" i="14"/>
  <c r="S92" i="14"/>
  <c r="K93" i="14"/>
  <c r="L93" i="14"/>
  <c r="M93" i="14"/>
  <c r="N93" i="14"/>
  <c r="O93" i="14"/>
  <c r="P93" i="14"/>
  <c r="Q93" i="14"/>
  <c r="R93" i="14"/>
  <c r="S93" i="14"/>
  <c r="K94" i="14"/>
  <c r="L94" i="14"/>
  <c r="M94" i="14"/>
  <c r="N94" i="14"/>
  <c r="O94" i="14"/>
  <c r="P94" i="14"/>
  <c r="Q94" i="14"/>
  <c r="R94" i="14"/>
  <c r="S94" i="14"/>
  <c r="K95" i="14"/>
  <c r="L95" i="14"/>
  <c r="M95" i="14"/>
  <c r="N95" i="14"/>
  <c r="O95" i="14"/>
  <c r="P95" i="14"/>
  <c r="Q95" i="14"/>
  <c r="R95" i="14"/>
  <c r="S95" i="14"/>
  <c r="K96" i="14"/>
  <c r="L96" i="14"/>
  <c r="M96" i="14"/>
  <c r="N96" i="14"/>
  <c r="O96" i="14"/>
  <c r="P96" i="14"/>
  <c r="Q96" i="14"/>
  <c r="R96" i="14"/>
  <c r="S96" i="14"/>
  <c r="K97" i="14"/>
  <c r="L97" i="14"/>
  <c r="M97" i="14"/>
  <c r="N97" i="14"/>
  <c r="O97" i="14"/>
  <c r="P97" i="14"/>
  <c r="Q97" i="14"/>
  <c r="R97" i="14"/>
  <c r="S97" i="14"/>
  <c r="K98" i="14"/>
  <c r="L98" i="14"/>
  <c r="M98" i="14"/>
  <c r="N98" i="14"/>
  <c r="O98" i="14"/>
  <c r="P98" i="14"/>
  <c r="Q98" i="14"/>
  <c r="R98" i="14"/>
  <c r="S98" i="14"/>
  <c r="K99" i="14"/>
  <c r="L99" i="14"/>
  <c r="M99" i="14"/>
  <c r="N99" i="14"/>
  <c r="O99" i="14"/>
  <c r="P99" i="14"/>
  <c r="Q99" i="14"/>
  <c r="R99" i="14"/>
  <c r="S99" i="14"/>
  <c r="K100" i="14"/>
  <c r="L100" i="14"/>
  <c r="M100" i="14"/>
  <c r="N100" i="14"/>
  <c r="O100" i="14"/>
  <c r="P100" i="14"/>
  <c r="Q100" i="14"/>
  <c r="R100" i="14"/>
  <c r="S100" i="14"/>
  <c r="K101" i="14"/>
  <c r="L101" i="14"/>
  <c r="M101" i="14"/>
  <c r="N101" i="14"/>
  <c r="O101" i="14"/>
  <c r="P101" i="14"/>
  <c r="Q101" i="14"/>
  <c r="R101" i="14"/>
  <c r="S101" i="14"/>
  <c r="K102" i="14"/>
  <c r="L102" i="14"/>
  <c r="M102" i="14"/>
  <c r="N102" i="14"/>
  <c r="O102" i="14"/>
  <c r="P102" i="14"/>
  <c r="Q102" i="14"/>
  <c r="R102" i="14"/>
  <c r="S102" i="14"/>
  <c r="K103" i="14"/>
  <c r="L103" i="14"/>
  <c r="M103" i="14"/>
  <c r="N103" i="14"/>
  <c r="O103" i="14"/>
  <c r="P103" i="14"/>
  <c r="Q103" i="14"/>
  <c r="R103" i="14"/>
  <c r="S103" i="14"/>
  <c r="K104" i="14"/>
  <c r="L104" i="14"/>
  <c r="M104" i="14"/>
  <c r="N104" i="14"/>
  <c r="O104" i="14"/>
  <c r="P104" i="14"/>
  <c r="Q104" i="14"/>
  <c r="R104" i="14"/>
  <c r="S104" i="14"/>
  <c r="K105" i="14"/>
  <c r="L105" i="14"/>
  <c r="M105" i="14"/>
  <c r="N105" i="14"/>
  <c r="O105" i="14"/>
  <c r="P105" i="14"/>
  <c r="Q105" i="14"/>
  <c r="R105" i="14"/>
  <c r="S105" i="14"/>
  <c r="K106" i="14"/>
  <c r="L106" i="14"/>
  <c r="M106" i="14"/>
  <c r="N106" i="14"/>
  <c r="O106" i="14"/>
  <c r="P106" i="14"/>
  <c r="Q106" i="14"/>
  <c r="R106" i="14"/>
  <c r="S106" i="14"/>
  <c r="K107" i="14"/>
  <c r="L107" i="14"/>
  <c r="M107" i="14"/>
  <c r="N107" i="14"/>
  <c r="O107" i="14"/>
  <c r="P107" i="14"/>
  <c r="Q107" i="14"/>
  <c r="R107" i="14"/>
  <c r="S107" i="14"/>
  <c r="K108" i="14"/>
  <c r="L108" i="14"/>
  <c r="M108" i="14"/>
  <c r="N108" i="14"/>
  <c r="O108" i="14"/>
  <c r="P108" i="14"/>
  <c r="Q108" i="14"/>
  <c r="R108" i="14"/>
  <c r="S108" i="14"/>
  <c r="K109" i="14"/>
  <c r="L109" i="14"/>
  <c r="M109" i="14"/>
  <c r="N109" i="14"/>
  <c r="O109" i="14"/>
  <c r="P109" i="14"/>
  <c r="Q109" i="14"/>
  <c r="R109" i="14"/>
  <c r="S109" i="14"/>
  <c r="K110" i="14"/>
  <c r="L110" i="14"/>
  <c r="M110" i="14"/>
  <c r="N110" i="14"/>
  <c r="O110" i="14"/>
  <c r="P110" i="14"/>
  <c r="Q110" i="14"/>
  <c r="R110" i="14"/>
  <c r="S110" i="14"/>
  <c r="K111" i="14"/>
  <c r="L111" i="14"/>
  <c r="M111" i="14"/>
  <c r="N111" i="14"/>
  <c r="O111" i="14"/>
  <c r="P111" i="14"/>
  <c r="Q111" i="14"/>
  <c r="R111" i="14"/>
  <c r="S111" i="14"/>
  <c r="K112" i="14"/>
  <c r="L112" i="14"/>
  <c r="M112" i="14"/>
  <c r="N112" i="14"/>
  <c r="O112" i="14"/>
  <c r="P112" i="14"/>
  <c r="Q112" i="14"/>
  <c r="R112" i="14"/>
  <c r="S112" i="14"/>
  <c r="K113" i="14"/>
  <c r="L113" i="14"/>
  <c r="M113" i="14"/>
  <c r="N113" i="14"/>
  <c r="O113" i="14"/>
  <c r="P113" i="14"/>
  <c r="Q113" i="14"/>
  <c r="R113" i="14"/>
  <c r="S113" i="14"/>
  <c r="S7" i="14"/>
  <c r="R7" i="14"/>
  <c r="Q7" i="14"/>
  <c r="P7" i="14"/>
  <c r="O7" i="14"/>
  <c r="N7" i="14"/>
  <c r="M7" i="14"/>
  <c r="L7" i="14"/>
  <c r="K7" i="14"/>
  <c r="I10" i="13"/>
  <c r="H11" i="13"/>
  <c r="I12" i="13"/>
  <c r="I18" i="13"/>
  <c r="H23" i="13"/>
  <c r="H26" i="13"/>
  <c r="I28" i="13"/>
  <c r="I30" i="13"/>
  <c r="H31" i="13"/>
  <c r="I32" i="13"/>
  <c r="I36" i="13"/>
  <c r="I38" i="13"/>
  <c r="H39" i="13"/>
  <c r="I40" i="13"/>
  <c r="L45" i="13"/>
  <c r="H47" i="13"/>
  <c r="I52" i="13"/>
  <c r="L53" i="13"/>
  <c r="H54" i="13"/>
  <c r="I58" i="13"/>
  <c r="L60" i="13"/>
  <c r="L61" i="13"/>
  <c r="I66" i="13"/>
  <c r="M66" i="13"/>
  <c r="H67" i="13"/>
  <c r="I70" i="13"/>
  <c r="I74" i="13"/>
  <c r="M74" i="13"/>
  <c r="I80" i="13"/>
  <c r="H82" i="13"/>
  <c r="I84" i="13"/>
  <c r="H87" i="13"/>
  <c r="I88" i="13"/>
  <c r="I92" i="13"/>
  <c r="L92" i="13"/>
  <c r="H94" i="13"/>
  <c r="H95" i="13"/>
  <c r="J99" i="13"/>
  <c r="I100" i="13"/>
  <c r="H106" i="13"/>
  <c r="I106" i="13"/>
  <c r="I108" i="13"/>
  <c r="I110" i="13"/>
  <c r="M111" i="13"/>
  <c r="J112" i="13"/>
  <c r="I114" i="13"/>
  <c r="H115" i="13"/>
  <c r="M115" i="13"/>
  <c r="I5" i="13"/>
  <c r="I50" i="13" s="1"/>
  <c r="J5" i="13"/>
  <c r="K5" i="13"/>
  <c r="K8" i="13" s="1"/>
  <c r="L5" i="13"/>
  <c r="L77" i="13" s="1"/>
  <c r="M5" i="13"/>
  <c r="M70" i="13" s="1"/>
  <c r="H5" i="13"/>
  <c r="H9" i="13" l="1"/>
  <c r="H14" i="13"/>
  <c r="H10" i="13"/>
  <c r="H42" i="13"/>
  <c r="H59" i="13"/>
  <c r="H63" i="13"/>
  <c r="H90" i="13"/>
  <c r="H98" i="13"/>
  <c r="H108" i="13"/>
  <c r="H114" i="13"/>
  <c r="H8" i="13"/>
  <c r="H15" i="13"/>
  <c r="H38" i="13"/>
  <c r="H51" i="13"/>
  <c r="H55" i="13"/>
  <c r="H111" i="13"/>
  <c r="H18" i="13"/>
  <c r="H30" i="13"/>
  <c r="H74" i="13"/>
  <c r="H78" i="13"/>
  <c r="H102" i="13"/>
  <c r="H112" i="13"/>
  <c r="H34" i="13"/>
  <c r="H62" i="13"/>
  <c r="H75" i="13"/>
  <c r="H96" i="13"/>
  <c r="H35" i="13"/>
  <c r="H70" i="13"/>
  <c r="H50" i="13"/>
  <c r="H113" i="13"/>
  <c r="H71" i="13"/>
  <c r="H99" i="13"/>
  <c r="H104" i="13"/>
  <c r="H22" i="13"/>
  <c r="H79" i="13"/>
  <c r="H27" i="13"/>
  <c r="H83" i="13"/>
  <c r="H107" i="13"/>
  <c r="H43" i="13"/>
  <c r="H91" i="13"/>
  <c r="H66" i="13"/>
  <c r="H110" i="13"/>
  <c r="H19" i="13"/>
  <c r="H58" i="13"/>
  <c r="H92" i="13"/>
  <c r="H103" i="13"/>
  <c r="H86" i="13"/>
  <c r="H100" i="13"/>
  <c r="H46" i="13"/>
  <c r="M72" i="13"/>
  <c r="L109" i="13"/>
  <c r="M36" i="13"/>
  <c r="I113" i="13"/>
  <c r="I109" i="13"/>
  <c r="I98" i="13"/>
  <c r="L84" i="13"/>
  <c r="I78" i="13"/>
  <c r="L64" i="13"/>
  <c r="L44" i="13"/>
  <c r="L36" i="13"/>
  <c r="L29" i="13"/>
  <c r="M10" i="13"/>
  <c r="M50" i="13"/>
  <c r="M54" i="13"/>
  <c r="M84" i="13"/>
  <c r="M88" i="13"/>
  <c r="M92" i="13"/>
  <c r="M107" i="13"/>
  <c r="M22" i="13"/>
  <c r="M28" i="13"/>
  <c r="M32" i="13"/>
  <c r="M46" i="13"/>
  <c r="M76" i="13"/>
  <c r="M80" i="13"/>
  <c r="M100" i="13"/>
  <c r="M24" i="13"/>
  <c r="M38" i="13"/>
  <c r="M60" i="13"/>
  <c r="M64" i="13"/>
  <c r="M90" i="13"/>
  <c r="M98" i="13"/>
  <c r="M104" i="13"/>
  <c r="M86" i="13"/>
  <c r="M52" i="13"/>
  <c r="M30" i="13"/>
  <c r="M78" i="13"/>
  <c r="M44" i="13"/>
  <c r="M20" i="13"/>
  <c r="L96" i="13"/>
  <c r="M62" i="13"/>
  <c r="I9" i="13"/>
  <c r="I20" i="13"/>
  <c r="I24" i="13"/>
  <c r="I14" i="13"/>
  <c r="I16" i="13"/>
  <c r="I22" i="13"/>
  <c r="I46" i="13"/>
  <c r="I68" i="13"/>
  <c r="I72" i="13"/>
  <c r="I104" i="13"/>
  <c r="I8" i="13"/>
  <c r="I42" i="13"/>
  <c r="I60" i="13"/>
  <c r="I64" i="13"/>
  <c r="I34" i="13"/>
  <c r="I44" i="13"/>
  <c r="I48" i="13"/>
  <c r="I82" i="13"/>
  <c r="I86" i="13"/>
  <c r="I94" i="13"/>
  <c r="I56" i="13"/>
  <c r="M114" i="13"/>
  <c r="M58" i="13"/>
  <c r="L9" i="13"/>
  <c r="L20" i="13"/>
  <c r="L24" i="13"/>
  <c r="L21" i="13"/>
  <c r="L13" i="13"/>
  <c r="L28" i="13"/>
  <c r="L32" i="13"/>
  <c r="L37" i="13"/>
  <c r="L76" i="13"/>
  <c r="L80" i="13"/>
  <c r="L97" i="13"/>
  <c r="L100" i="13"/>
  <c r="L110" i="13"/>
  <c r="L113" i="13"/>
  <c r="L104" i="13"/>
  <c r="L68" i="13"/>
  <c r="L72" i="13"/>
  <c r="L85" i="13"/>
  <c r="L93" i="13"/>
  <c r="L52" i="13"/>
  <c r="L56" i="13"/>
  <c r="L69" i="13"/>
  <c r="L105" i="13"/>
  <c r="L108" i="13"/>
  <c r="L114" i="13"/>
  <c r="M102" i="13"/>
  <c r="M56" i="13"/>
  <c r="I102" i="13"/>
  <c r="I96" i="13"/>
  <c r="I90" i="13"/>
  <c r="I76" i="13"/>
  <c r="I62" i="13"/>
  <c r="M48" i="13"/>
  <c r="M40" i="13"/>
  <c r="M16" i="13"/>
  <c r="L8" i="13"/>
  <c r="I112" i="13"/>
  <c r="M106" i="13"/>
  <c r="L101" i="13"/>
  <c r="L88" i="13"/>
  <c r="M82" i="13"/>
  <c r="M68" i="13"/>
  <c r="I54" i="13"/>
  <c r="L48" i="13"/>
  <c r="L40" i="13"/>
  <c r="I26" i="13"/>
  <c r="M12" i="13"/>
  <c r="K10" i="13"/>
  <c r="K14" i="13"/>
  <c r="K18" i="13"/>
  <c r="K22" i="13"/>
  <c r="K26" i="13"/>
  <c r="K30" i="13"/>
  <c r="K34" i="13"/>
  <c r="K38" i="13"/>
  <c r="K42" i="13"/>
  <c r="K46" i="13"/>
  <c r="K50" i="13"/>
  <c r="K54" i="13"/>
  <c r="K58" i="13"/>
  <c r="K62" i="13"/>
  <c r="K66" i="13"/>
  <c r="K70" i="13"/>
  <c r="K74" i="13"/>
  <c r="K78" i="13"/>
  <c r="K82" i="13"/>
  <c r="K86" i="13"/>
  <c r="K90" i="13"/>
  <c r="K94" i="13"/>
  <c r="K98" i="13"/>
  <c r="K102" i="13"/>
  <c r="K106" i="13"/>
  <c r="K12" i="13"/>
  <c r="K16" i="13"/>
  <c r="K20" i="13"/>
  <c r="K24" i="13"/>
  <c r="K28" i="13"/>
  <c r="K32" i="13"/>
  <c r="K36" i="13"/>
  <c r="K40" i="13"/>
  <c r="K44" i="13"/>
  <c r="K48" i="13"/>
  <c r="K52" i="13"/>
  <c r="K56" i="13"/>
  <c r="K60" i="13"/>
  <c r="K64" i="13"/>
  <c r="K68" i="13"/>
  <c r="K72" i="13"/>
  <c r="K76" i="13"/>
  <c r="K80" i="13"/>
  <c r="K84" i="13"/>
  <c r="K88" i="13"/>
  <c r="K92" i="13"/>
  <c r="K96" i="13"/>
  <c r="K100" i="13"/>
  <c r="K104" i="13"/>
  <c r="K108" i="13"/>
  <c r="K112" i="13"/>
  <c r="J10" i="13"/>
  <c r="J14" i="13"/>
  <c r="J18" i="13"/>
  <c r="J22" i="13"/>
  <c r="J26" i="13"/>
  <c r="J30" i="13"/>
  <c r="J34" i="13"/>
  <c r="J38" i="13"/>
  <c r="J42" i="13"/>
  <c r="J46" i="13"/>
  <c r="J50" i="13"/>
  <c r="J54" i="13"/>
  <c r="J58" i="13"/>
  <c r="J62" i="13"/>
  <c r="J66" i="13"/>
  <c r="J70" i="13"/>
  <c r="J74" i="13"/>
  <c r="J78" i="13"/>
  <c r="J82" i="13"/>
  <c r="J86" i="13"/>
  <c r="J90" i="13"/>
  <c r="J94" i="13"/>
  <c r="J98" i="13"/>
  <c r="J102" i="13"/>
  <c r="J106" i="13"/>
  <c r="J110" i="13"/>
  <c r="J114" i="13"/>
  <c r="J9" i="13"/>
  <c r="J13" i="13"/>
  <c r="J17" i="13"/>
  <c r="J21" i="13"/>
  <c r="J25" i="13"/>
  <c r="J29" i="13"/>
  <c r="J33" i="13"/>
  <c r="J37" i="13"/>
  <c r="J41" i="13"/>
  <c r="J45" i="13"/>
  <c r="J49" i="13"/>
  <c r="J53" i="13"/>
  <c r="J57" i="13"/>
  <c r="J61" i="13"/>
  <c r="J65" i="13"/>
  <c r="J69" i="13"/>
  <c r="J73" i="13"/>
  <c r="J77" i="13"/>
  <c r="J81" i="13"/>
  <c r="J85" i="13"/>
  <c r="J89" i="13"/>
  <c r="J93" i="13"/>
  <c r="J97" i="13"/>
  <c r="J101" i="13"/>
  <c r="J105" i="13"/>
  <c r="J109" i="13"/>
  <c r="J8" i="13"/>
  <c r="J11" i="13"/>
  <c r="J15" i="13"/>
  <c r="J108" i="13"/>
  <c r="K101" i="13"/>
  <c r="J96" i="13"/>
  <c r="K83" i="13"/>
  <c r="K43" i="13"/>
  <c r="K35" i="13"/>
  <c r="K27" i="13"/>
  <c r="K113" i="13"/>
  <c r="K103" i="13"/>
  <c r="J113" i="13"/>
  <c r="K93" i="13"/>
  <c r="J80" i="13"/>
  <c r="J72" i="13"/>
  <c r="J111" i="13"/>
  <c r="K109" i="13"/>
  <c r="K107" i="13"/>
  <c r="J95" i="13"/>
  <c r="K87" i="13"/>
  <c r="K79" i="13"/>
  <c r="K71" i="13"/>
  <c r="K63" i="13"/>
  <c r="K55" i="13"/>
  <c r="K47" i="13"/>
  <c r="K39" i="13"/>
  <c r="K31" i="13"/>
  <c r="K23" i="13"/>
  <c r="M11" i="13"/>
  <c r="M15" i="13"/>
  <c r="M19" i="13"/>
  <c r="M23" i="13"/>
  <c r="M27" i="13"/>
  <c r="M31" i="13"/>
  <c r="M35" i="13"/>
  <c r="M39" i="13"/>
  <c r="M43" i="13"/>
  <c r="M47" i="13"/>
  <c r="M51" i="13"/>
  <c r="M55" i="13"/>
  <c r="M59" i="13"/>
  <c r="M63" i="13"/>
  <c r="M67" i="13"/>
  <c r="M71" i="13"/>
  <c r="M75" i="13"/>
  <c r="M79" i="13"/>
  <c r="M83" i="13"/>
  <c r="M87" i="13"/>
  <c r="M91" i="13"/>
  <c r="M95" i="13"/>
  <c r="M99" i="13"/>
  <c r="M103" i="13"/>
  <c r="M9" i="13"/>
  <c r="M13" i="13"/>
  <c r="M17" i="13"/>
  <c r="M21" i="13"/>
  <c r="M25" i="13"/>
  <c r="M29" i="13"/>
  <c r="M33" i="13"/>
  <c r="M37" i="13"/>
  <c r="M41" i="13"/>
  <c r="M45" i="13"/>
  <c r="M49" i="13"/>
  <c r="M53" i="13"/>
  <c r="M57" i="13"/>
  <c r="M61" i="13"/>
  <c r="M65" i="13"/>
  <c r="M69" i="13"/>
  <c r="M73" i="13"/>
  <c r="M77" i="13"/>
  <c r="M81" i="13"/>
  <c r="M85" i="13"/>
  <c r="M89" i="13"/>
  <c r="M93" i="13"/>
  <c r="M97" i="13"/>
  <c r="M101" i="13"/>
  <c r="M105" i="13"/>
  <c r="M109" i="13"/>
  <c r="M113" i="13"/>
  <c r="K114" i="13"/>
  <c r="M112" i="13"/>
  <c r="J107" i="13"/>
  <c r="K97" i="13"/>
  <c r="J92" i="13"/>
  <c r="J87" i="13"/>
  <c r="J79" i="13"/>
  <c r="J71" i="13"/>
  <c r="J63" i="13"/>
  <c r="J55" i="13"/>
  <c r="J47" i="13"/>
  <c r="J39" i="13"/>
  <c r="J31" i="13"/>
  <c r="J23" i="13"/>
  <c r="M14" i="13"/>
  <c r="K11" i="13"/>
  <c r="L11" i="13"/>
  <c r="L15" i="13"/>
  <c r="L19" i="13"/>
  <c r="L23" i="13"/>
  <c r="L27" i="13"/>
  <c r="L31" i="13"/>
  <c r="L35" i="13"/>
  <c r="L39" i="13"/>
  <c r="L43" i="13"/>
  <c r="L47" i="13"/>
  <c r="L51" i="13"/>
  <c r="L55" i="13"/>
  <c r="L59" i="13"/>
  <c r="L63" i="13"/>
  <c r="L67" i="13"/>
  <c r="L71" i="13"/>
  <c r="L75" i="13"/>
  <c r="L79" i="13"/>
  <c r="L83" i="13"/>
  <c r="L87" i="13"/>
  <c r="L91" i="13"/>
  <c r="L95" i="13"/>
  <c r="L99" i="13"/>
  <c r="L103" i="13"/>
  <c r="L107" i="13"/>
  <c r="L111" i="13"/>
  <c r="L115" i="13"/>
  <c r="L10" i="13"/>
  <c r="L14" i="13"/>
  <c r="L18" i="13"/>
  <c r="L22" i="13"/>
  <c r="L26" i="13"/>
  <c r="L30" i="13"/>
  <c r="L34" i="13"/>
  <c r="L38" i="13"/>
  <c r="L42" i="13"/>
  <c r="L46" i="13"/>
  <c r="L50" i="13"/>
  <c r="L54" i="13"/>
  <c r="L58" i="13"/>
  <c r="L62" i="13"/>
  <c r="L66" i="13"/>
  <c r="L70" i="13"/>
  <c r="L74" i="13"/>
  <c r="L78" i="13"/>
  <c r="L82" i="13"/>
  <c r="L86" i="13"/>
  <c r="L90" i="13"/>
  <c r="L94" i="13"/>
  <c r="L98" i="13"/>
  <c r="L102" i="13"/>
  <c r="L106" i="13"/>
  <c r="L12" i="13"/>
  <c r="L16" i="13"/>
  <c r="M8" i="13"/>
  <c r="L112" i="13"/>
  <c r="M110" i="13"/>
  <c r="M108" i="13"/>
  <c r="J104" i="13"/>
  <c r="K99" i="13"/>
  <c r="M96" i="13"/>
  <c r="M94" i="13"/>
  <c r="L89" i="13"/>
  <c r="J84" i="13"/>
  <c r="L81" i="13"/>
  <c r="J76" i="13"/>
  <c r="L73" i="13"/>
  <c r="J68" i="13"/>
  <c r="L65" i="13"/>
  <c r="J60" i="13"/>
  <c r="L57" i="13"/>
  <c r="J52" i="13"/>
  <c r="L49" i="13"/>
  <c r="J44" i="13"/>
  <c r="L41" i="13"/>
  <c r="J36" i="13"/>
  <c r="L33" i="13"/>
  <c r="J28" i="13"/>
  <c r="L25" i="13"/>
  <c r="J20" i="13"/>
  <c r="L17" i="13"/>
  <c r="K81" i="13"/>
  <c r="K73" i="13"/>
  <c r="K49" i="13"/>
  <c r="K41" i="13"/>
  <c r="K33" i="13"/>
  <c r="K25" i="13"/>
  <c r="K110" i="13"/>
  <c r="K75" i="13"/>
  <c r="K19" i="13"/>
  <c r="J91" i="13"/>
  <c r="J83" i="13"/>
  <c r="J75" i="13"/>
  <c r="J67" i="13"/>
  <c r="J59" i="13"/>
  <c r="J51" i="13"/>
  <c r="J43" i="13"/>
  <c r="J35" i="13"/>
  <c r="J27" i="13"/>
  <c r="J19" i="13"/>
  <c r="J16" i="13"/>
  <c r="K13" i="13"/>
  <c r="K65" i="13"/>
  <c r="K57" i="13"/>
  <c r="K17" i="13"/>
  <c r="K115" i="13"/>
  <c r="K91" i="13"/>
  <c r="K51" i="13"/>
  <c r="J115" i="13"/>
  <c r="J103" i="13"/>
  <c r="J88" i="13"/>
  <c r="J64" i="13"/>
  <c r="J56" i="13"/>
  <c r="J48" i="13"/>
  <c r="J32" i="13"/>
  <c r="J24" i="13"/>
  <c r="K89" i="13"/>
  <c r="K67" i="13"/>
  <c r="K59" i="13"/>
  <c r="J40" i="13"/>
  <c r="K111" i="13"/>
  <c r="K105" i="13"/>
  <c r="J100" i="13"/>
  <c r="K95" i="13"/>
  <c r="K85" i="13"/>
  <c r="K77" i="13"/>
  <c r="K69" i="13"/>
  <c r="K61" i="13"/>
  <c r="K53" i="13"/>
  <c r="K45" i="13"/>
  <c r="M42" i="13"/>
  <c r="K37" i="13"/>
  <c r="M34" i="13"/>
  <c r="K29" i="13"/>
  <c r="M26" i="13"/>
  <c r="K21" i="13"/>
  <c r="M18" i="13"/>
  <c r="K15" i="13"/>
  <c r="J12" i="13"/>
  <c r="K9" i="13"/>
  <c r="I115" i="13"/>
  <c r="I111" i="13"/>
  <c r="I107" i="13"/>
  <c r="I103" i="13"/>
  <c r="I99" i="13"/>
  <c r="I95" i="13"/>
  <c r="I91" i="13"/>
  <c r="I87" i="13"/>
  <c r="I83" i="13"/>
  <c r="I79" i="13"/>
  <c r="I75" i="13"/>
  <c r="I71" i="13"/>
  <c r="I67" i="13"/>
  <c r="I63" i="13"/>
  <c r="I59" i="13"/>
  <c r="I55" i="13"/>
  <c r="I51" i="13"/>
  <c r="I47" i="13"/>
  <c r="I43" i="13"/>
  <c r="I39" i="13"/>
  <c r="I35" i="13"/>
  <c r="I31" i="13"/>
  <c r="I27" i="13"/>
  <c r="I23" i="13"/>
  <c r="I19" i="13"/>
  <c r="I15" i="13"/>
  <c r="I11" i="13"/>
  <c r="H88" i="13"/>
  <c r="H84" i="13"/>
  <c r="H80" i="13"/>
  <c r="H76" i="13"/>
  <c r="H72" i="13"/>
  <c r="H68" i="13"/>
  <c r="H64" i="13"/>
  <c r="H60" i="13"/>
  <c r="H56" i="13"/>
  <c r="H52" i="13"/>
  <c r="H48" i="13"/>
  <c r="H44" i="13"/>
  <c r="H40" i="13"/>
  <c r="H36" i="13"/>
  <c r="H32" i="13"/>
  <c r="H28" i="13"/>
  <c r="H24" i="13"/>
  <c r="H20" i="13"/>
  <c r="H16" i="13"/>
  <c r="H12" i="13"/>
  <c r="I105" i="13"/>
  <c r="I101" i="13"/>
  <c r="I97" i="13"/>
  <c r="I93" i="13"/>
  <c r="I89" i="13"/>
  <c r="I85" i="13"/>
  <c r="I81" i="13"/>
  <c r="I77" i="13"/>
  <c r="I73" i="13"/>
  <c r="I69" i="13"/>
  <c r="I65" i="13"/>
  <c r="I61" i="13"/>
  <c r="I57" i="13"/>
  <c r="I53" i="13"/>
  <c r="I49" i="13"/>
  <c r="I45" i="13"/>
  <c r="I41" i="13"/>
  <c r="I37" i="13"/>
  <c r="I33" i="13"/>
  <c r="I29" i="13"/>
  <c r="I25" i="13"/>
  <c r="I21" i="13"/>
  <c r="I17" i="13"/>
  <c r="I13" i="13"/>
  <c r="H109" i="13"/>
  <c r="H105" i="13"/>
  <c r="H101" i="13"/>
  <c r="H97" i="13"/>
  <c r="H93" i="13"/>
  <c r="H89" i="13"/>
  <c r="H85" i="13"/>
  <c r="H81" i="13"/>
  <c r="H77" i="13"/>
  <c r="H73" i="13"/>
  <c r="H69" i="13"/>
  <c r="H65" i="13"/>
  <c r="H61" i="13"/>
  <c r="H57" i="13"/>
  <c r="H53" i="13"/>
  <c r="H49" i="13"/>
  <c r="H45" i="13"/>
  <c r="H41" i="13"/>
  <c r="H37" i="13"/>
  <c r="H33" i="13"/>
  <c r="H29" i="13"/>
  <c r="H25" i="13"/>
  <c r="H21" i="13"/>
  <c r="H17" i="13"/>
  <c r="H13" i="13"/>
  <c r="N24" i="4" l="1"/>
  <c r="AB23" i="4" l="1"/>
  <c r="Z24" i="4"/>
  <c r="P2" i="13"/>
  <c r="Q2" i="13"/>
  <c r="R2" i="13"/>
  <c r="R8" i="13" l="1"/>
  <c r="R98" i="13"/>
  <c r="R107" i="13"/>
  <c r="R96" i="13"/>
  <c r="R29" i="13"/>
  <c r="R101" i="13"/>
  <c r="R88" i="13"/>
  <c r="R95" i="13"/>
  <c r="R99" i="13"/>
  <c r="R31" i="13"/>
  <c r="R22" i="13"/>
  <c r="R76" i="13"/>
  <c r="R114" i="13"/>
  <c r="R57" i="13"/>
  <c r="R43" i="13"/>
  <c r="R100" i="13"/>
  <c r="R56" i="13"/>
  <c r="R97" i="13"/>
  <c r="R19" i="13"/>
  <c r="R44" i="13"/>
  <c r="R17" i="13"/>
  <c r="R35" i="13"/>
  <c r="R104" i="13"/>
  <c r="R81" i="13"/>
  <c r="R13" i="13"/>
  <c r="R48" i="13"/>
  <c r="R75" i="13"/>
  <c r="R71" i="13"/>
  <c r="R91" i="13"/>
  <c r="R113" i="13"/>
  <c r="R112" i="13"/>
  <c r="R66" i="13"/>
  <c r="R92" i="13"/>
  <c r="R94" i="13"/>
  <c r="R90" i="13"/>
  <c r="R84" i="13"/>
  <c r="R78" i="13"/>
  <c r="R40" i="13"/>
  <c r="R67" i="13"/>
  <c r="R80" i="13"/>
  <c r="R28" i="13"/>
  <c r="R68" i="13"/>
  <c r="R41" i="13"/>
  <c r="R24" i="13"/>
  <c r="R51" i="13"/>
  <c r="R103" i="13"/>
  <c r="R12" i="13"/>
  <c r="R72" i="13"/>
  <c r="R110" i="13"/>
  <c r="R36" i="13"/>
  <c r="R15" i="13"/>
  <c r="R60" i="13"/>
  <c r="R73" i="13"/>
  <c r="R16" i="13"/>
  <c r="R30" i="13"/>
  <c r="R58" i="13"/>
  <c r="R45" i="13"/>
  <c r="R106" i="13"/>
  <c r="R33" i="13"/>
  <c r="R21" i="13"/>
  <c r="R23" i="13"/>
  <c r="R26" i="13"/>
  <c r="R74" i="13"/>
  <c r="R10" i="13"/>
  <c r="R79" i="13"/>
  <c r="R64" i="13"/>
  <c r="R102" i="13"/>
  <c r="R46" i="13"/>
  <c r="R49" i="13"/>
  <c r="R47" i="13"/>
  <c r="R69" i="13"/>
  <c r="R85" i="13"/>
  <c r="R53" i="13"/>
  <c r="R93" i="13"/>
  <c r="R65" i="13"/>
  <c r="R54" i="13"/>
  <c r="R25" i="13"/>
  <c r="R62" i="13"/>
  <c r="R82" i="13"/>
  <c r="R105" i="13"/>
  <c r="R52" i="13"/>
  <c r="R32" i="13"/>
  <c r="R70" i="13"/>
  <c r="R34" i="13"/>
  <c r="R89" i="13"/>
  <c r="R86" i="13"/>
  <c r="R63" i="13"/>
  <c r="R27" i="13"/>
  <c r="R111" i="13"/>
  <c r="R50" i="13"/>
  <c r="R83" i="13"/>
  <c r="R77" i="13"/>
  <c r="R61" i="13"/>
  <c r="R11" i="13"/>
  <c r="R87" i="13"/>
  <c r="R9" i="13"/>
  <c r="R42" i="13"/>
  <c r="R39" i="13"/>
  <c r="R18" i="13"/>
  <c r="R37" i="13"/>
  <c r="R115" i="13"/>
  <c r="R108" i="13"/>
  <c r="R55" i="13"/>
  <c r="R20" i="13"/>
  <c r="R14" i="13"/>
  <c r="R59" i="13"/>
  <c r="R38" i="13"/>
  <c r="R109" i="13"/>
  <c r="Q112" i="13"/>
  <c r="Q99" i="13"/>
  <c r="Q101" i="13"/>
  <c r="Q32" i="13"/>
  <c r="Q107" i="13"/>
  <c r="Q38" i="13"/>
  <c r="Q87" i="13"/>
  <c r="Q50" i="13"/>
  <c r="Q80" i="13"/>
  <c r="Q64" i="13"/>
  <c r="Q72" i="13"/>
  <c r="Q26" i="13"/>
  <c r="Q16" i="13"/>
  <c r="Q39" i="13"/>
  <c r="Q74" i="13"/>
  <c r="Q35" i="13"/>
  <c r="Q11" i="13"/>
  <c r="Q56" i="13"/>
  <c r="Q111" i="13"/>
  <c r="Q30" i="13"/>
  <c r="Q75" i="13"/>
  <c r="Q97" i="13"/>
  <c r="Q24" i="13"/>
  <c r="Q95" i="13"/>
  <c r="Q42" i="13"/>
  <c r="Q85" i="13"/>
  <c r="Q53" i="13"/>
  <c r="Q43" i="13"/>
  <c r="Q8" i="13"/>
  <c r="Q18" i="13"/>
  <c r="Q77" i="13"/>
  <c r="Q21" i="13"/>
  <c r="Q81" i="13"/>
  <c r="Q37" i="13"/>
  <c r="Q103" i="13"/>
  <c r="Q73" i="13"/>
  <c r="Q91" i="13"/>
  <c r="Q89" i="13"/>
  <c r="Q79" i="13"/>
  <c r="Q44" i="13"/>
  <c r="Q23" i="13"/>
  <c r="Q82" i="13"/>
  <c r="Q27" i="13"/>
  <c r="Q15" i="13"/>
  <c r="Q67" i="13"/>
  <c r="Q41" i="13"/>
  <c r="Q51" i="13"/>
  <c r="Q109" i="13"/>
  <c r="Q65" i="13"/>
  <c r="Q10" i="13"/>
  <c r="Q28" i="13"/>
  <c r="Q54" i="13"/>
  <c r="Q33" i="13"/>
  <c r="Q19" i="13"/>
  <c r="Q108" i="13"/>
  <c r="Q88" i="13"/>
  <c r="Q45" i="13"/>
  <c r="Q93" i="13"/>
  <c r="Q98" i="13"/>
  <c r="Q13" i="13"/>
  <c r="Q61" i="13"/>
  <c r="Q55" i="13"/>
  <c r="Q66" i="13"/>
  <c r="Q9" i="13"/>
  <c r="Q57" i="13"/>
  <c r="Q12" i="13"/>
  <c r="Q25" i="13"/>
  <c r="Q78" i="13"/>
  <c r="Q17" i="13"/>
  <c r="Q92" i="13"/>
  <c r="Q100" i="13"/>
  <c r="Q114" i="13"/>
  <c r="Q14" i="13"/>
  <c r="Q68" i="13"/>
  <c r="Q63" i="13"/>
  <c r="Q20" i="13"/>
  <c r="Q76" i="13"/>
  <c r="Q49" i="13"/>
  <c r="Q22" i="13"/>
  <c r="Q96" i="13"/>
  <c r="Q52" i="13"/>
  <c r="Q31" i="13"/>
  <c r="Q102" i="13"/>
  <c r="Q69" i="13"/>
  <c r="Q84" i="13"/>
  <c r="Q94" i="13"/>
  <c r="Q47" i="13"/>
  <c r="Q59" i="13"/>
  <c r="Q60" i="13"/>
  <c r="Q90" i="13"/>
  <c r="Q29" i="13"/>
  <c r="Q48" i="13"/>
  <c r="Q34" i="13"/>
  <c r="Q105" i="13"/>
  <c r="Q104" i="13"/>
  <c r="Q86" i="13"/>
  <c r="Q40" i="13"/>
  <c r="Q71" i="13"/>
  <c r="Q58" i="13"/>
  <c r="Q113" i="13"/>
  <c r="Q106" i="13"/>
  <c r="Q110" i="13"/>
  <c r="Q83" i="13"/>
  <c r="Q46" i="13"/>
  <c r="Q36" i="13"/>
  <c r="Q70" i="13"/>
  <c r="Q115" i="13"/>
  <c r="Q62" i="13"/>
  <c r="P66" i="13"/>
  <c r="P70" i="13"/>
  <c r="P38" i="13"/>
  <c r="P80" i="13"/>
  <c r="P108" i="13"/>
  <c r="P50" i="13"/>
  <c r="P58" i="13"/>
  <c r="P36" i="13"/>
  <c r="P106" i="13"/>
  <c r="P88" i="13"/>
  <c r="P30" i="13"/>
  <c r="P114" i="13"/>
  <c r="P28" i="13"/>
  <c r="P110" i="13"/>
  <c r="P12" i="13"/>
  <c r="P92" i="13"/>
  <c r="P52" i="13"/>
  <c r="P74" i="13"/>
  <c r="P32" i="13"/>
  <c r="P84" i="13"/>
  <c r="P100" i="13"/>
  <c r="P18" i="13"/>
  <c r="P40" i="13"/>
  <c r="P10" i="13"/>
  <c r="P15" i="13"/>
  <c r="P83" i="13"/>
  <c r="P78" i="13"/>
  <c r="P34" i="13"/>
  <c r="P102" i="13"/>
  <c r="P105" i="13"/>
  <c r="P68" i="13"/>
  <c r="P31" i="13"/>
  <c r="P16" i="13"/>
  <c r="P54" i="13"/>
  <c r="P63" i="13"/>
  <c r="P62" i="13"/>
  <c r="P43" i="13"/>
  <c r="P59" i="13"/>
  <c r="P86" i="13"/>
  <c r="P71" i="13"/>
  <c r="P23" i="13"/>
  <c r="P49" i="13"/>
  <c r="P29" i="13"/>
  <c r="P26" i="13"/>
  <c r="P111" i="13"/>
  <c r="P37" i="13"/>
  <c r="P76" i="13"/>
  <c r="P97" i="13"/>
  <c r="P27" i="13"/>
  <c r="P101" i="13"/>
  <c r="P61" i="13"/>
  <c r="P113" i="13"/>
  <c r="P39" i="13"/>
  <c r="P17" i="13"/>
  <c r="P95" i="13"/>
  <c r="P35" i="13"/>
  <c r="P98" i="13"/>
  <c r="P67" i="13"/>
  <c r="P65" i="13"/>
  <c r="P46" i="13"/>
  <c r="P13" i="13"/>
  <c r="P103" i="13"/>
  <c r="P55" i="13"/>
  <c r="P64" i="13"/>
  <c r="P21" i="13"/>
  <c r="P112" i="13"/>
  <c r="P47" i="13"/>
  <c r="P82" i="13"/>
  <c r="P87" i="13"/>
  <c r="P22" i="13"/>
  <c r="P53" i="13"/>
  <c r="P25" i="13"/>
  <c r="P81" i="13"/>
  <c r="P99" i="13"/>
  <c r="P69" i="13"/>
  <c r="P33" i="13"/>
  <c r="P115" i="13"/>
  <c r="P107" i="13"/>
  <c r="P24" i="13"/>
  <c r="P72" i="13"/>
  <c r="P56" i="13"/>
  <c r="P90" i="13"/>
  <c r="P45" i="13"/>
  <c r="P94" i="13"/>
  <c r="P75" i="13"/>
  <c r="P11" i="13"/>
  <c r="P41" i="13"/>
  <c r="P19" i="13"/>
  <c r="P79" i="13"/>
  <c r="P73" i="13"/>
  <c r="P60" i="13"/>
  <c r="P77" i="13"/>
  <c r="P42" i="13"/>
  <c r="P104" i="13"/>
  <c r="P85" i="13"/>
  <c r="P96" i="13"/>
  <c r="P14" i="13"/>
  <c r="P20" i="13"/>
  <c r="P44" i="13"/>
  <c r="P91" i="13"/>
  <c r="P93" i="13"/>
  <c r="P51" i="13"/>
  <c r="P8" i="13"/>
  <c r="P109" i="13"/>
  <c r="P57" i="13"/>
  <c r="P48" i="13"/>
  <c r="P89" i="13"/>
  <c r="P9" i="13"/>
  <c r="O18" i="4"/>
  <c r="P18" i="4"/>
  <c r="Q18" i="4"/>
  <c r="R18" i="4"/>
  <c r="S18" i="4"/>
  <c r="S2" i="13" l="1"/>
  <c r="T2" i="13"/>
  <c r="O2" i="13"/>
  <c r="O87" i="13" l="1"/>
  <c r="O94" i="13"/>
  <c r="O82" i="13"/>
  <c r="X82" i="13" s="1"/>
  <c r="O26" i="13"/>
  <c r="O31" i="13"/>
  <c r="O39" i="13"/>
  <c r="O106" i="13"/>
  <c r="O11" i="13"/>
  <c r="O67" i="13"/>
  <c r="O23" i="13"/>
  <c r="O54" i="13"/>
  <c r="O115" i="13"/>
  <c r="O47" i="13"/>
  <c r="O95" i="13"/>
  <c r="O65" i="13"/>
  <c r="O104" i="13"/>
  <c r="O44" i="13"/>
  <c r="O73" i="13"/>
  <c r="O70" i="13"/>
  <c r="O63" i="13"/>
  <c r="O56" i="13"/>
  <c r="O92" i="13"/>
  <c r="O8" i="13"/>
  <c r="O30" i="13"/>
  <c r="O53" i="13"/>
  <c r="O98" i="13"/>
  <c r="O52" i="13"/>
  <c r="O71" i="13"/>
  <c r="O29" i="13"/>
  <c r="O83" i="13"/>
  <c r="O10" i="13"/>
  <c r="O40" i="13"/>
  <c r="O114" i="13"/>
  <c r="O85" i="13"/>
  <c r="O25" i="13"/>
  <c r="O84" i="13"/>
  <c r="O34" i="13"/>
  <c r="O58" i="13"/>
  <c r="O68" i="13"/>
  <c r="O102" i="13"/>
  <c r="O100" i="13"/>
  <c r="O17" i="13"/>
  <c r="O76" i="13"/>
  <c r="X76" i="13" s="1"/>
  <c r="O97" i="13"/>
  <c r="O69" i="13"/>
  <c r="O88" i="13"/>
  <c r="O57" i="13"/>
  <c r="O55" i="13"/>
  <c r="O41" i="13"/>
  <c r="O81" i="13"/>
  <c r="O60" i="13"/>
  <c r="X60" i="13" s="1"/>
  <c r="O93" i="13"/>
  <c r="O45" i="13"/>
  <c r="O75" i="13"/>
  <c r="O89" i="13"/>
  <c r="O90" i="13"/>
  <c r="O78" i="13"/>
  <c r="O28" i="13"/>
  <c r="O49" i="13"/>
  <c r="O101" i="13"/>
  <c r="O61" i="13"/>
  <c r="O50" i="13"/>
  <c r="O13" i="13"/>
  <c r="O72" i="13"/>
  <c r="O14" i="13"/>
  <c r="O27" i="13"/>
  <c r="O33" i="13"/>
  <c r="O103" i="13"/>
  <c r="O32" i="13"/>
  <c r="O107" i="13"/>
  <c r="O19" i="13"/>
  <c r="X19" i="13" s="1"/>
  <c r="O18" i="13"/>
  <c r="O113" i="13"/>
  <c r="O108" i="13"/>
  <c r="O20" i="13"/>
  <c r="O59" i="13"/>
  <c r="O110" i="13"/>
  <c r="O99" i="13"/>
  <c r="O15" i="13"/>
  <c r="O46" i="13"/>
  <c r="O48" i="13"/>
  <c r="O80" i="13"/>
  <c r="O79" i="13"/>
  <c r="O43" i="13"/>
  <c r="O105" i="13"/>
  <c r="O42" i="13"/>
  <c r="O38" i="13"/>
  <c r="O77" i="13"/>
  <c r="O91" i="13"/>
  <c r="O109" i="13"/>
  <c r="O36" i="13"/>
  <c r="O62" i="13"/>
  <c r="O96" i="13"/>
  <c r="O112" i="13"/>
  <c r="O35" i="13"/>
  <c r="O9" i="13"/>
  <c r="O86" i="13"/>
  <c r="O12" i="13"/>
  <c r="O51" i="13"/>
  <c r="O74" i="13"/>
  <c r="O21" i="13"/>
  <c r="O16" i="13"/>
  <c r="O64" i="13"/>
  <c r="O22" i="13"/>
  <c r="O37" i="13"/>
  <c r="O66" i="13"/>
  <c r="O24" i="13"/>
  <c r="X24" i="13" s="1"/>
  <c r="O111" i="13"/>
  <c r="T74" i="13"/>
  <c r="T66" i="13"/>
  <c r="T111" i="13"/>
  <c r="AC111" i="13" s="1"/>
  <c r="T115" i="13"/>
  <c r="T70" i="13"/>
  <c r="T62" i="13"/>
  <c r="T68" i="13"/>
  <c r="T78" i="13"/>
  <c r="T22" i="13"/>
  <c r="T113" i="13"/>
  <c r="T69" i="13"/>
  <c r="AC69" i="13" s="1"/>
  <c r="T64" i="13"/>
  <c r="T57" i="13"/>
  <c r="T24" i="13"/>
  <c r="T8" i="13"/>
  <c r="T81" i="13"/>
  <c r="T37" i="13"/>
  <c r="T25" i="13"/>
  <c r="T85" i="13"/>
  <c r="AC85" i="13" s="1"/>
  <c r="T91" i="13"/>
  <c r="T100" i="13"/>
  <c r="T43" i="13"/>
  <c r="T71" i="13"/>
  <c r="T65" i="13"/>
  <c r="T92" i="13"/>
  <c r="T41" i="13"/>
  <c r="T80" i="13"/>
  <c r="T34" i="13"/>
  <c r="T72" i="13"/>
  <c r="T93" i="13"/>
  <c r="T40" i="13"/>
  <c r="T73" i="13"/>
  <c r="T54" i="13"/>
  <c r="T32" i="13"/>
  <c r="T60" i="13"/>
  <c r="AC61" i="13" s="1"/>
  <c r="T107" i="13"/>
  <c r="T86" i="13"/>
  <c r="T53" i="13"/>
  <c r="T56" i="13"/>
  <c r="T79" i="13"/>
  <c r="T105" i="13"/>
  <c r="T17" i="13"/>
  <c r="T109" i="13"/>
  <c r="T20" i="13"/>
  <c r="T61" i="13"/>
  <c r="T44" i="13"/>
  <c r="T106" i="13"/>
  <c r="T9" i="13"/>
  <c r="T49" i="13"/>
  <c r="T103" i="13"/>
  <c r="T50" i="13"/>
  <c r="T97" i="13"/>
  <c r="T16" i="13"/>
  <c r="T28" i="13"/>
  <c r="T90" i="13"/>
  <c r="T29" i="13"/>
  <c r="T10" i="13"/>
  <c r="T59" i="13"/>
  <c r="T114" i="13"/>
  <c r="T21" i="13"/>
  <c r="T26" i="13"/>
  <c r="T95" i="13"/>
  <c r="T45" i="13"/>
  <c r="T14" i="13"/>
  <c r="T39" i="13"/>
  <c r="T87" i="13"/>
  <c r="T98" i="13"/>
  <c r="T63" i="13"/>
  <c r="T47" i="13"/>
  <c r="T77" i="13"/>
  <c r="T96" i="13"/>
  <c r="T55" i="13"/>
  <c r="T36" i="13"/>
  <c r="T89" i="13"/>
  <c r="T46" i="13"/>
  <c r="T33" i="13"/>
  <c r="T75" i="13"/>
  <c r="T51" i="13"/>
  <c r="T30" i="13"/>
  <c r="T19" i="13"/>
  <c r="T67" i="13"/>
  <c r="T82" i="13"/>
  <c r="T12" i="13"/>
  <c r="AC12" i="13" s="1"/>
  <c r="T48" i="13"/>
  <c r="T110" i="13"/>
  <c r="T99" i="13"/>
  <c r="T108" i="13"/>
  <c r="T18" i="13"/>
  <c r="T38" i="13"/>
  <c r="T101" i="13"/>
  <c r="T76" i="13"/>
  <c r="T31" i="13"/>
  <c r="T104" i="13"/>
  <c r="T13" i="13"/>
  <c r="T58" i="13"/>
  <c r="T112" i="13"/>
  <c r="T23" i="13"/>
  <c r="T94" i="13"/>
  <c r="T84" i="13"/>
  <c r="T88" i="13"/>
  <c r="T15" i="13"/>
  <c r="T102" i="13"/>
  <c r="T52" i="13"/>
  <c r="T83" i="13"/>
  <c r="T27" i="13"/>
  <c r="T11" i="13"/>
  <c r="T42" i="13"/>
  <c r="T35" i="13"/>
  <c r="S45" i="13"/>
  <c r="S60" i="13"/>
  <c r="S53" i="13"/>
  <c r="AB53" i="13" s="1"/>
  <c r="S77" i="13"/>
  <c r="S61" i="13"/>
  <c r="S92" i="13"/>
  <c r="S54" i="13"/>
  <c r="S18" i="13"/>
  <c r="S102" i="13"/>
  <c r="S25" i="13"/>
  <c r="S57" i="13"/>
  <c r="S93" i="13"/>
  <c r="S90" i="13"/>
  <c r="S101" i="13"/>
  <c r="S46" i="13"/>
  <c r="S34" i="13"/>
  <c r="S69" i="13"/>
  <c r="S94" i="13"/>
  <c r="S88" i="13"/>
  <c r="S29" i="13"/>
  <c r="S58" i="13"/>
  <c r="S14" i="13"/>
  <c r="S114" i="13"/>
  <c r="S106" i="13"/>
  <c r="S111" i="13"/>
  <c r="S113" i="13"/>
  <c r="S62" i="13"/>
  <c r="S28" i="13"/>
  <c r="S36" i="13"/>
  <c r="S30" i="13"/>
  <c r="S32" i="13"/>
  <c r="S115" i="13"/>
  <c r="AB115" i="13" s="1"/>
  <c r="S67" i="13"/>
  <c r="S103" i="13"/>
  <c r="S76" i="13"/>
  <c r="S108" i="13"/>
  <c r="S47" i="13"/>
  <c r="S35" i="13"/>
  <c r="S63" i="13"/>
  <c r="S70" i="13"/>
  <c r="S86" i="13"/>
  <c r="S97" i="13"/>
  <c r="S80" i="13"/>
  <c r="S59" i="13"/>
  <c r="S42" i="13"/>
  <c r="S107" i="13"/>
  <c r="S109" i="13"/>
  <c r="AB109" i="13" s="1"/>
  <c r="S64" i="13"/>
  <c r="AB65" i="13" s="1"/>
  <c r="S105" i="13"/>
  <c r="S38" i="13"/>
  <c r="S99" i="13"/>
  <c r="AB99" i="13" s="1"/>
  <c r="S52" i="13"/>
  <c r="S22" i="13"/>
  <c r="S24" i="13"/>
  <c r="S26" i="13"/>
  <c r="S85" i="13"/>
  <c r="S91" i="13"/>
  <c r="S72" i="13"/>
  <c r="S74" i="13"/>
  <c r="S79" i="13"/>
  <c r="S100" i="13"/>
  <c r="S33" i="13"/>
  <c r="S56" i="13"/>
  <c r="S16" i="13"/>
  <c r="S21" i="13"/>
  <c r="AB21" i="13" s="1"/>
  <c r="S71" i="13"/>
  <c r="S20" i="13"/>
  <c r="S65" i="13"/>
  <c r="S10" i="13"/>
  <c r="S68" i="13"/>
  <c r="S15" i="13"/>
  <c r="S17" i="13"/>
  <c r="S44" i="13"/>
  <c r="S41" i="13"/>
  <c r="S50" i="13"/>
  <c r="S87" i="13"/>
  <c r="S37" i="13"/>
  <c r="S27" i="13"/>
  <c r="S9" i="13"/>
  <c r="AB10" i="13" s="1"/>
  <c r="S110" i="13"/>
  <c r="AB110" i="13" s="1"/>
  <c r="S19" i="13"/>
  <c r="AB19" i="13" s="1"/>
  <c r="S112" i="13"/>
  <c r="S39" i="13"/>
  <c r="S49" i="13"/>
  <c r="S83" i="13"/>
  <c r="S84" i="13"/>
  <c r="S51" i="13"/>
  <c r="S13" i="13"/>
  <c r="AB13" i="13" s="1"/>
  <c r="S98" i="13"/>
  <c r="S89" i="13"/>
  <c r="S40" i="13"/>
  <c r="S73" i="13"/>
  <c r="S95" i="13"/>
  <c r="S12" i="13"/>
  <c r="S48" i="13"/>
  <c r="S55" i="13"/>
  <c r="S96" i="13"/>
  <c r="S81" i="13"/>
  <c r="S31" i="13"/>
  <c r="S78" i="13"/>
  <c r="S8" i="13"/>
  <c r="S23" i="13"/>
  <c r="S82" i="13"/>
  <c r="AB83" i="13" s="1"/>
  <c r="S75" i="13"/>
  <c r="AB75" i="13" s="1"/>
  <c r="S43" i="13"/>
  <c r="S11" i="13"/>
  <c r="S104" i="13"/>
  <c r="S66" i="13"/>
  <c r="X59" i="13"/>
  <c r="AC40" i="13"/>
  <c r="Z106" i="13"/>
  <c r="Z47" i="13"/>
  <c r="AB22" i="13"/>
  <c r="AB18" i="13"/>
  <c r="AA66" i="13"/>
  <c r="AA42" i="13"/>
  <c r="AA52" i="13"/>
  <c r="AA35" i="13"/>
  <c r="AA106" i="13"/>
  <c r="Z53" i="13"/>
  <c r="Y56" i="13"/>
  <c r="Y73" i="13"/>
  <c r="X23" i="13"/>
  <c r="X75" i="13"/>
  <c r="Y109" i="13"/>
  <c r="Z86" i="13"/>
  <c r="Z62" i="13"/>
  <c r="AA104" i="13"/>
  <c r="Z103" i="13"/>
  <c r="Y102" i="13"/>
  <c r="X101" i="13"/>
  <c r="X93" i="13"/>
  <c r="AB81" i="13"/>
  <c r="AA72" i="13"/>
  <c r="Z71" i="13"/>
  <c r="Y70" i="13"/>
  <c r="Z107" i="13"/>
  <c r="AB93" i="13"/>
  <c r="Z91" i="13"/>
  <c r="AB69" i="13"/>
  <c r="Y107" i="13"/>
  <c r="AA85" i="13"/>
  <c r="AB78" i="13"/>
  <c r="K6" i="10"/>
  <c r="K7" i="10"/>
  <c r="J8" i="10"/>
  <c r="J7" i="10"/>
  <c r="J6" i="10"/>
  <c r="K8" i="10"/>
  <c r="AC60" i="13" l="1"/>
  <c r="X83" i="13"/>
  <c r="X47" i="13"/>
  <c r="X66" i="13"/>
  <c r="X51" i="13"/>
  <c r="X85" i="13"/>
  <c r="X103" i="13"/>
  <c r="AA59" i="13"/>
  <c r="AB85" i="13"/>
  <c r="X20" i="13"/>
  <c r="Y59" i="13"/>
  <c r="Y91" i="13"/>
  <c r="AB113" i="13"/>
  <c r="X16" i="13"/>
  <c r="AB96" i="13"/>
  <c r="AB38" i="13"/>
  <c r="Z29" i="13"/>
  <c r="AC27" i="13"/>
  <c r="AA109" i="13"/>
  <c r="AA79" i="13"/>
  <c r="Y96" i="13"/>
  <c r="Y113" i="13"/>
  <c r="Z34" i="13"/>
  <c r="Z65" i="13"/>
  <c r="AA40" i="13"/>
  <c r="AA37" i="13"/>
  <c r="AA15" i="13"/>
  <c r="AB103" i="13"/>
  <c r="AB98" i="13"/>
  <c r="AC107" i="13"/>
  <c r="Z24" i="13"/>
  <c r="AA47" i="13"/>
  <c r="Y23" i="13"/>
  <c r="AA82" i="13"/>
  <c r="Y26" i="13"/>
  <c r="AA24" i="13"/>
  <c r="AA30" i="13"/>
  <c r="AA100" i="13"/>
  <c r="AA69" i="13"/>
  <c r="Z63" i="13"/>
  <c r="Z50" i="13"/>
  <c r="Z56" i="13"/>
  <c r="Y61" i="13"/>
  <c r="Y93" i="13"/>
  <c r="Y32" i="13"/>
  <c r="X72" i="13"/>
  <c r="X98" i="13"/>
  <c r="X56" i="13"/>
  <c r="X96" i="13"/>
  <c r="X32" i="13"/>
  <c r="X91" i="13"/>
  <c r="X97" i="13"/>
  <c r="AC93" i="13"/>
  <c r="AC29" i="13"/>
  <c r="AC37" i="13"/>
  <c r="AC58" i="13"/>
  <c r="AC50" i="13"/>
  <c r="AC94" i="13"/>
  <c r="AC47" i="13"/>
  <c r="AC20" i="13"/>
  <c r="AC73" i="13"/>
  <c r="AC76" i="13"/>
  <c r="AC98" i="13"/>
  <c r="AC112" i="13"/>
  <c r="AC24" i="13"/>
  <c r="AC31" i="13"/>
  <c r="AC102" i="13"/>
  <c r="AC109" i="13"/>
  <c r="AC96" i="13"/>
  <c r="AC90" i="13"/>
  <c r="AC114" i="13"/>
  <c r="AB15" i="13"/>
  <c r="AB58" i="13"/>
  <c r="AB106" i="13"/>
  <c r="AB50" i="13"/>
  <c r="AB23" i="13"/>
  <c r="AB73" i="13"/>
  <c r="AB42" i="13"/>
  <c r="AB100" i="13"/>
  <c r="AB111" i="13"/>
  <c r="AB67" i="13"/>
  <c r="AB33" i="13"/>
  <c r="AB104" i="13"/>
  <c r="AB88" i="13"/>
  <c r="AA93" i="13"/>
  <c r="AA103" i="13"/>
  <c r="Z38" i="13"/>
  <c r="Z89" i="13"/>
  <c r="Z98" i="13"/>
  <c r="U49" i="13"/>
  <c r="AA77" i="13"/>
  <c r="AA64" i="13"/>
  <c r="AA108" i="13"/>
  <c r="AA48" i="13"/>
  <c r="AA71" i="13"/>
  <c r="AA21" i="13"/>
  <c r="AA44" i="13"/>
  <c r="AA74" i="13"/>
  <c r="AA33" i="13"/>
  <c r="AA28" i="13"/>
  <c r="AA115" i="13"/>
  <c r="AA57" i="13"/>
  <c r="AA88" i="13"/>
  <c r="AA97" i="13"/>
  <c r="AA13" i="13"/>
  <c r="Z114" i="13"/>
  <c r="Z67" i="13"/>
  <c r="Z17" i="13"/>
  <c r="Z19" i="13"/>
  <c r="Z41" i="13"/>
  <c r="Z11" i="13"/>
  <c r="Z75" i="13"/>
  <c r="Z59" i="13"/>
  <c r="Z22" i="13"/>
  <c r="Z100" i="13"/>
  <c r="Z44" i="13"/>
  <c r="Z33" i="13"/>
  <c r="Z20" i="13"/>
  <c r="Z78" i="13"/>
  <c r="Z112" i="13"/>
  <c r="Z52" i="13"/>
  <c r="Y47" i="13"/>
  <c r="Y30" i="13"/>
  <c r="Y11" i="13"/>
  <c r="Y110" i="13"/>
  <c r="Y84" i="13"/>
  <c r="Y104" i="13"/>
  <c r="Y14" i="13"/>
  <c r="Y28" i="13"/>
  <c r="Y74" i="13"/>
  <c r="Y40" i="13"/>
  <c r="Y42" i="13"/>
  <c r="Y75" i="13"/>
  <c r="Y101" i="13"/>
  <c r="Y87" i="13"/>
  <c r="Y106" i="13"/>
  <c r="Y53" i="13"/>
  <c r="X105" i="13"/>
  <c r="X79" i="13"/>
  <c r="X65" i="13"/>
  <c r="X108" i="13"/>
  <c r="X33" i="13"/>
  <c r="X80" i="13"/>
  <c r="X99" i="13"/>
  <c r="X89" i="13"/>
  <c r="X26" i="13"/>
  <c r="X12" i="13"/>
  <c r="X44" i="13"/>
  <c r="X63" i="13"/>
  <c r="X71" i="13"/>
  <c r="X77" i="13"/>
  <c r="X113" i="13"/>
  <c r="X48" i="13"/>
  <c r="X106" i="13"/>
  <c r="X38" i="13"/>
  <c r="X112" i="13"/>
  <c r="X52" i="13"/>
  <c r="X11" i="13"/>
  <c r="Y86" i="13"/>
  <c r="Y39" i="13"/>
  <c r="AC77" i="13"/>
  <c r="AC71" i="13"/>
  <c r="AC87" i="13"/>
  <c r="AC103" i="13"/>
  <c r="AB101" i="13"/>
  <c r="Y62" i="13"/>
  <c r="Z87" i="13"/>
  <c r="AA112" i="13"/>
  <c r="Y77" i="13"/>
  <c r="AA95" i="13"/>
  <c r="X9" i="13"/>
  <c r="X41" i="13"/>
  <c r="X94" i="13"/>
  <c r="X34" i="13"/>
  <c r="Y79" i="13"/>
  <c r="Y65" i="13"/>
  <c r="Y71" i="13"/>
  <c r="Y50" i="13"/>
  <c r="Z96" i="13"/>
  <c r="Z82" i="13"/>
  <c r="Z48" i="13"/>
  <c r="Z35" i="13"/>
  <c r="AA11" i="13"/>
  <c r="AA91" i="13"/>
  <c r="AA60" i="13"/>
  <c r="AA50" i="13"/>
  <c r="AB40" i="13"/>
  <c r="AB107" i="13"/>
  <c r="AB52" i="13"/>
  <c r="AB60" i="13"/>
  <c r="AB11" i="13"/>
  <c r="AB90" i="13"/>
  <c r="AB76" i="13"/>
  <c r="AB30" i="13"/>
  <c r="AB27" i="13"/>
  <c r="AC84" i="13"/>
  <c r="AC80" i="13"/>
  <c r="AC97" i="13"/>
  <c r="AC100" i="13"/>
  <c r="AC52" i="13"/>
  <c r="AC17" i="13"/>
  <c r="AC44" i="13"/>
  <c r="AC82" i="13"/>
  <c r="Z93" i="13"/>
  <c r="Z27" i="13"/>
  <c r="Z31" i="13"/>
  <c r="Z21" i="13"/>
  <c r="AA32" i="13"/>
  <c r="X39" i="13"/>
  <c r="AC39" i="13"/>
  <c r="Y12" i="13"/>
  <c r="Y82" i="13"/>
  <c r="Y114" i="13"/>
  <c r="Y45" i="13"/>
  <c r="Y36" i="13"/>
  <c r="Z68" i="13"/>
  <c r="AA27" i="13"/>
  <c r="AA110" i="13"/>
  <c r="AA25" i="13"/>
  <c r="AC42" i="13"/>
  <c r="X86" i="13"/>
  <c r="X115" i="13"/>
  <c r="X69" i="13"/>
  <c r="X25" i="13"/>
  <c r="X57" i="13"/>
  <c r="Y17" i="13"/>
  <c r="AA56" i="13"/>
  <c r="AB14" i="13"/>
  <c r="AC75" i="13"/>
  <c r="V49" i="13"/>
  <c r="AC105" i="13"/>
  <c r="AC35" i="13"/>
  <c r="Z55" i="13"/>
  <c r="AA65" i="13"/>
  <c r="Y99" i="13"/>
  <c r="AC70" i="13"/>
  <c r="Z95" i="13"/>
  <c r="Z110" i="13"/>
  <c r="X29" i="13"/>
  <c r="X88" i="13"/>
  <c r="X22" i="13"/>
  <c r="X54" i="13"/>
  <c r="Y20" i="13"/>
  <c r="Z51" i="13"/>
  <c r="Z26" i="13"/>
  <c r="AA43" i="13"/>
  <c r="AB57" i="13"/>
  <c r="AB72" i="13"/>
  <c r="AB46" i="13"/>
  <c r="AB51" i="13"/>
  <c r="AC89" i="13"/>
  <c r="AC26" i="13"/>
  <c r="AC57" i="13"/>
  <c r="AA101" i="13"/>
  <c r="Z70" i="13"/>
  <c r="X36" i="13"/>
  <c r="Y68" i="13"/>
  <c r="Z101" i="13"/>
  <c r="Z73" i="13"/>
  <c r="Z13" i="13"/>
  <c r="Z104" i="13"/>
  <c r="AA84" i="13"/>
  <c r="AB32" i="13"/>
  <c r="AB79" i="13"/>
  <c r="AB48" i="13"/>
  <c r="AB16" i="13"/>
  <c r="AB87" i="13"/>
  <c r="AB82" i="13"/>
  <c r="AB59" i="13"/>
  <c r="AC10" i="13"/>
  <c r="AC15" i="13"/>
  <c r="AC22" i="13"/>
  <c r="AC65" i="13"/>
  <c r="Z10" i="13"/>
  <c r="AA19" i="13"/>
  <c r="Y35" i="13"/>
  <c r="Y44" i="13"/>
  <c r="AA53" i="13"/>
  <c r="X102" i="13"/>
  <c r="Y80" i="13"/>
  <c r="AA96" i="13"/>
  <c r="AA111" i="13"/>
  <c r="Y24" i="13"/>
  <c r="Z42" i="13"/>
  <c r="AA22" i="13"/>
  <c r="AA86" i="13"/>
  <c r="AA31" i="13"/>
  <c r="AB35" i="13"/>
  <c r="AB41" i="13"/>
  <c r="U81" i="13"/>
  <c r="AC81" i="13"/>
  <c r="AC43" i="13"/>
  <c r="AC113" i="13"/>
  <c r="U108" i="13"/>
  <c r="AC108" i="13"/>
  <c r="Z108" i="13"/>
  <c r="Z84" i="13"/>
  <c r="Z39" i="13"/>
  <c r="U16" i="13"/>
  <c r="AC16" i="13"/>
  <c r="Z58" i="13"/>
  <c r="Y10" i="13"/>
  <c r="Y54" i="13"/>
  <c r="Y51" i="13"/>
  <c r="Z36" i="13"/>
  <c r="AA62" i="13"/>
  <c r="AA113" i="13"/>
  <c r="AC19" i="13"/>
  <c r="X27" i="13"/>
  <c r="X73" i="13"/>
  <c r="X81" i="13"/>
  <c r="X64" i="13"/>
  <c r="AB70" i="13"/>
  <c r="AB86" i="13"/>
  <c r="AB102" i="13"/>
  <c r="AC101" i="13"/>
  <c r="AB77" i="13"/>
  <c r="Z99" i="13"/>
  <c r="X61" i="13"/>
  <c r="AB97" i="13"/>
  <c r="Z111" i="13"/>
  <c r="Z94" i="13"/>
  <c r="X110" i="13"/>
  <c r="X37" i="13"/>
  <c r="X111" i="13"/>
  <c r="X40" i="13"/>
  <c r="X92" i="13"/>
  <c r="X30" i="13"/>
  <c r="Y60" i="13"/>
  <c r="Y63" i="13"/>
  <c r="Y34" i="13"/>
  <c r="Y27" i="13"/>
  <c r="Z15" i="13"/>
  <c r="Z80" i="13"/>
  <c r="Z66" i="13"/>
  <c r="Z45" i="13"/>
  <c r="Z25" i="13"/>
  <c r="AA68" i="13"/>
  <c r="AA114" i="13"/>
  <c r="AA102" i="13"/>
  <c r="AA89" i="13"/>
  <c r="AA55" i="13"/>
  <c r="AA45" i="13"/>
  <c r="AB36" i="13"/>
  <c r="AB31" i="13"/>
  <c r="AB95" i="13"/>
  <c r="AB39" i="13"/>
  <c r="AB37" i="13"/>
  <c r="AB84" i="13"/>
  <c r="AB74" i="13"/>
  <c r="AB26" i="13"/>
  <c r="AB64" i="13"/>
  <c r="AC72" i="13"/>
  <c r="AC68" i="13"/>
  <c r="AC88" i="13"/>
  <c r="Z109" i="13"/>
  <c r="AC83" i="13"/>
  <c r="AC21" i="13"/>
  <c r="AC41" i="13"/>
  <c r="AC74" i="13"/>
  <c r="Z77" i="13"/>
  <c r="Z113" i="13"/>
  <c r="Z18" i="13"/>
  <c r="Y15" i="13"/>
  <c r="Y48" i="13"/>
  <c r="AC34" i="13"/>
  <c r="Z16" i="13"/>
  <c r="Y100" i="13"/>
  <c r="Y64" i="13"/>
  <c r="Y16" i="13"/>
  <c r="Y52" i="13"/>
  <c r="Z32" i="13"/>
  <c r="AA70" i="13"/>
  <c r="AA92" i="13"/>
  <c r="AA83" i="13"/>
  <c r="AC56" i="13"/>
  <c r="X70" i="13"/>
  <c r="X90" i="13"/>
  <c r="Z46" i="13"/>
  <c r="Z83" i="13"/>
  <c r="Y81" i="13"/>
  <c r="AB91" i="13"/>
  <c r="AB34" i="13"/>
  <c r="AA29" i="13"/>
  <c r="AA61" i="13"/>
  <c r="X10" i="13"/>
  <c r="Z57" i="13"/>
  <c r="AB114" i="13"/>
  <c r="AC115" i="13"/>
  <c r="Y97" i="13"/>
  <c r="Y57" i="13"/>
  <c r="AC66" i="13"/>
  <c r="X35" i="13"/>
  <c r="AB62" i="13"/>
  <c r="AB94" i="13"/>
  <c r="AC86" i="13"/>
  <c r="Z79" i="13"/>
  <c r="Y85" i="13"/>
  <c r="X21" i="13"/>
  <c r="X53" i="13"/>
  <c r="X62" i="13"/>
  <c r="X14" i="13"/>
  <c r="X46" i="13"/>
  <c r="Y98" i="13"/>
  <c r="Y89" i="13"/>
  <c r="Z60" i="13"/>
  <c r="Z37" i="13"/>
  <c r="Z72" i="13"/>
  <c r="Z69" i="13"/>
  <c r="AA17" i="13"/>
  <c r="AA18" i="13"/>
  <c r="AA99" i="13"/>
  <c r="AB55" i="13"/>
  <c r="AB24" i="13"/>
  <c r="AB45" i="13"/>
  <c r="AB112" i="13"/>
  <c r="AB47" i="13"/>
  <c r="AB12" i="13"/>
  <c r="AB56" i="13"/>
  <c r="AB108" i="13"/>
  <c r="AC13" i="13"/>
  <c r="AC14" i="13"/>
  <c r="AC33" i="13"/>
  <c r="AC23" i="13"/>
  <c r="AC30" i="13"/>
  <c r="AC64" i="13"/>
  <c r="AC104" i="13"/>
  <c r="AC36" i="13"/>
  <c r="AC28" i="13"/>
  <c r="Z81" i="13"/>
  <c r="Z54" i="13"/>
  <c r="AA39" i="13"/>
  <c r="Y19" i="13"/>
  <c r="Y49" i="13"/>
  <c r="Y95" i="13"/>
  <c r="Y76" i="13"/>
  <c r="Y43" i="13"/>
  <c r="Y38" i="13"/>
  <c r="AA10" i="13"/>
  <c r="AA78" i="13"/>
  <c r="AA14" i="13"/>
  <c r="W49" i="13"/>
  <c r="AC49" i="13"/>
  <c r="X68" i="13"/>
  <c r="X87" i="13"/>
  <c r="AA34" i="13"/>
  <c r="X78" i="13"/>
  <c r="X15" i="13"/>
  <c r="AC78" i="13"/>
  <c r="X13" i="13"/>
  <c r="Z97" i="13"/>
  <c r="Y46" i="13"/>
  <c r="Y37" i="13"/>
  <c r="AA98" i="13"/>
  <c r="AC62" i="13"/>
  <c r="AB89" i="13"/>
  <c r="X17" i="13"/>
  <c r="X42" i="13"/>
  <c r="Y88" i="13"/>
  <c r="AA12" i="13"/>
  <c r="AC99" i="13"/>
  <c r="AC18" i="13"/>
  <c r="AC45" i="13"/>
  <c r="AC53" i="13"/>
  <c r="Y33" i="13"/>
  <c r="AA75" i="13"/>
  <c r="AA51" i="13"/>
  <c r="AC63" i="13"/>
  <c r="AC79" i="13"/>
  <c r="AC95" i="13"/>
  <c r="AC110" i="13"/>
  <c r="AA80" i="13"/>
  <c r="Y94" i="13"/>
  <c r="AB105" i="13"/>
  <c r="AA63" i="13"/>
  <c r="X95" i="13"/>
  <c r="X74" i="13"/>
  <c r="X28" i="13"/>
  <c r="X67" i="13"/>
  <c r="X18" i="13"/>
  <c r="X50" i="13"/>
  <c r="Y108" i="13"/>
  <c r="Y18" i="13"/>
  <c r="Z76" i="13"/>
  <c r="Z40" i="13"/>
  <c r="Z14" i="13"/>
  <c r="Z74" i="13"/>
  <c r="Z85" i="13"/>
  <c r="AA54" i="13"/>
  <c r="AA38" i="13"/>
  <c r="AA16" i="13"/>
  <c r="AB29" i="13"/>
  <c r="AB66" i="13"/>
  <c r="AB44" i="13"/>
  <c r="AB71" i="13"/>
  <c r="AB63" i="13"/>
  <c r="AB49" i="13"/>
  <c r="AB17" i="13"/>
  <c r="AC59" i="13"/>
  <c r="V46" i="13"/>
  <c r="AC46" i="13"/>
  <c r="AC32" i="13"/>
  <c r="AC92" i="13"/>
  <c r="AC54" i="13"/>
  <c r="Z88" i="13"/>
  <c r="AA107" i="13"/>
  <c r="Y55" i="13"/>
  <c r="AA90" i="13"/>
  <c r="Y31" i="13"/>
  <c r="X100" i="13"/>
  <c r="Y13" i="13"/>
  <c r="Y103" i="13"/>
  <c r="Y105" i="13"/>
  <c r="Y92" i="13"/>
  <c r="AA49" i="13"/>
  <c r="AA105" i="13"/>
  <c r="AA73" i="13"/>
  <c r="AC25" i="13"/>
  <c r="X84" i="13"/>
  <c r="X114" i="13"/>
  <c r="AC11" i="13"/>
  <c r="AA41" i="13"/>
  <c r="Y72" i="13"/>
  <c r="AB68" i="13"/>
  <c r="Y66" i="13"/>
  <c r="AB61" i="13"/>
  <c r="X45" i="13"/>
  <c r="AB43" i="13"/>
  <c r="Z30" i="13"/>
  <c r="Y78" i="13"/>
  <c r="Z102" i="13"/>
  <c r="X49" i="13"/>
  <c r="Z12" i="13"/>
  <c r="AA94" i="13"/>
  <c r="AB54" i="13"/>
  <c r="Z64" i="13"/>
  <c r="Y67" i="13"/>
  <c r="Y83" i="13"/>
  <c r="Y115" i="13"/>
  <c r="Z115" i="13"/>
  <c r="X109" i="13"/>
  <c r="Y69" i="13"/>
  <c r="AA87" i="13"/>
  <c r="Y29" i="13"/>
  <c r="Y111" i="13"/>
  <c r="Y21" i="13"/>
  <c r="Z43" i="13"/>
  <c r="Z90" i="13"/>
  <c r="Z92" i="13"/>
  <c r="AA20" i="13"/>
  <c r="AA76" i="13"/>
  <c r="AA67" i="13"/>
  <c r="AA26" i="13"/>
  <c r="AB28" i="13"/>
  <c r="AB92" i="13"/>
  <c r="AB80" i="13"/>
  <c r="AB20" i="13"/>
  <c r="AB25" i="13"/>
  <c r="AC67" i="13"/>
  <c r="AC51" i="13"/>
  <c r="AC38" i="13"/>
  <c r="AC91" i="13"/>
  <c r="V106" i="13"/>
  <c r="AC106" i="13"/>
  <c r="AC55" i="13"/>
  <c r="Z23" i="13"/>
  <c r="Z105" i="13"/>
  <c r="Z61" i="13"/>
  <c r="Y58" i="13"/>
  <c r="AA58" i="13"/>
  <c r="Y112" i="13"/>
  <c r="AA46" i="13"/>
  <c r="X107" i="13"/>
  <c r="Y90" i="13"/>
  <c r="Y41" i="13"/>
  <c r="Y22" i="13"/>
  <c r="Y25" i="13"/>
  <c r="Z28" i="13"/>
  <c r="AA23" i="13"/>
  <c r="AA36" i="13"/>
  <c r="AA81" i="13"/>
  <c r="AC48" i="13"/>
  <c r="X104" i="13"/>
  <c r="X43" i="13"/>
  <c r="Z49" i="13"/>
  <c r="X58" i="13"/>
  <c r="X31" i="13"/>
  <c r="X55" i="13"/>
  <c r="U20" i="13"/>
  <c r="W11" i="13"/>
  <c r="U19" i="13"/>
  <c r="U11" i="13"/>
  <c r="V11" i="13"/>
  <c r="W64" i="13"/>
  <c r="V20" i="13"/>
  <c r="U31" i="13"/>
  <c r="W39" i="13"/>
  <c r="V36" i="13"/>
  <c r="W20" i="13"/>
  <c r="W84" i="13"/>
  <c r="U32" i="13"/>
  <c r="W36" i="13"/>
  <c r="W54" i="13"/>
  <c r="U28" i="13"/>
  <c r="V105" i="13"/>
  <c r="U54" i="13"/>
  <c r="U23" i="13"/>
  <c r="V47" i="13"/>
  <c r="V28" i="13"/>
  <c r="U105" i="13"/>
  <c r="W97" i="13"/>
  <c r="W108" i="13"/>
  <c r="U8" i="13"/>
  <c r="W16" i="13"/>
  <c r="W105" i="13"/>
  <c r="U55" i="13"/>
  <c r="U39" i="13"/>
  <c r="V54" i="13"/>
  <c r="V39" i="13"/>
  <c r="V33" i="13"/>
  <c r="U50" i="13"/>
  <c r="U33" i="13"/>
  <c r="W19" i="13"/>
  <c r="V108" i="13"/>
  <c r="W61" i="13"/>
  <c r="U93" i="13"/>
  <c r="W33" i="13"/>
  <c r="V19" i="13"/>
  <c r="V16" i="13"/>
  <c r="W50" i="13"/>
  <c r="V100" i="13"/>
  <c r="V44" i="13"/>
  <c r="U41" i="13"/>
  <c r="V88" i="13"/>
  <c r="V8" i="13"/>
  <c r="W28" i="13"/>
  <c r="W21" i="13"/>
  <c r="W31" i="13"/>
  <c r="V50" i="13"/>
  <c r="V41" i="13"/>
  <c r="W41" i="13"/>
  <c r="W77" i="13"/>
  <c r="U84" i="13"/>
  <c r="W44" i="13"/>
  <c r="U44" i="13"/>
  <c r="V18" i="13"/>
  <c r="V113" i="13"/>
  <c r="V31" i="13"/>
  <c r="V97" i="13"/>
  <c r="V10" i="13"/>
  <c r="U21" i="13"/>
  <c r="U47" i="13"/>
  <c r="V21" i="13"/>
  <c r="U88" i="13"/>
  <c r="V84" i="13"/>
  <c r="V32" i="13"/>
  <c r="AE32" i="13" s="1"/>
  <c r="W47" i="13"/>
  <c r="U36" i="13"/>
  <c r="V55" i="13"/>
  <c r="W55" i="13"/>
  <c r="W32" i="13"/>
  <c r="V64" i="13"/>
  <c r="V77" i="13"/>
  <c r="V61" i="13"/>
  <c r="U27" i="13"/>
  <c r="V27" i="13"/>
  <c r="W27" i="13"/>
  <c r="W30" i="13"/>
  <c r="U30" i="13"/>
  <c r="W58" i="13"/>
  <c r="U58" i="13"/>
  <c r="W81" i="13"/>
  <c r="U97" i="13"/>
  <c r="W88" i="13"/>
  <c r="U77" i="13"/>
  <c r="W23" i="13"/>
  <c r="V23" i="13"/>
  <c r="W8" i="13"/>
  <c r="W46" i="13"/>
  <c r="U46" i="13"/>
  <c r="W93" i="13"/>
  <c r="V30" i="13"/>
  <c r="W100" i="13"/>
  <c r="U100" i="13"/>
  <c r="V93" i="13"/>
  <c r="W38" i="13"/>
  <c r="U38" i="13"/>
  <c r="U61" i="13"/>
  <c r="U113" i="13"/>
  <c r="W10" i="13"/>
  <c r="U10" i="13"/>
  <c r="V81" i="13"/>
  <c r="W113" i="13"/>
  <c r="W18" i="13"/>
  <c r="U18" i="13"/>
  <c r="U64" i="13"/>
  <c r="V38" i="13"/>
  <c r="W68" i="13"/>
  <c r="U68" i="13"/>
  <c r="V68" i="13"/>
  <c r="W106" i="13"/>
  <c r="U106" i="13"/>
  <c r="V58" i="13"/>
  <c r="U80" i="13"/>
  <c r="V80" i="13"/>
  <c r="W80" i="13"/>
  <c r="U87" i="13"/>
  <c r="V87" i="13"/>
  <c r="W87" i="13"/>
  <c r="V82" i="13"/>
  <c r="W82" i="13"/>
  <c r="U82" i="13"/>
  <c r="W78" i="13"/>
  <c r="V78" i="13"/>
  <c r="U78" i="13"/>
  <c r="AD78" i="13" s="1"/>
  <c r="U112" i="13"/>
  <c r="V112" i="13"/>
  <c r="W112" i="13"/>
  <c r="V53" i="13"/>
  <c r="W53" i="13"/>
  <c r="U53" i="13"/>
  <c r="V91" i="13"/>
  <c r="U91" i="13"/>
  <c r="W91" i="13"/>
  <c r="U115" i="13"/>
  <c r="V115" i="13"/>
  <c r="W115" i="13"/>
  <c r="U95" i="13"/>
  <c r="V95" i="13"/>
  <c r="W95" i="13"/>
  <c r="V110" i="13"/>
  <c r="W110" i="13"/>
  <c r="U110" i="13"/>
  <c r="V89" i="13"/>
  <c r="W89" i="13"/>
  <c r="U89" i="13"/>
  <c r="U43" i="13"/>
  <c r="V43" i="13"/>
  <c r="W43" i="13"/>
  <c r="U51" i="13"/>
  <c r="V51" i="13"/>
  <c r="W51" i="13"/>
  <c r="AF51" i="13" s="1"/>
  <c r="W26" i="13"/>
  <c r="U26" i="13"/>
  <c r="V26" i="13"/>
  <c r="W90" i="13"/>
  <c r="U90" i="13"/>
  <c r="V90" i="13"/>
  <c r="V92" i="13"/>
  <c r="W92" i="13"/>
  <c r="U92" i="13"/>
  <c r="V75" i="13"/>
  <c r="U75" i="13"/>
  <c r="W75" i="13"/>
  <c r="U71" i="13"/>
  <c r="V71" i="13"/>
  <c r="W71" i="13"/>
  <c r="W70" i="13"/>
  <c r="V70" i="13"/>
  <c r="U70" i="13"/>
  <c r="V101" i="13"/>
  <c r="W101" i="13"/>
  <c r="U101" i="13"/>
  <c r="V73" i="13"/>
  <c r="W73" i="13"/>
  <c r="U73" i="13"/>
  <c r="U56" i="13"/>
  <c r="V56" i="13"/>
  <c r="W56" i="13"/>
  <c r="V42" i="13"/>
  <c r="W42" i="13"/>
  <c r="U42" i="13"/>
  <c r="V13" i="13"/>
  <c r="W13" i="13"/>
  <c r="U13" i="13"/>
  <c r="U104" i="13"/>
  <c r="V104" i="13"/>
  <c r="W104" i="13"/>
  <c r="U111" i="13"/>
  <c r="V111" i="13"/>
  <c r="W111" i="13"/>
  <c r="U66" i="13"/>
  <c r="V66" i="13"/>
  <c r="W66" i="13"/>
  <c r="W22" i="13"/>
  <c r="V22" i="13"/>
  <c r="U22" i="13"/>
  <c r="AD22" i="13" s="1"/>
  <c r="U48" i="13"/>
  <c r="AD48" i="13" s="1"/>
  <c r="V48" i="13"/>
  <c r="W48" i="13"/>
  <c r="U83" i="13"/>
  <c r="V83" i="13"/>
  <c r="W83" i="13"/>
  <c r="V29" i="13"/>
  <c r="W29" i="13"/>
  <c r="U29" i="13"/>
  <c r="AD29" i="13" s="1"/>
  <c r="V107" i="13"/>
  <c r="U107" i="13"/>
  <c r="AD107" i="13" s="1"/>
  <c r="W107" i="13"/>
  <c r="U103" i="13"/>
  <c r="V103" i="13"/>
  <c r="W103" i="13"/>
  <c r="V102" i="13"/>
  <c r="W102" i="13"/>
  <c r="U102" i="13"/>
  <c r="U34" i="13"/>
  <c r="AD34" i="13" s="1"/>
  <c r="V34" i="13"/>
  <c r="W34" i="13"/>
  <c r="V12" i="13"/>
  <c r="AE12" i="13" s="1"/>
  <c r="W12" i="13"/>
  <c r="U12" i="13"/>
  <c r="W114" i="13"/>
  <c r="U114" i="13"/>
  <c r="V114" i="13"/>
  <c r="V65" i="13"/>
  <c r="W65" i="13"/>
  <c r="U65" i="13"/>
  <c r="V57" i="13"/>
  <c r="W57" i="13"/>
  <c r="U57" i="13"/>
  <c r="V94" i="13"/>
  <c r="AE94" i="13" s="1"/>
  <c r="W94" i="13"/>
  <c r="U94" i="13"/>
  <c r="U15" i="13"/>
  <c r="V15" i="13"/>
  <c r="W15" i="13"/>
  <c r="V25" i="13"/>
  <c r="W25" i="13"/>
  <c r="U25" i="13"/>
  <c r="V35" i="13"/>
  <c r="U35" i="13"/>
  <c r="W35" i="13"/>
  <c r="AF35" i="13" s="1"/>
  <c r="U63" i="13"/>
  <c r="V63" i="13"/>
  <c r="W63" i="13"/>
  <c r="V52" i="13"/>
  <c r="W52" i="13"/>
  <c r="U52" i="13"/>
  <c r="V67" i="13"/>
  <c r="AE67" i="13" s="1"/>
  <c r="U67" i="13"/>
  <c r="W67" i="13"/>
  <c r="U79" i="13"/>
  <c r="V79" i="13"/>
  <c r="W79" i="13"/>
  <c r="W62" i="13"/>
  <c r="V62" i="13"/>
  <c r="U62" i="13"/>
  <c r="V60" i="13"/>
  <c r="W60" i="13"/>
  <c r="U60" i="13"/>
  <c r="V37" i="13"/>
  <c r="W37" i="13"/>
  <c r="U37" i="13"/>
  <c r="V17" i="13"/>
  <c r="W17" i="13"/>
  <c r="U17" i="13"/>
  <c r="V9" i="13"/>
  <c r="W9" i="13"/>
  <c r="U9" i="13"/>
  <c r="U72" i="13"/>
  <c r="V72" i="13"/>
  <c r="W72" i="13"/>
  <c r="V69" i="13"/>
  <c r="W69" i="13"/>
  <c r="U69" i="13"/>
  <c r="V109" i="13"/>
  <c r="W109" i="13"/>
  <c r="U109" i="13"/>
  <c r="U99" i="13"/>
  <c r="V99" i="13"/>
  <c r="W99" i="13"/>
  <c r="V45" i="13"/>
  <c r="AE45" i="13" s="1"/>
  <c r="W45" i="13"/>
  <c r="U45" i="13"/>
  <c r="V59" i="13"/>
  <c r="U59" i="13"/>
  <c r="W59" i="13"/>
  <c r="U96" i="13"/>
  <c r="V96" i="13"/>
  <c r="W96" i="13"/>
  <c r="W98" i="13"/>
  <c r="U98" i="13"/>
  <c r="V98" i="13"/>
  <c r="W86" i="13"/>
  <c r="V86" i="13"/>
  <c r="U86" i="13"/>
  <c r="V76" i="13"/>
  <c r="W76" i="13"/>
  <c r="U76" i="13"/>
  <c r="AD76" i="13" s="1"/>
  <c r="U40" i="13"/>
  <c r="V40" i="13"/>
  <c r="AE40" i="13" s="1"/>
  <c r="W40" i="13"/>
  <c r="U24" i="13"/>
  <c r="V24" i="13"/>
  <c r="W24" i="13"/>
  <c r="V14" i="13"/>
  <c r="W14" i="13"/>
  <c r="U14" i="13"/>
  <c r="U74" i="13"/>
  <c r="V74" i="13"/>
  <c r="AE74" i="13" s="1"/>
  <c r="W74" i="13"/>
  <c r="AF74" i="13" s="1"/>
  <c r="V85" i="13"/>
  <c r="W85" i="13"/>
  <c r="U85" i="13"/>
  <c r="O116" i="13" l="1"/>
  <c r="AD109" i="13"/>
  <c r="AD9" i="13"/>
  <c r="AF63" i="13"/>
  <c r="AD111" i="13"/>
  <c r="AD21" i="13"/>
  <c r="AE49" i="13"/>
  <c r="AD50" i="13"/>
  <c r="AD74" i="13"/>
  <c r="AE37" i="13"/>
  <c r="AE79" i="13"/>
  <c r="AE55" i="13"/>
  <c r="AF33" i="13"/>
  <c r="AE106" i="13"/>
  <c r="AF14" i="13"/>
  <c r="AF24" i="13"/>
  <c r="AE69" i="13"/>
  <c r="AF17" i="13"/>
  <c r="AD35" i="13"/>
  <c r="AE65" i="13"/>
  <c r="AE34" i="13"/>
  <c r="AF22" i="13"/>
  <c r="AE95" i="13"/>
  <c r="AF60" i="13"/>
  <c r="AD67" i="13"/>
  <c r="AE83" i="13"/>
  <c r="AE75" i="13"/>
  <c r="AD89" i="13"/>
  <c r="AD55" i="13"/>
  <c r="AE47" i="13"/>
  <c r="AF26" i="13"/>
  <c r="AF115" i="13"/>
  <c r="AE53" i="13"/>
  <c r="AD58" i="13"/>
  <c r="AD52" i="13"/>
  <c r="AF92" i="13"/>
  <c r="AE82" i="13"/>
  <c r="AF59" i="13"/>
  <c r="AE72" i="13"/>
  <c r="AF52" i="13"/>
  <c r="AF111" i="13"/>
  <c r="AF71" i="13"/>
  <c r="AF32" i="13"/>
  <c r="AE25" i="13"/>
  <c r="AF29" i="13"/>
  <c r="AD101" i="13"/>
  <c r="AE110" i="13"/>
  <c r="AD87" i="13"/>
  <c r="AE20" i="13"/>
  <c r="AD16" i="13"/>
  <c r="AD49" i="13"/>
  <c r="AF109" i="13"/>
  <c r="AF49" i="13"/>
  <c r="AF45" i="13"/>
  <c r="AF67" i="13"/>
  <c r="AD63" i="13"/>
  <c r="AE15" i="13"/>
  <c r="AD65" i="13"/>
  <c r="AF83" i="13"/>
  <c r="AF56" i="13"/>
  <c r="AE101" i="13"/>
  <c r="AD43" i="13"/>
  <c r="AD53" i="13"/>
  <c r="AD113" i="13"/>
  <c r="AF93" i="13"/>
  <c r="AD97" i="13"/>
  <c r="AD27" i="13"/>
  <c r="AF47" i="13"/>
  <c r="AE97" i="13"/>
  <c r="AF41" i="13"/>
  <c r="AD39" i="13"/>
  <c r="AD32" i="13"/>
  <c r="AF98" i="13"/>
  <c r="AE9" i="13"/>
  <c r="AE26" i="13"/>
  <c r="AD99" i="13"/>
  <c r="AD37" i="13"/>
  <c r="AE92" i="13"/>
  <c r="AE23" i="13"/>
  <c r="AF40" i="13"/>
  <c r="AF37" i="13"/>
  <c r="AE52" i="13"/>
  <c r="AF114" i="13"/>
  <c r="AF102" i="13"/>
  <c r="AD51" i="13"/>
  <c r="AF91" i="13"/>
  <c r="AD69" i="13"/>
  <c r="AD75" i="13"/>
  <c r="AE38" i="13"/>
  <c r="AD41" i="13"/>
  <c r="AE28" i="13"/>
  <c r="AD85" i="13"/>
  <c r="AE14" i="13"/>
  <c r="AF76" i="13"/>
  <c r="AF96" i="13"/>
  <c r="AF69" i="13"/>
  <c r="AE60" i="13"/>
  <c r="AD15" i="13"/>
  <c r="AF65" i="13"/>
  <c r="AF34" i="13"/>
  <c r="AD103" i="13"/>
  <c r="AE56" i="13"/>
  <c r="AD26" i="13"/>
  <c r="AD95" i="13"/>
  <c r="AF53" i="13"/>
  <c r="AD82" i="13"/>
  <c r="AD80" i="13"/>
  <c r="AD61" i="13"/>
  <c r="AD46" i="13"/>
  <c r="AF81" i="13"/>
  <c r="AE31" i="13"/>
  <c r="AE41" i="13"/>
  <c r="AE44" i="13"/>
  <c r="AE108" i="13"/>
  <c r="AD11" i="13"/>
  <c r="AF78" i="13"/>
  <c r="AE11" i="13"/>
  <c r="AD94" i="13"/>
  <c r="AF107" i="13"/>
  <c r="AD13" i="13"/>
  <c r="AD92" i="13"/>
  <c r="AF89" i="13"/>
  <c r="AE58" i="13"/>
  <c r="AD38" i="13"/>
  <c r="AE113" i="13"/>
  <c r="AE50" i="13"/>
  <c r="AE100" i="13"/>
  <c r="AF19" i="13"/>
  <c r="AF105" i="13"/>
  <c r="AD23" i="13"/>
  <c r="AE103" i="13"/>
  <c r="AE80" i="13"/>
  <c r="AE24" i="13"/>
  <c r="AF72" i="13"/>
  <c r="AE17" i="13"/>
  <c r="AF13" i="13"/>
  <c r="AE89" i="13"/>
  <c r="AD106" i="13"/>
  <c r="AE64" i="13"/>
  <c r="AF16" i="13"/>
  <c r="AF11" i="13"/>
  <c r="AF66" i="13"/>
  <c r="AF84" i="13"/>
  <c r="AE76" i="13"/>
  <c r="AF99" i="13"/>
  <c r="AD62" i="13"/>
  <c r="AD56" i="13"/>
  <c r="AE98" i="13"/>
  <c r="AE59" i="13"/>
  <c r="AF57" i="13"/>
  <c r="AD12" i="13"/>
  <c r="AE102" i="13"/>
  <c r="AF42" i="13"/>
  <c r="AD71" i="13"/>
  <c r="AD90" i="13"/>
  <c r="AF43" i="13"/>
  <c r="AD91" i="13"/>
  <c r="AD68" i="13"/>
  <c r="AD10" i="13"/>
  <c r="AF100" i="13"/>
  <c r="AD77" i="13"/>
  <c r="AF27" i="13"/>
  <c r="AD84" i="13"/>
  <c r="AE39" i="13"/>
  <c r="AF97" i="13"/>
  <c r="AF54" i="13"/>
  <c r="AE46" i="13"/>
  <c r="AD14" i="13"/>
  <c r="AD40" i="13"/>
  <c r="AD98" i="13"/>
  <c r="AD45" i="13"/>
  <c r="AE109" i="13"/>
  <c r="AF9" i="13"/>
  <c r="AD60" i="13"/>
  <c r="AD79" i="13"/>
  <c r="AE63" i="13"/>
  <c r="AF15" i="13"/>
  <c r="AE57" i="13"/>
  <c r="AF12" i="13"/>
  <c r="AF103" i="13"/>
  <c r="AE29" i="13"/>
  <c r="AE22" i="13"/>
  <c r="AF104" i="13"/>
  <c r="AE42" i="13"/>
  <c r="AF101" i="13"/>
  <c r="AF75" i="13"/>
  <c r="AF90" i="13"/>
  <c r="AE43" i="13"/>
  <c r="AF95" i="13"/>
  <c r="AE91" i="13"/>
  <c r="AE78" i="13"/>
  <c r="AF80" i="13"/>
  <c r="AF68" i="13"/>
  <c r="AF10" i="13"/>
  <c r="AE30" i="13"/>
  <c r="AF88" i="13"/>
  <c r="AE27" i="13"/>
  <c r="AD36" i="13"/>
  <c r="AE10" i="13"/>
  <c r="AF77" i="13"/>
  <c r="AE88" i="13"/>
  <c r="AD93" i="13"/>
  <c r="AE54" i="13"/>
  <c r="AD105" i="13"/>
  <c r="AF36" i="13"/>
  <c r="AF64" i="13"/>
  <c r="AD17" i="13"/>
  <c r="AD70" i="13"/>
  <c r="AD64" i="13"/>
  <c r="AE61" i="13"/>
  <c r="AE96" i="13"/>
  <c r="AE66" i="13"/>
  <c r="AE70" i="13"/>
  <c r="AF82" i="13"/>
  <c r="AE77" i="13"/>
  <c r="AF20" i="13"/>
  <c r="AE85" i="13"/>
  <c r="AD86" i="13"/>
  <c r="AD96" i="13"/>
  <c r="AE99" i="13"/>
  <c r="AE62" i="13"/>
  <c r="AE35" i="13"/>
  <c r="AF94" i="13"/>
  <c r="AE114" i="13"/>
  <c r="AF48" i="13"/>
  <c r="AD66" i="13"/>
  <c r="AD73" i="13"/>
  <c r="AF70" i="13"/>
  <c r="AE115" i="13"/>
  <c r="AF112" i="13"/>
  <c r="AF18" i="13"/>
  <c r="AF38" i="13"/>
  <c r="AF58" i="13"/>
  <c r="AD88" i="13"/>
  <c r="AE18" i="13"/>
  <c r="AF31" i="13"/>
  <c r="AF50" i="13"/>
  <c r="AD33" i="13"/>
  <c r="AD54" i="13"/>
  <c r="AE36" i="13"/>
  <c r="AE104" i="13"/>
  <c r="AD83" i="13"/>
  <c r="AD18" i="13"/>
  <c r="AE84" i="13"/>
  <c r="AD81" i="13"/>
  <c r="AD24" i="13"/>
  <c r="AE86" i="13"/>
  <c r="AF62" i="13"/>
  <c r="AD25" i="13"/>
  <c r="AD114" i="13"/>
  <c r="AD102" i="13"/>
  <c r="AE107" i="13"/>
  <c r="AE48" i="13"/>
  <c r="AE13" i="13"/>
  <c r="AF73" i="13"/>
  <c r="AE51" i="13"/>
  <c r="AD110" i="13"/>
  <c r="AD115" i="13"/>
  <c r="AE112" i="13"/>
  <c r="AF87" i="13"/>
  <c r="AF106" i="13"/>
  <c r="AF113" i="13"/>
  <c r="AE93" i="13"/>
  <c r="AD30" i="13"/>
  <c r="AE21" i="13"/>
  <c r="AD44" i="13"/>
  <c r="AF21" i="13"/>
  <c r="AE16" i="13"/>
  <c r="AE105" i="13"/>
  <c r="AF39" i="13"/>
  <c r="AD20" i="13"/>
  <c r="AF61" i="13"/>
  <c r="AD104" i="13"/>
  <c r="AF85" i="13"/>
  <c r="AF46" i="13"/>
  <c r="AD19" i="13"/>
  <c r="AF86" i="13"/>
  <c r="AD59" i="13"/>
  <c r="AD72" i="13"/>
  <c r="AF79" i="13"/>
  <c r="AF25" i="13"/>
  <c r="AD57" i="13"/>
  <c r="AE111" i="13"/>
  <c r="AD42" i="13"/>
  <c r="AE73" i="13"/>
  <c r="AE71" i="13"/>
  <c r="AE90" i="13"/>
  <c r="AF110" i="13"/>
  <c r="AD112" i="13"/>
  <c r="AE87" i="13"/>
  <c r="AE68" i="13"/>
  <c r="AE81" i="13"/>
  <c r="AD100" i="13"/>
  <c r="AF23" i="13"/>
  <c r="AF30" i="13"/>
  <c r="AF55" i="13"/>
  <c r="AD47" i="13"/>
  <c r="AF44" i="13"/>
  <c r="AF28" i="13"/>
  <c r="AE19" i="13"/>
  <c r="AE33" i="13"/>
  <c r="AF108" i="13"/>
  <c r="AD28" i="13"/>
  <c r="AD31" i="13"/>
  <c r="AD108" i="13"/>
  <c r="W116" i="13" l="1"/>
  <c r="U116" i="13"/>
  <c r="V116" i="13"/>
  <c r="N16" i="4"/>
  <c r="N15" i="4"/>
  <c r="O20" i="4"/>
  <c r="P20" i="4"/>
  <c r="Q20" i="4"/>
  <c r="R20" i="4"/>
  <c r="S20" i="4"/>
  <c r="N20" i="4"/>
  <c r="O8" i="4"/>
  <c r="P8" i="4"/>
  <c r="Q8" i="4"/>
  <c r="R8" i="4"/>
  <c r="S8" i="4"/>
  <c r="N8" i="4"/>
  <c r="O12" i="4"/>
  <c r="P12" i="4"/>
  <c r="Q12" i="4"/>
  <c r="R12" i="4"/>
  <c r="S12" i="4"/>
  <c r="N12" i="4"/>
  <c r="O13" i="4" l="1"/>
  <c r="P13" i="4"/>
  <c r="Q13" i="4"/>
  <c r="R13" i="4"/>
  <c r="S13" i="4"/>
  <c r="N13" i="4"/>
  <c r="O6" i="4"/>
  <c r="P6" i="4"/>
  <c r="Q6" i="4"/>
  <c r="R6" i="4"/>
  <c r="S6" i="4"/>
  <c r="N6" i="4"/>
  <c r="N17" i="4"/>
  <c r="O17" i="4"/>
  <c r="P17" i="4"/>
  <c r="Q17" i="4"/>
  <c r="R17" i="4"/>
  <c r="S17" i="4"/>
  <c r="O7" i="4"/>
  <c r="P7" i="4"/>
  <c r="Q7" i="4"/>
  <c r="R7" i="4"/>
  <c r="S7" i="4"/>
  <c r="N7" i="4"/>
  <c r="S21" i="4"/>
  <c r="O21" i="4"/>
  <c r="P21" i="4"/>
  <c r="Q21" i="4"/>
  <c r="R21" i="4"/>
  <c r="N21" i="4"/>
  <c r="N11" i="4" l="1"/>
  <c r="O11" i="4"/>
  <c r="P11" i="4"/>
  <c r="Q11" i="4"/>
  <c r="R11" i="4"/>
  <c r="S11" i="4"/>
  <c r="AL64" i="11" l="1"/>
  <c r="AJ64" i="11"/>
  <c r="AH64" i="11"/>
  <c r="AF64" i="11"/>
  <c r="AD64" i="11"/>
  <c r="AB64" i="11"/>
  <c r="Z64" i="11"/>
  <c r="X64" i="11"/>
  <c r="V64" i="11"/>
  <c r="T64" i="11"/>
  <c r="R64" i="11"/>
  <c r="P64" i="11"/>
  <c r="N64" i="11"/>
  <c r="L64" i="11"/>
  <c r="J64" i="11"/>
  <c r="H64" i="11"/>
  <c r="F64" i="11"/>
  <c r="D64" i="11"/>
  <c r="B64" i="11"/>
  <c r="P19" i="4" l="1"/>
  <c r="Q19" i="4"/>
  <c r="R19" i="4"/>
  <c r="S19" i="4"/>
  <c r="O9" i="4" l="1"/>
  <c r="P9" i="4"/>
  <c r="Q9" i="4"/>
  <c r="R9" i="4"/>
  <c r="S9" i="4"/>
  <c r="N9" i="4"/>
  <c r="E58" i="1"/>
  <c r="E59" i="1"/>
  <c r="E60" i="1"/>
  <c r="E61" i="1"/>
  <c r="E62" i="1"/>
  <c r="E57" i="1"/>
  <c r="O25" i="4" l="1"/>
  <c r="P25" i="4"/>
  <c r="Q25" i="4"/>
  <c r="R25" i="4"/>
  <c r="S25" i="4"/>
  <c r="T25" i="4" s="1"/>
  <c r="N25" i="4"/>
  <c r="AB9" i="13" l="1"/>
  <c r="S116" i="13" s="1"/>
  <c r="AA9" i="13"/>
  <c r="R116" i="13" s="1"/>
  <c r="Z9" i="13"/>
  <c r="Q116" i="13" s="1"/>
  <c r="Y9" i="13"/>
  <c r="P116" i="13" s="1"/>
  <c r="AC9" i="13"/>
  <c r="T116" i="13" s="1"/>
  <c r="I8" i="10"/>
  <c r="I6" i="10"/>
  <c r="I7" i="10" l="1"/>
  <c r="B11" i="3" l="1"/>
  <c r="C9" i="3" l="1"/>
  <c r="C6" i="3"/>
  <c r="C7" i="3"/>
  <c r="C8" i="3"/>
  <c r="C10" i="3"/>
  <c r="C4" i="3"/>
  <c r="C5" i="3"/>
  <c r="E4" i="3" l="1"/>
  <c r="E7" i="3"/>
  <c r="E10" i="3"/>
  <c r="E6" i="3"/>
  <c r="E5" i="3"/>
  <c r="E9" i="3"/>
  <c r="C11" i="3"/>
  <c r="E8" i="3"/>
  <c r="O22" i="4" l="1"/>
  <c r="P22" i="4"/>
  <c r="Q22" i="4"/>
  <c r="R22" i="4"/>
  <c r="S22" i="4"/>
  <c r="N22" i="4"/>
  <c r="O19" i="4"/>
  <c r="N19" i="4"/>
  <c r="N18" i="4"/>
  <c r="O10" i="4"/>
  <c r="P10" i="4"/>
  <c r="Q10" i="4"/>
  <c r="R10" i="4"/>
  <c r="S10" i="4"/>
  <c r="N10" i="4"/>
  <c r="O5" i="4"/>
  <c r="S5" i="4" l="1"/>
  <c r="S23" i="4" s="1"/>
  <c r="R5" i="4"/>
  <c r="R23" i="4" s="1"/>
  <c r="Q5" i="4"/>
  <c r="Q23" i="4" s="1"/>
  <c r="P5" i="4"/>
  <c r="P23" i="4" s="1"/>
  <c r="O23" i="4"/>
  <c r="N5" i="4"/>
  <c r="N23" i="4" s="1"/>
  <c r="S27" i="4" l="1"/>
  <c r="S24" i="4"/>
  <c r="T24" i="4" s="1"/>
  <c r="O24" i="4"/>
  <c r="O27" i="4"/>
  <c r="P24" i="4"/>
  <c r="P27" i="4"/>
  <c r="Q24" i="4"/>
  <c r="Q27" i="4"/>
  <c r="R24" i="4"/>
  <c r="R27" i="4"/>
  <c r="E63" i="1"/>
  <c r="D114" i="14"/>
  <c r="H114" i="14"/>
  <c r="C114" i="14"/>
  <c r="G114" i="14"/>
  <c r="E114" i="14"/>
  <c r="F114" i="14"/>
  <c r="B114" i="14"/>
  <c r="J114" i="14"/>
  <c r="I114" i="14"/>
  <c r="T27" i="4" l="1"/>
</calcChain>
</file>

<file path=xl/sharedStrings.xml><?xml version="1.0" encoding="utf-8"?>
<sst xmlns="http://schemas.openxmlformats.org/spreadsheetml/2006/main" count="456" uniqueCount="190">
  <si>
    <t>Yıllar</t>
  </si>
  <si>
    <t>YAMA</t>
  </si>
  <si>
    <r>
      <t>(m</t>
    </r>
    <r>
      <rPr>
        <b/>
        <vertAlign val="superscript"/>
        <sz val="8"/>
        <color theme="1"/>
        <rFont val="Calibri"/>
        <family val="2"/>
        <charset val="162"/>
        <scheme val="minor"/>
      </rPr>
      <t>3</t>
    </r>
    <r>
      <rPr>
        <b/>
        <sz val="8"/>
        <color theme="1"/>
        <rFont val="Calibri"/>
        <family val="2"/>
        <charset val="162"/>
        <scheme val="minor"/>
      </rPr>
      <t>/s)</t>
    </r>
  </si>
  <si>
    <t>UDF</t>
  </si>
  <si>
    <t>P3</t>
  </si>
  <si>
    <t>LP3</t>
  </si>
  <si>
    <t>Baraj yeri</t>
  </si>
  <si>
    <t>Sıra</t>
  </si>
  <si>
    <t xml:space="preserve">  A</t>
  </si>
  <si>
    <t>N</t>
  </si>
  <si>
    <r>
      <t>Q</t>
    </r>
    <r>
      <rPr>
        <b/>
        <vertAlign val="subscript"/>
        <sz val="11"/>
        <color rgb="FF000000"/>
        <rFont val="Calibri"/>
        <family val="2"/>
        <charset val="162"/>
        <scheme val="minor"/>
      </rPr>
      <t>2</t>
    </r>
  </si>
  <si>
    <r>
      <t>Q</t>
    </r>
    <r>
      <rPr>
        <b/>
        <vertAlign val="subscript"/>
        <sz val="11"/>
        <color rgb="FF000000"/>
        <rFont val="Calibri"/>
        <family val="2"/>
        <charset val="162"/>
        <scheme val="minor"/>
      </rPr>
      <t>5</t>
    </r>
  </si>
  <si>
    <r>
      <t>Q</t>
    </r>
    <r>
      <rPr>
        <b/>
        <vertAlign val="subscript"/>
        <sz val="11"/>
        <color rgb="FF000000"/>
        <rFont val="Calibri"/>
        <family val="2"/>
        <charset val="162"/>
        <scheme val="minor"/>
      </rPr>
      <t>10</t>
    </r>
  </si>
  <si>
    <r>
      <t>Q</t>
    </r>
    <r>
      <rPr>
        <b/>
        <vertAlign val="subscript"/>
        <sz val="11"/>
        <color rgb="FF000000"/>
        <rFont val="Calibri"/>
        <family val="2"/>
        <charset val="162"/>
        <scheme val="minor"/>
      </rPr>
      <t>25</t>
    </r>
  </si>
  <si>
    <r>
      <t>Q</t>
    </r>
    <r>
      <rPr>
        <b/>
        <vertAlign val="subscript"/>
        <sz val="11"/>
        <color rgb="FF000000"/>
        <rFont val="Calibri"/>
        <family val="2"/>
        <charset val="162"/>
        <scheme val="minor"/>
      </rPr>
      <t>50</t>
    </r>
  </si>
  <si>
    <r>
      <t>Q</t>
    </r>
    <r>
      <rPr>
        <b/>
        <vertAlign val="subscript"/>
        <sz val="11"/>
        <color rgb="FF000000"/>
        <rFont val="Calibri"/>
        <family val="2"/>
        <charset val="162"/>
        <scheme val="minor"/>
      </rPr>
      <t>100</t>
    </r>
  </si>
  <si>
    <r>
      <t>Boyutsuz  Değerler  Q</t>
    </r>
    <r>
      <rPr>
        <b/>
        <vertAlign val="subscript"/>
        <sz val="10"/>
        <rFont val="Arial"/>
        <family val="2"/>
        <charset val="162"/>
      </rPr>
      <t>T</t>
    </r>
    <r>
      <rPr>
        <b/>
        <sz val="10"/>
        <rFont val="Arial"/>
        <family val="2"/>
        <charset val="162"/>
      </rPr>
      <t>/Q</t>
    </r>
    <r>
      <rPr>
        <b/>
        <vertAlign val="subscript"/>
        <sz val="10"/>
        <rFont val="Arial"/>
        <family val="2"/>
        <charset val="162"/>
      </rPr>
      <t>2</t>
    </r>
  </si>
  <si>
    <t>No</t>
  </si>
  <si>
    <r>
      <t>(km</t>
    </r>
    <r>
      <rPr>
        <b/>
        <vertAlign val="superscript"/>
        <sz val="11"/>
        <color theme="1"/>
        <rFont val="Calibri"/>
        <family val="2"/>
        <charset val="16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)</t>
    </r>
  </si>
  <si>
    <t>(Yıl)</t>
  </si>
  <si>
    <t xml:space="preserve"> Ortalama Boyutsuz Taşkın Yinelenme Değerleri </t>
  </si>
  <si>
    <r>
      <t>Gözlem Süresindeki Q</t>
    </r>
    <r>
      <rPr>
        <b/>
        <vertAlign val="subscript"/>
        <sz val="10"/>
        <color rgb="FF000000"/>
        <rFont val="Calibri"/>
        <family val="2"/>
        <charset val="162"/>
        <scheme val="minor"/>
      </rPr>
      <t>Max1</t>
    </r>
  </si>
  <si>
    <t xml:space="preserve">Yıllar        </t>
  </si>
  <si>
    <t>LN2</t>
  </si>
  <si>
    <t>Değersiz Yıllar</t>
  </si>
  <si>
    <t>Değerlendirilen Yıllar</t>
  </si>
  <si>
    <t>YILLAR</t>
  </si>
  <si>
    <t>GÖZLEM PERİYODU</t>
  </si>
  <si>
    <t>SUYUN VE İSTASYONUN ADI</t>
  </si>
  <si>
    <t>İSTASYON NO.</t>
  </si>
  <si>
    <t>BTFA</t>
  </si>
  <si>
    <t>NTFA</t>
  </si>
  <si>
    <t>Arazi Kullanımı ve Bitki Örtüsü</t>
  </si>
  <si>
    <t>Orman</t>
  </si>
  <si>
    <t>Çayırlık veya Mera</t>
  </si>
  <si>
    <t>Ot rotasyonu</t>
  </si>
  <si>
    <t>Kayalık</t>
  </si>
  <si>
    <t>Yerleşim Yeri</t>
  </si>
  <si>
    <t>Yollar</t>
  </si>
  <si>
    <t>Çıplak</t>
  </si>
  <si>
    <t>Toplam</t>
  </si>
  <si>
    <t>Eğri No (Uygulamalı Taşkın Hidrolojisi Kitabı Tablo:6)</t>
  </si>
  <si>
    <t>Alan Oranı (%)</t>
  </si>
  <si>
    <t>Hesaplanan Eğri No</t>
  </si>
  <si>
    <r>
      <t>Alan (km</t>
    </r>
    <r>
      <rPr>
        <b/>
        <vertAlign val="superscript"/>
        <sz val="11"/>
        <color theme="1"/>
        <rFont val="Calibri"/>
        <family val="2"/>
        <charset val="16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)</t>
    </r>
  </si>
  <si>
    <t>DSİ Sentetik</t>
  </si>
  <si>
    <t>Mockus</t>
  </si>
  <si>
    <t>Yöntem</t>
  </si>
  <si>
    <r>
      <t>Yinelenmeli Taşkın Debileri (m</t>
    </r>
    <r>
      <rPr>
        <b/>
        <vertAlign val="superscript"/>
        <sz val="10"/>
        <rFont val="Arial"/>
        <family val="2"/>
        <charset val="162"/>
      </rPr>
      <t>3</t>
    </r>
    <r>
      <rPr>
        <b/>
        <sz val="10"/>
        <rFont val="Arial"/>
        <family val="2"/>
        <charset val="162"/>
      </rPr>
      <t>/s)</t>
    </r>
  </si>
  <si>
    <t>Karasu-İnceğiz</t>
  </si>
  <si>
    <t>Marmara Ereğlisi-Bağlar D.</t>
  </si>
  <si>
    <t>Sarısu-Bahşayış DDY Köp.</t>
  </si>
  <si>
    <t>Sazlı D.-Bosna</t>
  </si>
  <si>
    <t>Nakkaş D.-Halkalı</t>
  </si>
  <si>
    <t>Çakıl D.-Tepecik</t>
  </si>
  <si>
    <t>Istranca D.-Karamandere</t>
  </si>
  <si>
    <t>Kova D.-B.Kılıçlı</t>
  </si>
  <si>
    <t>Mağlova D.-Pirinçköy</t>
  </si>
  <si>
    <t>Pabuç D.-Kızılağaç</t>
  </si>
  <si>
    <t>Kuzulu D.-Kıvılcımkaya</t>
  </si>
  <si>
    <t>Büyükdere-Kovankaya</t>
  </si>
  <si>
    <t>Düzdere-Taşpınar (Yalıköy)</t>
  </si>
  <si>
    <t>Kılıncı D.-Kemerburgaz</t>
  </si>
  <si>
    <t>Sarısu-İzzettin</t>
  </si>
  <si>
    <t>Çakıldere-Ahmediye</t>
  </si>
  <si>
    <t>Kağıthane D.-Kağıthane</t>
  </si>
  <si>
    <t>Ayvacık D.-Ayvacık</t>
  </si>
  <si>
    <t>D02A015</t>
  </si>
  <si>
    <t>D02A016</t>
  </si>
  <si>
    <t>D02A021</t>
  </si>
  <si>
    <t>D02A022</t>
  </si>
  <si>
    <t>D02A023</t>
  </si>
  <si>
    <t>D02A024</t>
  </si>
  <si>
    <t>D02A028</t>
  </si>
  <si>
    <t>D02A046</t>
  </si>
  <si>
    <t>D02A047</t>
  </si>
  <si>
    <t>D02A057</t>
  </si>
  <si>
    <t>D02A095</t>
  </si>
  <si>
    <t>D02A096</t>
  </si>
  <si>
    <t>D02A097</t>
  </si>
  <si>
    <t>D02A107</t>
  </si>
  <si>
    <t>D02A116</t>
  </si>
  <si>
    <t>D02A117</t>
  </si>
  <si>
    <t>D02A136</t>
  </si>
  <si>
    <t>D01A052</t>
  </si>
  <si>
    <t>D01A063</t>
  </si>
  <si>
    <r>
      <t>YA:174.9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/>
    </r>
  </si>
  <si>
    <r>
      <t>YA:118.3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/>
    </r>
  </si>
  <si>
    <r>
      <t>YA:143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/>
    </r>
  </si>
  <si>
    <r>
      <t>YA:84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/>
    </r>
  </si>
  <si>
    <r>
      <t>YA:43.75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/>
    </r>
  </si>
  <si>
    <r>
      <t>YA:95.75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/>
    </r>
  </si>
  <si>
    <r>
      <t>YA:287.1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</si>
  <si>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YA:54.2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</si>
  <si>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YA:111.8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</si>
  <si>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YA:83.5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</si>
  <si>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YA:35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</si>
  <si>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YA:83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</si>
  <si>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YA:10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</si>
  <si>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YA:55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</si>
  <si>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YA:83.9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</si>
  <si>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YA:65.8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</si>
  <si>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YA:182.8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</si>
  <si>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YA:118.3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</si>
  <si>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r>
      <t>YA:25.8 km</t>
    </r>
    <r>
      <rPr>
        <b/>
        <vertAlign val="superscript"/>
        <sz val="9"/>
        <color theme="1"/>
        <rFont val="Calibri"/>
        <family val="2"/>
        <charset val="162"/>
        <scheme val="minor"/>
      </rPr>
      <t>2</t>
    </r>
  </si>
  <si>
    <t>1984'DE 02-90 OLARAK          TEKRAR AÇILDI.</t>
  </si>
  <si>
    <t>8.8 (EY)</t>
  </si>
  <si>
    <t>Adı</t>
  </si>
  <si>
    <t xml:space="preserve">Karamandere Barajı </t>
  </si>
  <si>
    <t>LN3</t>
  </si>
  <si>
    <t>G</t>
  </si>
  <si>
    <t xml:space="preserve">Istranca D.-Karamandere </t>
  </si>
  <si>
    <t>K.Yoncalı-Manika D.</t>
  </si>
  <si>
    <t>N (yıl)</t>
  </si>
  <si>
    <t>q2</t>
  </si>
  <si>
    <t>q100</t>
  </si>
  <si>
    <t>qmks</t>
  </si>
  <si>
    <t>Tablo: 3.1 - Karamandere Barajı Havzası ve Civarındaki Akım Gözlem İstasyonlarının Karakteristikleri</t>
  </si>
  <si>
    <t>(1968 2015) 1 GÜNLÜK EN BÜYÜK YAĞIŞLARININ</t>
  </si>
  <si>
    <t>P</t>
  </si>
  <si>
    <t>Sıralı</t>
  </si>
  <si>
    <t>=</t>
  </si>
  <si>
    <t>yıl</t>
  </si>
  <si>
    <t>mm</t>
  </si>
  <si>
    <t>Pmax</t>
  </si>
  <si>
    <t xml:space="preserve"> </t>
  </si>
  <si>
    <t>S P</t>
  </si>
  <si>
    <t>S P(-Pmax)</t>
  </si>
  <si>
    <t>Port</t>
  </si>
  <si>
    <t>Port(-Pmax)</t>
  </si>
  <si>
    <t>Port(-Pmax)/Port</t>
  </si>
  <si>
    <t>S</t>
  </si>
  <si>
    <t>S(-Pmax)</t>
  </si>
  <si>
    <t>S(-Pmax)/S</t>
  </si>
  <si>
    <t>Port M1</t>
  </si>
  <si>
    <t>PortM2</t>
  </si>
  <si>
    <t>SM1</t>
  </si>
  <si>
    <t>SM2</t>
  </si>
  <si>
    <t>Port*PortM1*PortM2</t>
  </si>
  <si>
    <t>S*SM1*SM2</t>
  </si>
  <si>
    <t xml:space="preserve">KM </t>
  </si>
  <si>
    <t>MARMARA, EGE, DOĞU KARADENİZ, AKDENİZ YAKINI DAĞ</t>
  </si>
  <si>
    <t>PMMY</t>
  </si>
  <si>
    <t>Not : MMY  1,13 ile çarpılmamıştır.</t>
  </si>
  <si>
    <t>Hesaplar Hersfield yöntemine göre yapılmıştır.</t>
  </si>
  <si>
    <t>--</t>
  </si>
  <si>
    <r>
      <t>Karamandere Barajı                (115 km</t>
    </r>
    <r>
      <rPr>
        <b/>
        <vertAlign val="superscript"/>
        <sz val="11"/>
        <rFont val="Calibri"/>
        <family val="2"/>
        <charset val="162"/>
        <scheme val="minor"/>
      </rPr>
      <t>2</t>
    </r>
    <r>
      <rPr>
        <b/>
        <sz val="11"/>
        <rFont val="Calibri"/>
        <family val="2"/>
        <charset val="162"/>
        <scheme val="minor"/>
      </rPr>
      <t>)</t>
    </r>
  </si>
  <si>
    <t>(BTFA)</t>
  </si>
  <si>
    <t>t (sa)</t>
  </si>
  <si>
    <t>Yinelenme (Yıl)</t>
  </si>
  <si>
    <t>Hacim (hm³)</t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</si>
  <si>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2.33</t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</si>
  <si>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5</t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</si>
  <si>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10</t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</si>
  <si>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25</t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</si>
  <si>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50</t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</si>
  <si>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100</t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</si>
  <si>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500</t>
    </r>
    <r>
      <rPr>
        <sz val="11"/>
        <color theme="1"/>
        <rFont val="Calibri"/>
        <family val="2"/>
        <charset val="162"/>
        <scheme val="minor"/>
      </rPr>
      <t/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</si>
  <si>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1000</t>
    </r>
  </si>
  <si>
    <r>
      <t>Q</t>
    </r>
    <r>
      <rPr>
        <b/>
        <vertAlign val="subscript"/>
        <sz val="10"/>
        <rFont val="Calibri"/>
        <family val="2"/>
        <charset val="162"/>
        <scheme val="minor"/>
      </rPr>
      <t>10000</t>
    </r>
  </si>
  <si>
    <r>
      <t>Q</t>
    </r>
    <r>
      <rPr>
        <b/>
        <vertAlign val="subscript"/>
        <sz val="10"/>
        <rFont val="Arial"/>
        <family val="2"/>
        <charset val="162"/>
      </rPr>
      <t>OET</t>
    </r>
  </si>
  <si>
    <t xml:space="preserve">Not:  D02A095, D02A096 ve D02A097 AGİ'ler BTFA'ya dahil edilmedi. </t>
  </si>
  <si>
    <t>Boyutsuzlar</t>
  </si>
  <si>
    <r>
      <t>Q</t>
    </r>
    <r>
      <rPr>
        <b/>
        <i/>
        <vertAlign val="subscript"/>
        <sz val="10"/>
        <color theme="3" tint="0.39997558519241921"/>
        <rFont val="Calibri"/>
        <family val="2"/>
        <charset val="162"/>
        <scheme val="minor"/>
      </rPr>
      <t>2.33</t>
    </r>
  </si>
  <si>
    <r>
      <t>Q</t>
    </r>
    <r>
      <rPr>
        <b/>
        <i/>
        <vertAlign val="subscript"/>
        <sz val="10"/>
        <color theme="3" tint="0.39997558519241921"/>
        <rFont val="Calibri"/>
        <family val="2"/>
        <charset val="162"/>
        <scheme val="minor"/>
      </rPr>
      <t>5</t>
    </r>
  </si>
  <si>
    <r>
      <t>Q</t>
    </r>
    <r>
      <rPr>
        <b/>
        <i/>
        <vertAlign val="subscript"/>
        <sz val="10"/>
        <color theme="3" tint="0.39997558519241921"/>
        <rFont val="Calibri"/>
        <family val="2"/>
        <charset val="162"/>
        <scheme val="minor"/>
      </rPr>
      <t>10</t>
    </r>
  </si>
  <si>
    <r>
      <t>Q</t>
    </r>
    <r>
      <rPr>
        <b/>
        <i/>
        <vertAlign val="subscript"/>
        <sz val="10"/>
        <color theme="3" tint="0.39997558519241921"/>
        <rFont val="Calibri"/>
        <family val="2"/>
        <charset val="162"/>
        <scheme val="minor"/>
      </rPr>
      <t>25</t>
    </r>
  </si>
  <si>
    <r>
      <t>Q</t>
    </r>
    <r>
      <rPr>
        <b/>
        <i/>
        <vertAlign val="subscript"/>
        <sz val="10"/>
        <color theme="3" tint="0.39997558519241921"/>
        <rFont val="Calibri"/>
        <family val="2"/>
        <charset val="162"/>
        <scheme val="minor"/>
      </rPr>
      <t>50</t>
    </r>
  </si>
  <si>
    <r>
      <t>Q</t>
    </r>
    <r>
      <rPr>
        <b/>
        <i/>
        <vertAlign val="subscript"/>
        <sz val="10"/>
        <color theme="3" tint="0.39997558519241921"/>
        <rFont val="Calibri"/>
        <family val="2"/>
        <charset val="162"/>
        <scheme val="minor"/>
      </rPr>
      <t>100</t>
    </r>
  </si>
  <si>
    <t>(Yağmur+baz)</t>
  </si>
  <si>
    <t>(yağmur)</t>
  </si>
  <si>
    <t>D02A119</t>
  </si>
  <si>
    <t>Velika D.-Armutveren</t>
  </si>
  <si>
    <t>D02A007</t>
  </si>
  <si>
    <t>Kocadere-Armağan</t>
  </si>
  <si>
    <r>
      <t>115 km</t>
    </r>
    <r>
      <rPr>
        <b/>
        <vertAlign val="superscript"/>
        <sz val="11"/>
        <rFont val="Calibri"/>
        <family val="2"/>
        <charset val="162"/>
        <scheme val="minor"/>
      </rPr>
      <t>2</t>
    </r>
  </si>
  <si>
    <t>D02A108</t>
  </si>
  <si>
    <t>Kazandere-Aksicim</t>
  </si>
  <si>
    <t>İstasyon</t>
  </si>
  <si>
    <r>
      <t>YAĞIŞ ALANI
(km</t>
    </r>
    <r>
      <rPr>
        <vertAlign val="superscript"/>
        <sz val="10"/>
        <rFont val="Calibri"/>
        <family val="2"/>
        <charset val="162"/>
        <scheme val="minor"/>
      </rPr>
      <t>2</t>
    </r>
    <r>
      <rPr>
        <sz val="10"/>
        <rFont val="Calibri"/>
        <family val="2"/>
        <charset val="162"/>
        <scheme val="minor"/>
      </rPr>
      <t>)</t>
    </r>
  </si>
  <si>
    <t>Baraj</t>
  </si>
  <si>
    <t>0.47 km2</t>
  </si>
  <si>
    <t xml:space="preserve">Tablo: 7.1 -  Bölgesel  Taşkın  Analizinde Kullanılan AGİ'larının Yılda Anlık Maksimum Akımları </t>
  </si>
  <si>
    <t>Tablo: 7.1 -  Devamı</t>
  </si>
  <si>
    <t>Tablo: 7.2 - Karamandere Barajı Bölgesel ve Noktasal Taşkın Frekans Analizi</t>
  </si>
  <si>
    <t>Tablo: 7.3 - Binkılıç MGİ Muhtemel Maksimum Yağış Hesabı</t>
  </si>
  <si>
    <t>Tablo: 7.4 - Hidrolojik Zemin Grupları ve Bitki Örtüsüne Göre Akış Eğri No Hesabı</t>
  </si>
  <si>
    <t>Tablo: 7.9 - Karamandere Barajı Proje Taşkın Yinelenme Debileri Özet Tablosu</t>
  </si>
  <si>
    <r>
      <t>Tablo: 7.10  - Karamandere Barajı Yinelenmeli Taşkın Hidrografları Koordinatları (m</t>
    </r>
    <r>
      <rPr>
        <b/>
        <vertAlign val="superscript"/>
        <sz val="12"/>
        <rFont val="Calibri"/>
        <family val="2"/>
        <charset val="162"/>
        <scheme val="minor"/>
      </rPr>
      <t>3</t>
    </r>
    <r>
      <rPr>
        <b/>
        <sz val="12"/>
        <rFont val="Calibri"/>
        <family val="2"/>
        <charset val="162"/>
        <scheme val="minor"/>
      </rPr>
      <t>/s)</t>
    </r>
  </si>
  <si>
    <r>
      <t>Tablo: 7.11  - Karamandere Barajı Yinelenmeli Taşkın Hidrografları Koordinatları (m</t>
    </r>
    <r>
      <rPr>
        <b/>
        <vertAlign val="superscript"/>
        <sz val="12"/>
        <rFont val="Calibri"/>
        <family val="2"/>
        <charset val="162"/>
        <scheme val="minor"/>
      </rPr>
      <t>3</t>
    </r>
    <r>
      <rPr>
        <b/>
        <sz val="12"/>
        <rFont val="Calibri"/>
        <family val="2"/>
        <charset val="162"/>
        <scheme val="minor"/>
      </rPr>
      <t>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</si>
</sst>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2" formatCode="_-* #,##0\ &quot;TL&quot;_-;\-* #,##0\ &quot;TL&quot;_-;_-* &quot;-&quot;\ &quot;TL&quot;_-;_-@_-"/>
    <numFmt numFmtId="41" formatCode="_-* #,##0\ _T_L_-;\-* #,##0\ _T_L_-;_-* &quot;-&quot;\ _T_L_-;_-@_-"/>
    <numFmt numFmtId="43" formatCode="_-* #,##0.00\ _T_L_-;\-* #,##0.00\ _T_L_-;_-* &quot;-&quot;??\ _T_L_-;_-@_-"/>
    <numFmt numFmtId="164" formatCode="0.0"/>
    <numFmt numFmtId="165" formatCode="#.##000"/>
    <numFmt numFmtId="166" formatCode="\$#,#00"/>
    <numFmt numFmtId="167" formatCode="\M\os\t\h\ m\,\ yyyy"/>
    <numFmt numFmtId="168" formatCode="_-* #,##0.00\ [$€-1]_-;\-* #,##0.00\ [$€-1]_-;_-* &quot;-&quot;??\ [$€-1]_-"/>
    <numFmt numFmtId="169" formatCode="#,#00"/>
    <numFmt numFmtId="170" formatCode="#"/>
    <numFmt numFmtId="171" formatCode="0_)"/>
    <numFmt numFmtId="172" formatCode="_-&quot;TL&quot;\ * #,##0.00_-;\-&quot;TL&quot;\ * #,##0.00_-;_-&quot;TL&quot;\ * &quot;-&quot;??_-;_-@_-"/>
    <numFmt numFmtId="173" formatCode="%#,#00"/>
    <numFmt numFmtId="174" formatCode="_(* #,##0_);_(* \(#,##0\);_(* &quot;-&quot;_);_(@_)"/>
    <numFmt numFmtId="175" formatCode="0.000"/>
    <numFmt numFmtId="176" formatCode="#,##0&quot; TL&quot;;[Red]\-#,##0&quot; TL&quot;"/>
    <numFmt numFmtId="177" formatCode="_-* #,##0.00\ [$€]_-;\-* #,##0.00\ [$€]_-;_-* &quot;-&quot;??\ [$€]_-;_-@_-"/>
    <numFmt numFmtId="178" formatCode="0.0_)"/>
  </numFmts>
  <fonts count="9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vertAlign val="superscript"/>
      <sz val="9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vertAlign val="superscript"/>
      <sz val="8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vertAlign val="subscript"/>
      <sz val="11"/>
      <color rgb="FF00000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vertAlign val="subscript"/>
      <sz val="10"/>
      <name val="Arial"/>
      <family val="2"/>
      <charset val="162"/>
    </font>
    <font>
      <b/>
      <vertAlign val="superscript"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1"/>
      <color rgb="FF0033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vertAlign val="subscript"/>
      <sz val="10"/>
      <color rgb="FF000000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  <charset val="162"/>
    </font>
    <font>
      <u/>
      <sz val="10"/>
      <color indexed="36"/>
      <name val="Arial"/>
      <family val="2"/>
      <charset val="162"/>
    </font>
    <font>
      <u/>
      <sz val="10"/>
      <color indexed="12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indexed="8"/>
      <name val="Courier"/>
      <family val="3"/>
    </font>
    <font>
      <sz val="12"/>
      <name val="Times New Roman"/>
      <family val="1"/>
      <charset val="162"/>
    </font>
    <font>
      <sz val="12"/>
      <color indexed="8"/>
      <name val="Courier"/>
      <family val="1"/>
      <charset val="16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 Tur"/>
      <charset val="162"/>
    </font>
    <font>
      <sz val="11"/>
      <color indexed="8"/>
      <name val="Calibri"/>
      <family val="2"/>
      <charset val="162"/>
    </font>
    <font>
      <sz val="10"/>
      <name val="Arial Tur"/>
      <charset val="162"/>
    </font>
    <font>
      <sz val="11"/>
      <color theme="1"/>
      <name val="Arial"/>
      <family val="2"/>
      <charset val="162"/>
    </font>
    <font>
      <sz val="11"/>
      <color indexed="8"/>
      <name val="Arial"/>
      <family val="2"/>
      <charset val="162"/>
    </font>
    <font>
      <sz val="10"/>
      <name val="Courier"/>
      <family val="3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10"/>
      <name val="Arial"/>
      <family val="2"/>
      <charset val="162"/>
    </font>
    <font>
      <b/>
      <vertAlign val="superscript"/>
      <sz val="1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vertAlign val="subscript"/>
      <sz val="1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0"/>
      <color indexed="2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indexed="52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u/>
      <sz val="12"/>
      <color indexed="36"/>
      <name val="Times New Roman Tur"/>
      <charset val="162"/>
    </font>
    <font>
      <u/>
      <sz val="12"/>
      <color indexed="12"/>
      <name val="Times New Roman Tur"/>
      <charset val="162"/>
    </font>
    <font>
      <sz val="10"/>
      <name val="Courier"/>
      <family val="1"/>
      <charset val="162"/>
    </font>
    <font>
      <b/>
      <sz val="11"/>
      <color indexed="8"/>
      <name val="Calibri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1"/>
      <color theme="3"/>
      <name val="Calibri"/>
      <family val="2"/>
      <charset val="162"/>
      <scheme val="minor"/>
    </font>
    <font>
      <b/>
      <i/>
      <sz val="9"/>
      <color theme="3" tint="0.39997558519241921"/>
      <name val="Calibri"/>
      <family val="2"/>
      <charset val="162"/>
      <scheme val="minor"/>
    </font>
    <font>
      <b/>
      <i/>
      <sz val="10"/>
      <color theme="3" tint="0.39997558519241921"/>
      <name val="Calibri"/>
      <family val="2"/>
      <charset val="162"/>
      <scheme val="minor"/>
    </font>
    <font>
      <b/>
      <i/>
      <vertAlign val="subscript"/>
      <sz val="10"/>
      <color theme="3" tint="0.39997558519241921"/>
      <name val="Calibri"/>
      <family val="2"/>
      <charset val="162"/>
      <scheme val="minor"/>
    </font>
    <font>
      <i/>
      <sz val="9"/>
      <color theme="3" tint="0.39997558519241921"/>
      <name val="Calibri"/>
      <family val="2"/>
      <charset val="162"/>
      <scheme val="minor"/>
    </font>
    <font>
      <sz val="8"/>
      <color theme="0"/>
      <name val="Calibri"/>
      <family val="2"/>
      <charset val="162"/>
      <scheme val="minor"/>
    </font>
    <font>
      <b/>
      <i/>
      <sz val="10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vertAlign val="superscript"/>
      <sz val="12"/>
      <name val="Calibri"/>
      <family val="2"/>
      <charset val="162"/>
      <scheme val="minor"/>
    </font>
    <font>
      <vertAlign val="superscript"/>
      <sz val="1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3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32">
    <xf numFmtId="0" fontId="0" fillId="0" borderId="0"/>
    <xf numFmtId="0" fontId="18" fillId="0" borderId="0"/>
    <xf numFmtId="0" fontId="8" fillId="0" borderId="0"/>
    <xf numFmtId="0" fontId="18" fillId="0" borderId="0"/>
    <xf numFmtId="0" fontId="30" fillId="0" borderId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9" borderId="0" applyNumberFormat="0" applyBorder="0" applyAlignment="0" applyProtection="0"/>
    <xf numFmtId="0" fontId="33" fillId="12" borderId="0" applyNumberFormat="0" applyBorder="0" applyAlignment="0" applyProtection="0"/>
    <xf numFmtId="0" fontId="33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5" fillId="7" borderId="0" applyNumberFormat="0" applyBorder="0" applyAlignment="0" applyProtection="0"/>
    <xf numFmtId="0" fontId="36" fillId="24" borderId="54" applyNumberFormat="0" applyAlignment="0" applyProtection="0"/>
    <xf numFmtId="0" fontId="37" fillId="25" borderId="55" applyNumberFormat="0" applyAlignment="0" applyProtection="0"/>
    <xf numFmtId="0" fontId="37" fillId="25" borderId="55" applyNumberFormat="0" applyAlignment="0" applyProtection="0"/>
    <xf numFmtId="165" fontId="38" fillId="0" borderId="0">
      <protection locked="0"/>
    </xf>
    <xf numFmtId="41" fontId="39" fillId="0" borderId="0" applyFont="0" applyFill="0" applyBorder="0" applyAlignment="0" applyProtection="0"/>
    <xf numFmtId="165" fontId="40" fillId="0" borderId="0">
      <protection locked="0"/>
    </xf>
    <xf numFmtId="166" fontId="38" fillId="0" borderId="0">
      <protection locked="0"/>
    </xf>
    <xf numFmtId="42" fontId="39" fillId="0" borderId="0" applyFont="0" applyFill="0" applyBorder="0" applyAlignment="0" applyProtection="0"/>
    <xf numFmtId="166" fontId="40" fillId="0" borderId="0">
      <protection locked="0"/>
    </xf>
    <xf numFmtId="167" fontId="38" fillId="0" borderId="0">
      <protection locked="0"/>
    </xf>
    <xf numFmtId="168" fontId="1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69" fontId="38" fillId="0" borderId="0">
      <protection locked="0"/>
    </xf>
    <xf numFmtId="0" fontId="42" fillId="8" borderId="0" applyNumberFormat="0" applyBorder="0" applyAlignment="0" applyProtection="0"/>
    <xf numFmtId="170" fontId="43" fillId="0" borderId="0">
      <protection locked="0"/>
    </xf>
    <xf numFmtId="170" fontId="44" fillId="0" borderId="0">
      <protection locked="0"/>
    </xf>
    <xf numFmtId="0" fontId="45" fillId="0" borderId="56" applyNumberFormat="0" applyFill="0" applyAlignment="0" applyProtection="0"/>
    <xf numFmtId="0" fontId="46" fillId="0" borderId="57" applyNumberFormat="0" applyFill="0" applyAlignment="0" applyProtection="0"/>
    <xf numFmtId="0" fontId="47" fillId="0" borderId="58" applyNumberFormat="0" applyFill="0" applyAlignment="0" applyProtection="0"/>
    <xf numFmtId="0" fontId="47" fillId="0" borderId="58" applyNumberFormat="0" applyFill="0" applyAlignment="0" applyProtection="0"/>
    <xf numFmtId="0" fontId="47" fillId="0" borderId="0" applyNumberFormat="0" applyFill="0" applyBorder="0" applyAlignment="0" applyProtection="0"/>
    <xf numFmtId="0" fontId="48" fillId="11" borderId="54" applyNumberFormat="0" applyAlignment="0" applyProtection="0"/>
    <xf numFmtId="0" fontId="49" fillId="0" borderId="59" applyNumberFormat="0" applyFill="0" applyAlignment="0" applyProtection="0"/>
    <xf numFmtId="0" fontId="50" fillId="26" borderId="0" applyNumberFormat="0" applyBorder="0" applyAlignment="0" applyProtection="0"/>
    <xf numFmtId="0" fontId="8" fillId="0" borderId="0"/>
    <xf numFmtId="0" fontId="51" fillId="0" borderId="0"/>
    <xf numFmtId="0" fontId="18" fillId="0" borderId="0"/>
    <xf numFmtId="0" fontId="18" fillId="0" borderId="0"/>
    <xf numFmtId="0" fontId="52" fillId="0" borderId="0"/>
    <xf numFmtId="0" fontId="18" fillId="0" borderId="0"/>
    <xf numFmtId="0" fontId="18" fillId="0" borderId="0"/>
    <xf numFmtId="0" fontId="52" fillId="0" borderId="0"/>
    <xf numFmtId="0" fontId="18" fillId="0" borderId="0"/>
    <xf numFmtId="0" fontId="1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8" fillId="0" borderId="0"/>
    <xf numFmtId="0" fontId="53" fillId="0" borderId="0"/>
    <xf numFmtId="0" fontId="18" fillId="0" borderId="0"/>
    <xf numFmtId="0" fontId="5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2" fillId="0" borderId="0"/>
    <xf numFmtId="0" fontId="18" fillId="0" borderId="0"/>
    <xf numFmtId="0" fontId="18" fillId="0" borderId="0"/>
    <xf numFmtId="0" fontId="18" fillId="0" borderId="0"/>
    <xf numFmtId="0" fontId="8" fillId="0" borderId="0"/>
    <xf numFmtId="0" fontId="18" fillId="0" borderId="0"/>
    <xf numFmtId="0" fontId="53" fillId="0" borderId="0"/>
    <xf numFmtId="0" fontId="18" fillId="0" borderId="0"/>
    <xf numFmtId="0" fontId="1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18" fillId="0" borderId="0"/>
    <xf numFmtId="0" fontId="54" fillId="0" borderId="0"/>
    <xf numFmtId="0" fontId="54" fillId="0" borderId="0"/>
    <xf numFmtId="0" fontId="5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8" fillId="0" borderId="0"/>
    <xf numFmtId="0" fontId="18" fillId="0" borderId="0"/>
    <xf numFmtId="0" fontId="52" fillId="0" borderId="0"/>
    <xf numFmtId="0" fontId="52" fillId="0" borderId="0"/>
    <xf numFmtId="0" fontId="18" fillId="0" borderId="0"/>
    <xf numFmtId="171" fontId="56" fillId="0" borderId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7" fillId="27" borderId="60" applyNumberFormat="0" applyFont="0" applyAlignment="0" applyProtection="0"/>
    <xf numFmtId="0" fontId="8" fillId="4" borderId="53" applyNumberFormat="0" applyFont="0" applyAlignment="0" applyProtection="0"/>
    <xf numFmtId="0" fontId="58" fillId="24" borderId="61" applyNumberFormat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38" fillId="0" borderId="0">
      <protection locked="0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60" fillId="0" borderId="62" applyNumberFormat="0" applyFill="0" applyAlignment="0" applyProtection="0"/>
    <xf numFmtId="174" fontId="18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18" fillId="0" borderId="0"/>
    <xf numFmtId="0" fontId="18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9" borderId="0" applyNumberFormat="0" applyBorder="0" applyAlignment="0" applyProtection="0"/>
    <xf numFmtId="0" fontId="33" fillId="12" borderId="0" applyNumberFormat="0" applyBorder="0" applyAlignment="0" applyProtection="0"/>
    <xf numFmtId="0" fontId="33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5" fillId="7" borderId="0" applyNumberFormat="0" applyBorder="0" applyAlignment="0" applyProtection="0"/>
    <xf numFmtId="0" fontId="71" fillId="0" borderId="59" applyNumberFormat="0" applyFill="0" applyAlignment="0" applyProtection="0"/>
    <xf numFmtId="0" fontId="36" fillId="24" borderId="54" applyNumberFormat="0" applyAlignment="0" applyProtection="0"/>
    <xf numFmtId="0" fontId="36" fillId="24" borderId="54" applyNumberFormat="0" applyAlignment="0" applyProtection="0"/>
    <xf numFmtId="0" fontId="37" fillId="25" borderId="55" applyNumberFormat="0" applyAlignment="0" applyProtection="0"/>
    <xf numFmtId="38" fontId="30" fillId="0" borderId="0" applyFont="0" applyFill="0" applyBorder="0" applyAlignment="0" applyProtection="0"/>
    <xf numFmtId="43" fontId="53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72" fillId="24" borderId="61" applyNumberFormat="0" applyAlignment="0" applyProtection="0"/>
    <xf numFmtId="168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73" fillId="11" borderId="54" applyNumberFormat="0" applyAlignment="0" applyProtection="0"/>
    <xf numFmtId="0" fontId="42" fillId="8" borderId="0" applyNumberFormat="0" applyBorder="0" applyAlignment="0" applyProtection="0"/>
    <xf numFmtId="0" fontId="45" fillId="0" borderId="56" applyNumberFormat="0" applyFill="0" applyAlignment="0" applyProtection="0"/>
    <xf numFmtId="0" fontId="46" fillId="0" borderId="57" applyNumberFormat="0" applyFill="0" applyAlignment="0" applyProtection="0"/>
    <xf numFmtId="0" fontId="47" fillId="0" borderId="0" applyNumberFormat="0" applyFill="0" applyBorder="0" applyAlignment="0" applyProtection="0"/>
    <xf numFmtId="0" fontId="74" fillId="24" borderId="54" applyNumberFormat="0" applyAlignment="0" applyProtection="0"/>
    <xf numFmtId="0" fontId="48" fillId="11" borderId="54" applyNumberFormat="0" applyAlignment="0" applyProtection="0"/>
    <xf numFmtId="0" fontId="48" fillId="11" borderId="54" applyNumberFormat="0" applyAlignment="0" applyProtection="0"/>
    <xf numFmtId="0" fontId="75" fillId="25" borderId="55" applyNumberFormat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49" fillId="0" borderId="59" applyNumberFormat="0" applyFill="0" applyAlignment="0" applyProtection="0"/>
    <xf numFmtId="0" fontId="49" fillId="0" borderId="59" applyNumberFormat="0" applyFill="0" applyAlignment="0" applyProtection="0"/>
    <xf numFmtId="0" fontId="50" fillId="26" borderId="0" applyNumberFormat="0" applyBorder="0" applyAlignment="0" applyProtection="0"/>
    <xf numFmtId="0" fontId="18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53" fillId="0" borderId="0"/>
    <xf numFmtId="0" fontId="6" fillId="0" borderId="0"/>
    <xf numFmtId="0" fontId="6" fillId="0" borderId="0"/>
    <xf numFmtId="0" fontId="7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29" fillId="0" borderId="0"/>
    <xf numFmtId="0" fontId="18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/>
    <xf numFmtId="0" fontId="18" fillId="0" borderId="0"/>
    <xf numFmtId="178" fontId="78" fillId="0" borderId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3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52" fillId="27" borderId="60" applyNumberFormat="0" applyFont="0" applyAlignment="0" applyProtection="0"/>
    <xf numFmtId="0" fontId="18" fillId="27" borderId="60" applyNumberFormat="0" applyFont="0" applyAlignment="0" applyProtection="0"/>
    <xf numFmtId="0" fontId="58" fillId="24" borderId="61" applyNumberFormat="0" applyAlignment="0" applyProtection="0"/>
    <xf numFmtId="0" fontId="58" fillId="24" borderId="61" applyNumberFormat="0" applyAlignment="0" applyProtection="0"/>
    <xf numFmtId="0" fontId="18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79" fillId="0" borderId="62" applyNumberFormat="0" applyFill="0" applyAlignment="0" applyProtection="0"/>
    <xf numFmtId="0" fontId="60" fillId="0" borderId="62" applyNumberFormat="0" applyFill="0" applyAlignment="0" applyProtection="0"/>
    <xf numFmtId="0" fontId="60" fillId="0" borderId="62" applyNumberFormat="0" applyFill="0" applyAlignment="0" applyProtection="0"/>
    <xf numFmtId="0" fontId="61" fillId="0" borderId="0" applyNumberForma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294">
    <xf numFmtId="0" fontId="0" fillId="0" borderId="0" xfId="0"/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1" fontId="11" fillId="0" borderId="5" xfId="0" applyNumberFormat="1" applyFont="1" applyFill="1" applyBorder="1" applyAlignment="1">
      <alignment horizontal="center" vertical="center" wrapText="1"/>
    </xf>
    <xf numFmtId="2" fontId="15" fillId="0" borderId="6" xfId="0" applyNumberFormat="1" applyFont="1" applyFill="1" applyBorder="1" applyAlignment="1">
      <alignment horizontal="center" vertical="center" wrapText="1"/>
    </xf>
    <xf numFmtId="1" fontId="11" fillId="0" borderId="7" xfId="0" applyNumberFormat="1" applyFont="1" applyFill="1" applyBorder="1" applyAlignment="1">
      <alignment horizontal="center" vertical="center" wrapText="1"/>
    </xf>
    <xf numFmtId="2" fontId="15" fillId="0" borderId="17" xfId="0" applyNumberFormat="1" applyFont="1" applyFill="1" applyBorder="1" applyAlignment="1">
      <alignment horizontal="center" vertical="center" wrapText="1"/>
    </xf>
    <xf numFmtId="1" fontId="11" fillId="0" borderId="9" xfId="0" applyNumberFormat="1" applyFont="1" applyFill="1" applyBorder="1" applyAlignment="1">
      <alignment horizontal="center" vertical="center" wrapText="1"/>
    </xf>
    <xf numFmtId="2" fontId="15" fillId="0" borderId="18" xfId="0" applyNumberFormat="1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vertical="center"/>
    </xf>
    <xf numFmtId="2" fontId="9" fillId="0" borderId="27" xfId="0" applyNumberFormat="1" applyFont="1" applyBorder="1" applyAlignment="1">
      <alignment vertical="center"/>
    </xf>
    <xf numFmtId="0" fontId="22" fillId="0" borderId="28" xfId="0" applyFont="1" applyBorder="1" applyAlignment="1">
      <alignment horizontal="center" vertical="center" wrapText="1"/>
    </xf>
    <xf numFmtId="0" fontId="9" fillId="0" borderId="28" xfId="0" applyFont="1" applyBorder="1" applyAlignment="1">
      <alignment vertical="center"/>
    </xf>
    <xf numFmtId="2" fontId="9" fillId="0" borderId="28" xfId="0" applyNumberFormat="1" applyFont="1" applyBorder="1" applyAlignment="1">
      <alignment vertical="center"/>
    </xf>
    <xf numFmtId="0" fontId="15" fillId="0" borderId="0" xfId="0" applyFont="1"/>
    <xf numFmtId="0" fontId="15" fillId="2" borderId="0" xfId="0" applyFont="1" applyFill="1"/>
    <xf numFmtId="0" fontId="15" fillId="0" borderId="0" xfId="0" applyFont="1" applyFill="1"/>
    <xf numFmtId="0" fontId="13" fillId="0" borderId="36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6" fillId="0" borderId="0" xfId="0" applyFont="1"/>
    <xf numFmtId="0" fontId="13" fillId="0" borderId="3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5" fillId="0" borderId="39" xfId="0" applyFont="1" applyBorder="1"/>
    <xf numFmtId="0" fontId="11" fillId="0" borderId="14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41" xfId="0" applyFont="1" applyBorder="1"/>
    <xf numFmtId="0" fontId="15" fillId="0" borderId="42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0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5" fillId="0" borderId="50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5" fillId="0" borderId="51" xfId="0" applyFont="1" applyBorder="1"/>
    <xf numFmtId="2" fontId="15" fillId="0" borderId="0" xfId="0" applyNumberFormat="1" applyFont="1" applyFill="1"/>
    <xf numFmtId="17" fontId="27" fillId="0" borderId="27" xfId="0" applyNumberFormat="1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2" fontId="27" fillId="0" borderId="27" xfId="0" applyNumberFormat="1" applyFont="1" applyBorder="1" applyAlignment="1">
      <alignment horizontal="center" vertical="center" wrapText="1"/>
    </xf>
    <xf numFmtId="1" fontId="9" fillId="0" borderId="27" xfId="0" applyNumberFormat="1" applyFont="1" applyBorder="1" applyAlignment="1">
      <alignment vertical="center"/>
    </xf>
    <xf numFmtId="0" fontId="22" fillId="0" borderId="27" xfId="0" applyFont="1" applyFill="1" applyBorder="1" applyAlignment="1">
      <alignment horizontal="center" vertical="center" wrapText="1"/>
    </xf>
    <xf numFmtId="17" fontId="27" fillId="0" borderId="27" xfId="0" applyNumberFormat="1" applyFont="1" applyFill="1" applyBorder="1" applyAlignment="1">
      <alignment horizontal="center" vertical="center" wrapText="1"/>
    </xf>
    <xf numFmtId="0" fontId="27" fillId="0" borderId="27" xfId="0" applyFont="1" applyFill="1" applyBorder="1" applyAlignment="1">
      <alignment horizontal="center" vertical="center" wrapText="1"/>
    </xf>
    <xf numFmtId="2" fontId="27" fillId="0" borderId="27" xfId="0" applyNumberFormat="1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vertical="center"/>
    </xf>
    <xf numFmtId="2" fontId="9" fillId="0" borderId="27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0" fontId="9" fillId="0" borderId="3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2" fontId="0" fillId="0" borderId="27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7" fillId="0" borderId="28" xfId="0" applyFont="1" applyFill="1" applyBorder="1" applyAlignment="1">
      <alignment horizontal="center" vertical="center" wrapText="1"/>
    </xf>
    <xf numFmtId="164" fontId="27" fillId="0" borderId="28" xfId="0" applyNumberFormat="1" applyFont="1" applyFill="1" applyBorder="1" applyAlignment="1">
      <alignment vertical="center"/>
    </xf>
    <xf numFmtId="0" fontId="27" fillId="0" borderId="28" xfId="0" applyFont="1" applyFill="1" applyBorder="1" applyAlignment="1">
      <alignment horizontal="center" vertical="center"/>
    </xf>
    <xf numFmtId="0" fontId="19" fillId="0" borderId="28" xfId="1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69" xfId="0" applyFont="1" applyBorder="1" applyAlignment="1">
      <alignment horizontal="center" vertical="center" wrapText="1"/>
    </xf>
    <xf numFmtId="0" fontId="15" fillId="0" borderId="70" xfId="0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5" fillId="0" borderId="72" xfId="0" applyFont="1" applyFill="1" applyBorder="1" applyAlignment="1">
      <alignment horizontal="center" vertical="center" wrapText="1"/>
    </xf>
    <xf numFmtId="0" fontId="15" fillId="0" borderId="73" xfId="0" applyFont="1" applyFill="1" applyBorder="1" applyAlignment="1">
      <alignment horizontal="center" vertical="center" wrapText="1"/>
    </xf>
    <xf numFmtId="0" fontId="15" fillId="0" borderId="74" xfId="0" applyFont="1" applyFill="1" applyBorder="1" applyAlignment="1">
      <alignment horizontal="center" vertical="center" wrapText="1"/>
    </xf>
    <xf numFmtId="2" fontId="15" fillId="0" borderId="75" xfId="0" applyNumberFormat="1" applyFont="1" applyFill="1" applyBorder="1" applyAlignment="1">
      <alignment horizontal="center" vertical="center" wrapText="1"/>
    </xf>
    <xf numFmtId="2" fontId="15" fillId="0" borderId="32" xfId="0" applyNumberFormat="1" applyFont="1" applyFill="1" applyBorder="1" applyAlignment="1">
      <alignment horizontal="center" vertical="center" wrapText="1"/>
    </xf>
    <xf numFmtId="2" fontId="15" fillId="0" borderId="76" xfId="0" applyNumberFormat="1" applyFont="1" applyFill="1" applyBorder="1" applyAlignment="1">
      <alignment horizontal="center" vertical="center" wrapText="1"/>
    </xf>
    <xf numFmtId="2" fontId="15" fillId="0" borderId="4" xfId="0" applyNumberFormat="1" applyFont="1" applyFill="1" applyBorder="1" applyAlignment="1">
      <alignment horizontal="center" vertical="center" wrapText="1"/>
    </xf>
    <xf numFmtId="2" fontId="15" fillId="0" borderId="77" xfId="0" applyNumberFormat="1" applyFont="1" applyFill="1" applyBorder="1" applyAlignment="1">
      <alignment horizontal="center" vertical="center" wrapText="1"/>
    </xf>
    <xf numFmtId="2" fontId="15" fillId="0" borderId="30" xfId="0" applyNumberFormat="1" applyFont="1" applyFill="1" applyBorder="1" applyAlignment="1">
      <alignment horizontal="center" vertical="center" wrapText="1"/>
    </xf>
    <xf numFmtId="2" fontId="15" fillId="0" borderId="52" xfId="0" applyNumberFormat="1" applyFont="1" applyFill="1" applyBorder="1" applyAlignment="1">
      <alignment horizontal="center" vertical="center" wrapText="1"/>
    </xf>
    <xf numFmtId="2" fontId="15" fillId="0" borderId="78" xfId="0" applyNumberFormat="1" applyFont="1" applyFill="1" applyBorder="1" applyAlignment="1">
      <alignment horizontal="center" vertical="center" wrapText="1"/>
    </xf>
    <xf numFmtId="2" fontId="15" fillId="0" borderId="79" xfId="0" applyNumberFormat="1" applyFont="1" applyFill="1" applyBorder="1" applyAlignment="1">
      <alignment horizontal="center" vertical="center" wrapText="1"/>
    </xf>
    <xf numFmtId="2" fontId="15" fillId="0" borderId="80" xfId="0" applyNumberFormat="1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74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28" fillId="29" borderId="28" xfId="0" applyNumberFormat="1" applyFont="1" applyFill="1" applyBorder="1" applyAlignment="1">
      <alignment vertical="center"/>
    </xf>
    <xf numFmtId="0" fontId="64" fillId="0" borderId="0" xfId="340" applyFont="1"/>
    <xf numFmtId="0" fontId="64" fillId="30" borderId="0" xfId="340" applyFont="1" applyFill="1"/>
    <xf numFmtId="0" fontId="64" fillId="0" borderId="0" xfId="340" applyFont="1" applyBorder="1"/>
    <xf numFmtId="0" fontId="28" fillId="0" borderId="0" xfId="340" applyFont="1"/>
    <xf numFmtId="0" fontId="65" fillId="0" borderId="0" xfId="340" applyFont="1" applyBorder="1" applyAlignment="1">
      <alignment vertical="center"/>
    </xf>
    <xf numFmtId="0" fontId="65" fillId="0" borderId="28" xfId="341" applyFont="1" applyBorder="1" applyAlignment="1">
      <alignment horizontal="center" vertical="center"/>
    </xf>
    <xf numFmtId="0" fontId="69" fillId="0" borderId="0" xfId="340" applyFont="1"/>
    <xf numFmtId="0" fontId="27" fillId="0" borderId="0" xfId="340" applyFont="1" applyBorder="1"/>
    <xf numFmtId="0" fontId="28" fillId="0" borderId="0" xfId="340" applyFont="1" applyBorder="1" applyAlignment="1">
      <alignment vertical="center"/>
    </xf>
    <xf numFmtId="1" fontId="68" fillId="0" borderId="28" xfId="341" applyNumberFormat="1" applyFont="1" applyBorder="1" applyAlignment="1">
      <alignment vertical="center"/>
    </xf>
    <xf numFmtId="0" fontId="68" fillId="0" borderId="28" xfId="341" applyFont="1" applyBorder="1" applyAlignment="1">
      <alignment vertical="center"/>
    </xf>
    <xf numFmtId="0" fontId="70" fillId="0" borderId="28" xfId="341" applyFont="1" applyBorder="1" applyAlignment="1">
      <alignment vertical="center"/>
    </xf>
    <xf numFmtId="0" fontId="64" fillId="0" borderId="28" xfId="340" applyFont="1" applyBorder="1"/>
    <xf numFmtId="2" fontId="68" fillId="0" borderId="28" xfId="340" applyNumberFormat="1" applyFont="1" applyBorder="1"/>
    <xf numFmtId="2" fontId="68" fillId="0" borderId="28" xfId="340" applyNumberFormat="1" applyFont="1" applyFill="1" applyBorder="1"/>
    <xf numFmtId="2" fontId="70" fillId="0" borderId="28" xfId="341" applyNumberFormat="1" applyFont="1" applyBorder="1" applyAlignment="1">
      <alignment vertical="center"/>
    </xf>
    <xf numFmtId="2" fontId="64" fillId="0" borderId="28" xfId="340" applyNumberFormat="1" applyFont="1" applyBorder="1"/>
    <xf numFmtId="2" fontId="64" fillId="0" borderId="28" xfId="0" applyNumberFormat="1" applyFont="1" applyBorder="1" applyAlignment="1">
      <alignment vertical="center"/>
    </xf>
    <xf numFmtId="2" fontId="65" fillId="28" borderId="28" xfId="0" applyNumberFormat="1" applyFont="1" applyFill="1" applyBorder="1" applyAlignment="1">
      <alignment vertical="center"/>
    </xf>
    <xf numFmtId="164" fontId="68" fillId="0" borderId="28" xfId="341" applyNumberFormat="1" applyFont="1" applyBorder="1" applyAlignment="1">
      <alignment vertical="center"/>
    </xf>
    <xf numFmtId="2" fontId="65" fillId="0" borderId="28" xfId="340" applyNumberFormat="1" applyFont="1" applyBorder="1"/>
    <xf numFmtId="0" fontId="28" fillId="29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0" fillId="0" borderId="27" xfId="0" applyFont="1" applyBorder="1" applyAlignment="1">
      <alignment horizontal="center" vertical="center" wrapText="1"/>
    </xf>
    <xf numFmtId="0" fontId="81" fillId="2" borderId="0" xfId="0" applyFont="1" applyFill="1" applyAlignment="1">
      <alignment vertical="center"/>
    </xf>
    <xf numFmtId="0" fontId="81" fillId="2" borderId="32" xfId="0" applyFont="1" applyFill="1" applyBorder="1" applyAlignment="1">
      <alignment vertical="center"/>
    </xf>
    <xf numFmtId="0" fontId="83" fillId="0" borderId="28" xfId="341" applyFont="1" applyBorder="1" applyAlignment="1">
      <alignment horizontal="center" vertical="center"/>
    </xf>
    <xf numFmtId="175" fontId="85" fillId="0" borderId="28" xfId="340" applyNumberFormat="1" applyFont="1" applyBorder="1"/>
    <xf numFmtId="164" fontId="82" fillId="0" borderId="28" xfId="340" applyNumberFormat="1" applyFont="1" applyBorder="1"/>
    <xf numFmtId="2" fontId="86" fillId="0" borderId="0" xfId="340" applyNumberFormat="1" applyFont="1" applyBorder="1"/>
    <xf numFmtId="0" fontId="82" fillId="0" borderId="31" xfId="340" applyFont="1" applyBorder="1" applyAlignment="1">
      <alignment horizontal="center" vertical="center"/>
    </xf>
    <xf numFmtId="0" fontId="87" fillId="0" borderId="0" xfId="340" applyFont="1" applyBorder="1" applyAlignment="1">
      <alignment vertical="center"/>
    </xf>
    <xf numFmtId="0" fontId="88" fillId="0" borderId="0" xfId="340" applyFont="1" applyBorder="1" applyAlignment="1">
      <alignment vertical="center"/>
    </xf>
    <xf numFmtId="0" fontId="89" fillId="0" borderId="0" xfId="0" applyFont="1" applyAlignment="1">
      <alignment vertical="center"/>
    </xf>
    <xf numFmtId="0" fontId="15" fillId="0" borderId="82" xfId="0" applyFont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47" xfId="0" applyFont="1" applyFill="1" applyBorder="1" applyAlignment="1">
      <alignment horizontal="center" vertical="center" wrapText="1"/>
    </xf>
    <xf numFmtId="0" fontId="28" fillId="29" borderId="28" xfId="0" applyFont="1" applyFill="1" applyBorder="1" applyAlignment="1">
      <alignment vertical="center" wrapText="1"/>
    </xf>
    <xf numFmtId="0" fontId="4" fillId="0" borderId="0" xfId="0" applyFont="1"/>
    <xf numFmtId="0" fontId="4" fillId="0" borderId="28" xfId="0" applyFont="1" applyBorder="1"/>
    <xf numFmtId="0" fontId="22" fillId="0" borderId="28" xfId="0" applyFont="1" applyBorder="1"/>
    <xf numFmtId="0" fontId="89" fillId="0" borderId="0" xfId="0" applyFont="1"/>
    <xf numFmtId="175" fontId="22" fillId="0" borderId="28" xfId="0" applyNumberFormat="1" applyFont="1" applyBorder="1"/>
    <xf numFmtId="0" fontId="22" fillId="29" borderId="28" xfId="0" applyFont="1" applyFill="1" applyBorder="1"/>
    <xf numFmtId="175" fontId="22" fillId="29" borderId="28" xfId="0" applyNumberFormat="1" applyFont="1" applyFill="1" applyBorder="1"/>
    <xf numFmtId="2" fontId="22" fillId="29" borderId="28" xfId="0" applyNumberFormat="1" applyFont="1" applyFill="1" applyBorder="1"/>
    <xf numFmtId="0" fontId="19" fillId="29" borderId="28" xfId="1" applyFont="1" applyFill="1" applyBorder="1" applyAlignment="1">
      <alignment horizontal="center" vertical="center"/>
    </xf>
    <xf numFmtId="0" fontId="10" fillId="29" borderId="63" xfId="0" applyFont="1" applyFill="1" applyBorder="1" applyAlignment="1">
      <alignment horizontal="center" vertical="center" wrapText="1"/>
    </xf>
    <xf numFmtId="0" fontId="10" fillId="29" borderId="27" xfId="0" applyFont="1" applyFill="1" applyBorder="1" applyAlignment="1">
      <alignment horizontal="center" vertical="center" wrapText="1"/>
    </xf>
    <xf numFmtId="0" fontId="90" fillId="0" borderId="0" xfId="340" applyFont="1"/>
    <xf numFmtId="0" fontId="22" fillId="0" borderId="0" xfId="2" applyFont="1" applyBorder="1" applyAlignment="1">
      <alignment horizontal="left"/>
    </xf>
    <xf numFmtId="0" fontId="22" fillId="0" borderId="0" xfId="2" applyFont="1"/>
    <xf numFmtId="0" fontId="64" fillId="0" borderId="0" xfId="2" applyFont="1" applyBorder="1"/>
    <xf numFmtId="0" fontId="3" fillId="0" borderId="0" xfId="2" applyFont="1"/>
    <xf numFmtId="0" fontId="68" fillId="0" borderId="28" xfId="2" applyFont="1" applyFill="1" applyBorder="1" applyAlignment="1">
      <alignment horizontal="center" vertical="center"/>
    </xf>
    <xf numFmtId="0" fontId="68" fillId="5" borderId="28" xfId="2" applyFont="1" applyFill="1" applyBorder="1" applyAlignment="1">
      <alignment horizontal="center" vertical="center"/>
    </xf>
    <xf numFmtId="0" fontId="68" fillId="5" borderId="28" xfId="2" applyFont="1" applyFill="1" applyBorder="1"/>
    <xf numFmtId="0" fontId="15" fillId="5" borderId="28" xfId="2" applyFont="1" applyFill="1" applyBorder="1"/>
    <xf numFmtId="0" fontId="15" fillId="0" borderId="28" xfId="2" applyFont="1" applyFill="1" applyBorder="1"/>
    <xf numFmtId="0" fontId="68" fillId="0" borderId="28" xfId="2" applyFont="1" applyFill="1" applyBorder="1"/>
    <xf numFmtId="1" fontId="68" fillId="0" borderId="28" xfId="3" applyNumberFormat="1" applyFont="1" applyFill="1" applyBorder="1" applyAlignment="1">
      <alignment vertical="center" wrapText="1"/>
    </xf>
    <xf numFmtId="0" fontId="3" fillId="0" borderId="0" xfId="2" applyFont="1" applyFill="1"/>
    <xf numFmtId="0" fontId="22" fillId="0" borderId="0" xfId="2" applyFont="1" applyFill="1"/>
    <xf numFmtId="0" fontId="15" fillId="0" borderId="28" xfId="2" applyFont="1" applyBorder="1"/>
    <xf numFmtId="0" fontId="22" fillId="5" borderId="28" xfId="2" applyFont="1" applyFill="1" applyBorder="1"/>
    <xf numFmtId="0" fontId="22" fillId="0" borderId="28" xfId="2" applyFont="1" applyBorder="1"/>
    <xf numFmtId="0" fontId="89" fillId="0" borderId="0" xfId="2" applyFont="1" applyBorder="1" applyAlignment="1">
      <alignment horizontal="left" vertical="center"/>
    </xf>
    <xf numFmtId="49" fontId="64" fillId="0" borderId="28" xfId="2" applyNumberFormat="1" applyFont="1" applyFill="1" applyBorder="1" applyAlignment="1">
      <alignment horizontal="center" vertical="center"/>
    </xf>
    <xf numFmtId="0" fontId="64" fillId="0" borderId="28" xfId="2" applyFont="1" applyFill="1" applyBorder="1" applyAlignment="1">
      <alignment horizontal="left" vertical="center"/>
    </xf>
    <xf numFmtId="1" fontId="64" fillId="0" borderId="28" xfId="2" applyNumberFormat="1" applyFont="1" applyFill="1" applyBorder="1" applyAlignment="1">
      <alignment horizontal="center" vertical="center"/>
    </xf>
    <xf numFmtId="2" fontId="64" fillId="0" borderId="28" xfId="2" applyNumberFormat="1" applyFont="1" applyFill="1" applyBorder="1" applyAlignment="1">
      <alignment horizontal="right" vertical="center"/>
    </xf>
    <xf numFmtId="1" fontId="64" fillId="0" borderId="28" xfId="2" quotePrefix="1" applyNumberFormat="1" applyFont="1" applyFill="1" applyBorder="1" applyAlignment="1">
      <alignment horizontal="center" vertical="center"/>
    </xf>
    <xf numFmtId="2" fontId="68" fillId="28" borderId="28" xfId="340" applyNumberFormat="1" applyFont="1" applyFill="1" applyBorder="1"/>
    <xf numFmtId="2" fontId="64" fillId="28" borderId="28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8" fillId="0" borderId="28" xfId="2" applyFont="1" applyBorder="1" applyAlignment="1">
      <alignment horizontal="center" vertical="center" textRotation="90"/>
    </xf>
    <xf numFmtId="0" fontId="64" fillId="0" borderId="28" xfId="2" applyFont="1" applyBorder="1" applyAlignment="1">
      <alignment horizontal="center" vertical="center" wrapText="1"/>
    </xf>
    <xf numFmtId="0" fontId="22" fillId="0" borderId="28" xfId="2" applyFont="1" applyBorder="1" applyAlignment="1">
      <alignment horizontal="center" vertical="center" wrapText="1"/>
    </xf>
    <xf numFmtId="0" fontId="64" fillId="0" borderId="28" xfId="2" quotePrefix="1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 indent="2"/>
    </xf>
    <xf numFmtId="0" fontId="13" fillId="0" borderId="9" xfId="0" applyFont="1" applyBorder="1" applyAlignment="1">
      <alignment horizontal="left" vertical="center" wrapText="1" indent="2"/>
    </xf>
    <xf numFmtId="0" fontId="13" fillId="0" borderId="31" xfId="0" applyFont="1" applyBorder="1" applyAlignment="1">
      <alignment horizontal="left" vertical="center" wrapText="1" indent="2"/>
    </xf>
    <xf numFmtId="0" fontId="13" fillId="0" borderId="37" xfId="0" applyFont="1" applyBorder="1" applyAlignment="1">
      <alignment horizontal="left" vertical="center" wrapText="1" indent="2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37" xfId="0" applyFont="1" applyFill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/>
    </xf>
    <xf numFmtId="0" fontId="19" fillId="29" borderId="29" xfId="1" applyFont="1" applyFill="1" applyBorder="1" applyAlignment="1">
      <alignment horizontal="center" vertical="center"/>
    </xf>
    <xf numFmtId="0" fontId="19" fillId="29" borderId="30" xfId="1" applyFont="1" applyFill="1" applyBorder="1" applyAlignment="1">
      <alignment horizontal="center" vertical="center"/>
    </xf>
    <xf numFmtId="0" fontId="19" fillId="29" borderId="31" xfId="1" applyFont="1" applyFill="1" applyBorder="1" applyAlignment="1">
      <alignment horizontal="center" vertical="center"/>
    </xf>
    <xf numFmtId="0" fontId="23" fillId="0" borderId="29" xfId="0" applyFont="1" applyBorder="1" applyAlignment="1">
      <alignment horizontal="right" vertical="center" wrapText="1"/>
    </xf>
    <xf numFmtId="0" fontId="23" fillId="0" borderId="30" xfId="0" applyFont="1" applyBorder="1" applyAlignment="1">
      <alignment horizontal="right" vertical="center" wrapText="1"/>
    </xf>
    <xf numFmtId="0" fontId="23" fillId="0" borderId="31" xfId="0" applyFont="1" applyBorder="1" applyAlignment="1">
      <alignment horizontal="right" vertical="center" wrapText="1"/>
    </xf>
    <xf numFmtId="0" fontId="10" fillId="29" borderId="28" xfId="0" applyFont="1" applyFill="1" applyBorder="1" applyAlignment="1">
      <alignment horizontal="center" vertical="center" wrapText="1"/>
    </xf>
    <xf numFmtId="0" fontId="16" fillId="29" borderId="28" xfId="0" applyFont="1" applyFill="1" applyBorder="1" applyAlignment="1">
      <alignment horizontal="center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28" fillId="29" borderId="63" xfId="0" applyFont="1" applyFill="1" applyBorder="1" applyAlignment="1">
      <alignment horizontal="center" vertical="center" wrapText="1"/>
    </xf>
    <xf numFmtId="0" fontId="28" fillId="29" borderId="27" xfId="0" applyFont="1" applyFill="1" applyBorder="1" applyAlignment="1">
      <alignment horizontal="center" vertical="center" wrapText="1"/>
    </xf>
    <xf numFmtId="0" fontId="24" fillId="29" borderId="2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1" fontId="10" fillId="0" borderId="64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28" fillId="0" borderId="63" xfId="0" applyFont="1" applyFill="1" applyBorder="1" applyAlignment="1">
      <alignment horizontal="center" vertical="center" wrapText="1"/>
    </xf>
    <xf numFmtId="0" fontId="28" fillId="0" borderId="66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9" fillId="0" borderId="28" xfId="1" applyFont="1" applyFill="1" applyBorder="1" applyAlignment="1">
      <alignment horizontal="center" vertical="center"/>
    </xf>
    <xf numFmtId="0" fontId="66" fillId="0" borderId="28" xfId="340" applyFont="1" applyBorder="1" applyAlignment="1">
      <alignment horizontal="center" vertical="center"/>
    </xf>
    <xf numFmtId="0" fontId="66" fillId="0" borderId="28" xfId="340" applyFont="1" applyFill="1" applyBorder="1" applyAlignment="1">
      <alignment horizontal="center" vertical="center"/>
    </xf>
    <xf numFmtId="0" fontId="82" fillId="0" borderId="29" xfId="340" applyFont="1" applyBorder="1" applyAlignment="1">
      <alignment horizontal="center" vertical="center"/>
    </xf>
    <xf numFmtId="0" fontId="82" fillId="0" borderId="30" xfId="340" applyFont="1" applyBorder="1" applyAlignment="1">
      <alignment horizontal="center" vertical="center"/>
    </xf>
    <xf numFmtId="0" fontId="82" fillId="0" borderId="31" xfId="340" applyFont="1" applyBorder="1" applyAlignment="1">
      <alignment horizontal="center" vertical="center"/>
    </xf>
    <xf numFmtId="0" fontId="66" fillId="0" borderId="29" xfId="340" applyFont="1" applyFill="1" applyBorder="1" applyAlignment="1">
      <alignment horizontal="center" vertical="center"/>
    </xf>
    <xf numFmtId="0" fontId="66" fillId="0" borderId="30" xfId="340" applyFont="1" applyFill="1" applyBorder="1" applyAlignment="1">
      <alignment horizontal="center" vertical="center"/>
    </xf>
    <xf numFmtId="0" fontId="66" fillId="0" borderId="31" xfId="340" applyFont="1" applyFill="1" applyBorder="1" applyAlignment="1">
      <alignment horizontal="center" vertical="center"/>
    </xf>
  </cellXfs>
  <cellStyles count="632">
    <cellStyle name="_Meteo toplam Yağış" xfId="4"/>
    <cellStyle name="_OrtalamaSıcaklıkTabloları" xfId="5"/>
    <cellStyle name="_OrtalamaSıcaklıkTabloları_1" xfId="6"/>
    <cellStyle name="_OrtalamaSıcaklıkTabloları_1 2" xfId="342"/>
    <cellStyle name="_Recovered xx1" xfId="7"/>
    <cellStyle name="_Recovered xx1 2" xfId="343"/>
    <cellStyle name="_ToplamYağış(Rum)Envanteri" xfId="8"/>
    <cellStyle name="_ToplamYağış(Rum)Envanteri_1" xfId="9"/>
    <cellStyle name="_ToplamYağış(Rum)Envanteri_1 2" xfId="344"/>
    <cellStyle name="_ToplamYağışEnvanteri" xfId="10"/>
    <cellStyle name="_ToplamYağışEnvanteri 2" xfId="345"/>
    <cellStyle name="_ToplamYağışEnvanteri_1" xfId="11"/>
    <cellStyle name="_ToplamYağışEnvanteri_1 2" xfId="346"/>
    <cellStyle name="_ToplamYağışEnvanteri_2" xfId="12"/>
    <cellStyle name="_Yağışlar" xfId="13"/>
    <cellStyle name="_Yağışlar 2" xfId="347"/>
    <cellStyle name="_Yağışlar_1" xfId="14"/>
    <cellStyle name="_Yağışlar_1 2" xfId="348"/>
    <cellStyle name="_Yağışlar2" xfId="15"/>
    <cellStyle name="_Yağışlar2 2" xfId="349"/>
    <cellStyle name="_Yağışlar2_1" xfId="16"/>
    <cellStyle name="_Yağışlar2_2" xfId="17"/>
    <cellStyle name="_Yağışlar2_2 2" xfId="350"/>
    <cellStyle name="_YağışTabloları" xfId="18"/>
    <cellStyle name="_YağışTabloları 2" xfId="351"/>
    <cellStyle name="_YağışTabloları(12-12)" xfId="19"/>
    <cellStyle name="_YağışTabloları(12-12) 2" xfId="352"/>
    <cellStyle name="_YağışTabloları(12-12)_1" xfId="20"/>
    <cellStyle name="_YağışTabloları(12-12)_2" xfId="21"/>
    <cellStyle name="_YağışTabloları(12-12)_2 2" xfId="353"/>
    <cellStyle name="_YağışTabloları(12-12-Yeni)" xfId="22"/>
    <cellStyle name="_YağışTabloları(12-12-Yeni)_1" xfId="23"/>
    <cellStyle name="_YağışTabloları(12-12-Yeni)_1 2" xfId="354"/>
    <cellStyle name="_YağışTabloları(12-12-Yeni)_2" xfId="24"/>
    <cellStyle name="_YağışTabloları(12-12-Yeni)_2 2" xfId="355"/>
    <cellStyle name="_YağışTabloları_1" xfId="25"/>
    <cellStyle name="_YağışTabloları_2" xfId="26"/>
    <cellStyle name="_YağışTabloları_2 2" xfId="356"/>
    <cellStyle name="20% - Accent1" xfId="27"/>
    <cellStyle name="20% - Accent1 2" xfId="357"/>
    <cellStyle name="20% - Accent2" xfId="28"/>
    <cellStyle name="20% - Accent2 2" xfId="358"/>
    <cellStyle name="20% - Accent3" xfId="29"/>
    <cellStyle name="20% - Accent3 2" xfId="359"/>
    <cellStyle name="20% - Accent4" xfId="30"/>
    <cellStyle name="20% - Accent4 2" xfId="360"/>
    <cellStyle name="20% - Accent5" xfId="31"/>
    <cellStyle name="20% - Accent5 2" xfId="361"/>
    <cellStyle name="20% - Accent6" xfId="32"/>
    <cellStyle name="20% - Accent6 2" xfId="362"/>
    <cellStyle name="40% - Accent1" xfId="33"/>
    <cellStyle name="40% - Accent1 2" xfId="363"/>
    <cellStyle name="40% - Accent2" xfId="34"/>
    <cellStyle name="40% - Accent2 2" xfId="364"/>
    <cellStyle name="40% - Accent3" xfId="35"/>
    <cellStyle name="40% - Accent3 2" xfId="365"/>
    <cellStyle name="40% - Accent4" xfId="36"/>
    <cellStyle name="40% - Accent4 2" xfId="366"/>
    <cellStyle name="40% - Accent5" xfId="37"/>
    <cellStyle name="40% - Accent5 2" xfId="367"/>
    <cellStyle name="40% - Accent6" xfId="38"/>
    <cellStyle name="40% - Accent6 2" xfId="368"/>
    <cellStyle name="60% - Accent1" xfId="39"/>
    <cellStyle name="60% - Accent1 2" xfId="369"/>
    <cellStyle name="60% - Accent2" xfId="40"/>
    <cellStyle name="60% - Accent2 2" xfId="370"/>
    <cellStyle name="60% - Accent3" xfId="41"/>
    <cellStyle name="60% - Accent3 2" xfId="371"/>
    <cellStyle name="60% - Accent4" xfId="42"/>
    <cellStyle name="60% - Accent4 2" xfId="372"/>
    <cellStyle name="60% - Accent5" xfId="43"/>
    <cellStyle name="60% - Accent5 2" xfId="373"/>
    <cellStyle name="60% - Accent6" xfId="44"/>
    <cellStyle name="60% - Accent6 2" xfId="374"/>
    <cellStyle name="Accent1" xfId="45"/>
    <cellStyle name="Accent1 2" xfId="375"/>
    <cellStyle name="Accent2" xfId="46"/>
    <cellStyle name="Accent2 2" xfId="376"/>
    <cellStyle name="Accent3" xfId="47"/>
    <cellStyle name="Accent3 2" xfId="377"/>
    <cellStyle name="Accent4" xfId="48"/>
    <cellStyle name="Accent4 2" xfId="378"/>
    <cellStyle name="Accent5" xfId="49"/>
    <cellStyle name="Accent5 2" xfId="379"/>
    <cellStyle name="Accent6" xfId="50"/>
    <cellStyle name="Accent6 2" xfId="380"/>
    <cellStyle name="Bad" xfId="51"/>
    <cellStyle name="Bad 2" xfId="381"/>
    <cellStyle name="Bağlı Hücre 2" xfId="382"/>
    <cellStyle name="Calculation" xfId="52"/>
    <cellStyle name="Calculation 2" xfId="383"/>
    <cellStyle name="Calculation 2 2" xfId="384"/>
    <cellStyle name="Check Cell" xfId="53"/>
    <cellStyle name="Check Cell 2" xfId="54"/>
    <cellStyle name="Check Cell 2 2" xfId="385"/>
    <cellStyle name="Comma" xfId="55"/>
    <cellStyle name="Comma [0]" xfId="56"/>
    <cellStyle name="Comma [0] 2" xfId="386"/>
    <cellStyle name="Comma 2" xfId="387"/>
    <cellStyle name="Comma_1-RASYONEL Dadak-1 -Max Yağ." xfId="57"/>
    <cellStyle name="Currency" xfId="58"/>
    <cellStyle name="Currency [0]" xfId="59"/>
    <cellStyle name="Currency [0] 2" xfId="388"/>
    <cellStyle name="Currency_1-RASYONEL Dadak-1 -Max Yağ." xfId="60"/>
    <cellStyle name="Çıkış 2" xfId="389"/>
    <cellStyle name="Date" xfId="61"/>
    <cellStyle name="Euro" xfId="62"/>
    <cellStyle name="Euro 2" xfId="390"/>
    <cellStyle name="Euro_KAVAKTEPE SU TEMINI" xfId="391"/>
    <cellStyle name="Explanatory Text" xfId="63"/>
    <cellStyle name="Explanatory Text 2" xfId="392"/>
    <cellStyle name="Fıxed" xfId="64"/>
    <cellStyle name="Giriş 2" xfId="393"/>
    <cellStyle name="Good" xfId="65"/>
    <cellStyle name="Good 2" xfId="394"/>
    <cellStyle name="Headıng1" xfId="66"/>
    <cellStyle name="Headıng2" xfId="67"/>
    <cellStyle name="Heading 1" xfId="68"/>
    <cellStyle name="Heading 1 2" xfId="395"/>
    <cellStyle name="Heading 2" xfId="69"/>
    <cellStyle name="Heading 2 2" xfId="396"/>
    <cellStyle name="Heading 3" xfId="70"/>
    <cellStyle name="Heading 3 2" xfId="71"/>
    <cellStyle name="Heading 4" xfId="72"/>
    <cellStyle name="Heading 4 2" xfId="397"/>
    <cellStyle name="Hesaplama 2" xfId="398"/>
    <cellStyle name="Input" xfId="73"/>
    <cellStyle name="Input 2" xfId="399"/>
    <cellStyle name="Input 2 2" xfId="400"/>
    <cellStyle name="İşaretli Hücre 2" xfId="401"/>
    <cellStyle name="İzlenen Köprü_Erexsim1" xfId="402"/>
    <cellStyle name="Köprü_Erexsim1" xfId="403"/>
    <cellStyle name="Linked Cell" xfId="74"/>
    <cellStyle name="Linked Cell 2" xfId="404"/>
    <cellStyle name="Linked Cell 2 2" xfId="405"/>
    <cellStyle name="Neutral" xfId="75"/>
    <cellStyle name="Neutral 2" xfId="406"/>
    <cellStyle name="Normal" xfId="0" builtinId="0"/>
    <cellStyle name="Normal 10" xfId="76"/>
    <cellStyle name="Normal 10 2" xfId="3"/>
    <cellStyle name="Normal 10 3" xfId="77"/>
    <cellStyle name="Normal 11" xfId="78"/>
    <cellStyle name="Normal 12" xfId="79"/>
    <cellStyle name="Normal 12 2" xfId="407"/>
    <cellStyle name="Normal 128" xfId="408"/>
    <cellStyle name="Normal 13" xfId="80"/>
    <cellStyle name="Normal 14" xfId="81"/>
    <cellStyle name="Normal 14 2" xfId="409"/>
    <cellStyle name="Normal 15" xfId="82"/>
    <cellStyle name="Normal 159" xfId="83"/>
    <cellStyle name="Normal 16" xfId="84"/>
    <cellStyle name="Normal 16 2" xfId="85"/>
    <cellStyle name="Normal 160" xfId="86"/>
    <cellStyle name="Normal 161" xfId="87"/>
    <cellStyle name="Normal 162" xfId="88"/>
    <cellStyle name="Normal 163" xfId="89"/>
    <cellStyle name="Normal 164" xfId="90"/>
    <cellStyle name="Normal 164 2" xfId="410"/>
    <cellStyle name="Normal 165" xfId="91"/>
    <cellStyle name="Normal 165 2" xfId="411"/>
    <cellStyle name="Normal 166" xfId="92"/>
    <cellStyle name="Normal 166 2" xfId="412"/>
    <cellStyle name="Normal 167" xfId="93"/>
    <cellStyle name="Normal 167 2" xfId="413"/>
    <cellStyle name="Normal 168" xfId="94"/>
    <cellStyle name="Normal 168 2" xfId="414"/>
    <cellStyle name="Normal 169" xfId="95"/>
    <cellStyle name="Normal 169 2" xfId="415"/>
    <cellStyle name="Normal 17" xfId="96"/>
    <cellStyle name="Normal 171" xfId="97"/>
    <cellStyle name="Normal 171 2" xfId="416"/>
    <cellStyle name="Normal 172" xfId="98"/>
    <cellStyle name="Normal 172 2" xfId="417"/>
    <cellStyle name="Normal 173" xfId="99"/>
    <cellStyle name="Normal 173 2" xfId="418"/>
    <cellStyle name="Normal 174" xfId="100"/>
    <cellStyle name="Normal 174 2" xfId="419"/>
    <cellStyle name="Normal 175" xfId="101"/>
    <cellStyle name="Normal 175 2" xfId="420"/>
    <cellStyle name="Normal 176" xfId="102"/>
    <cellStyle name="Normal 176 2" xfId="421"/>
    <cellStyle name="Normal 177" xfId="103"/>
    <cellStyle name="Normal 177 2" xfId="422"/>
    <cellStyle name="Normal 178" xfId="104"/>
    <cellStyle name="Normal 178 2" xfId="423"/>
    <cellStyle name="Normal 179" xfId="105"/>
    <cellStyle name="Normal 179 2" xfId="424"/>
    <cellStyle name="Normal 18" xfId="106"/>
    <cellStyle name="Normal 180" xfId="107"/>
    <cellStyle name="Normal 180 2" xfId="425"/>
    <cellStyle name="Normal 181" xfId="108"/>
    <cellStyle name="Normal 181 2" xfId="426"/>
    <cellStyle name="Normal 182" xfId="109"/>
    <cellStyle name="Normal 182 2" xfId="427"/>
    <cellStyle name="Normal 184" xfId="110"/>
    <cellStyle name="Normal 184 2" xfId="428"/>
    <cellStyle name="Normal 185" xfId="111"/>
    <cellStyle name="Normal 185 2" xfId="429"/>
    <cellStyle name="Normal 186" xfId="112"/>
    <cellStyle name="Normal 186 2" xfId="430"/>
    <cellStyle name="Normal 187" xfId="113"/>
    <cellStyle name="Normal 187 2" xfId="431"/>
    <cellStyle name="Normal 188" xfId="114"/>
    <cellStyle name="Normal 188 2" xfId="432"/>
    <cellStyle name="Normal 189" xfId="115"/>
    <cellStyle name="Normal 189 2" xfId="433"/>
    <cellStyle name="Normal 19" xfId="434"/>
    <cellStyle name="Normal 19 2" xfId="435"/>
    <cellStyle name="Normal 2" xfId="2"/>
    <cellStyle name="Normal 2 10" xfId="436"/>
    <cellStyle name="Normal 2 2" xfId="116"/>
    <cellStyle name="Normal 2 2 2" xfId="117"/>
    <cellStyle name="Normal 2 3" xfId="118"/>
    <cellStyle name="Normal 2 4" xfId="119"/>
    <cellStyle name="Normal 2 5" xfId="437"/>
    <cellStyle name="Normal 2 6" xfId="438"/>
    <cellStyle name="Normal 2_Kopyası AkçakocaTabloveGrafikler" xfId="120"/>
    <cellStyle name="Normal 20" xfId="439"/>
    <cellStyle name="Normal 21" xfId="121"/>
    <cellStyle name="Normal 22" xfId="440"/>
    <cellStyle name="Normal 23" xfId="441"/>
    <cellStyle name="Normal 24" xfId="442"/>
    <cellStyle name="Normal 24 2" xfId="443"/>
    <cellStyle name="Normal 25" xfId="444"/>
    <cellStyle name="Normal 25 2" xfId="445"/>
    <cellStyle name="Normal 26" xfId="446"/>
    <cellStyle name="Normal 26 2" xfId="447"/>
    <cellStyle name="Normal 27" xfId="448"/>
    <cellStyle name="Normal 28" xfId="449"/>
    <cellStyle name="Normal 29" xfId="450"/>
    <cellStyle name="Normal 3" xfId="122"/>
    <cellStyle name="Normal 3 2" xfId="123"/>
    <cellStyle name="Normal 3 3" xfId="124"/>
    <cellStyle name="Normal 3 4" xfId="125"/>
    <cellStyle name="Normal 3_Kopyası AkçakocaTabloveGrafikler" xfId="126"/>
    <cellStyle name="Normal 30" xfId="451"/>
    <cellStyle name="Normal 31" xfId="127"/>
    <cellStyle name="Normal 32" xfId="452"/>
    <cellStyle name="Normal 33" xfId="453"/>
    <cellStyle name="Normal 34" xfId="454"/>
    <cellStyle name="Normal 35" xfId="455"/>
    <cellStyle name="Normal 4" xfId="128"/>
    <cellStyle name="Normal 4 2" xfId="129"/>
    <cellStyle name="Normal 4 3" xfId="130"/>
    <cellStyle name="Normal 4 3 2" xfId="456"/>
    <cellStyle name="Normal 4_KAVAKTEPE HACIM SATIH" xfId="131"/>
    <cellStyle name="Normal 5" xfId="132"/>
    <cellStyle name="Normal 5 2" xfId="133"/>
    <cellStyle name="Normal 5_KAVAKTEPE HACIM SATIH" xfId="134"/>
    <cellStyle name="Normal 51" xfId="135"/>
    <cellStyle name="Normal 51 2" xfId="136"/>
    <cellStyle name="Normal 52" xfId="137"/>
    <cellStyle name="Normal 53" xfId="138"/>
    <cellStyle name="Normal 54" xfId="139"/>
    <cellStyle name="Normal 56" xfId="140"/>
    <cellStyle name="Normal 57" xfId="141"/>
    <cellStyle name="Normal 58" xfId="142"/>
    <cellStyle name="Normal 59" xfId="143"/>
    <cellStyle name="Normal 6" xfId="144"/>
    <cellStyle name="Normal 6 2" xfId="145"/>
    <cellStyle name="Normal 6 2 2" xfId="146"/>
    <cellStyle name="Normal 6 3" xfId="147"/>
    <cellStyle name="Normal 6 4" xfId="457"/>
    <cellStyle name="Normal 6_KAVAKTEPE HACIM SATIH" xfId="148"/>
    <cellStyle name="Normal 60" xfId="149"/>
    <cellStyle name="Normal 61" xfId="150"/>
    <cellStyle name="Normal 62" xfId="151"/>
    <cellStyle name="Normal 63" xfId="152"/>
    <cellStyle name="Normal 64" xfId="153"/>
    <cellStyle name="Normal 65" xfId="154"/>
    <cellStyle name="Normal 66" xfId="155"/>
    <cellStyle name="Normal 67" xfId="156"/>
    <cellStyle name="Normal 68" xfId="157"/>
    <cellStyle name="Normal 69" xfId="158"/>
    <cellStyle name="Normal 7" xfId="159"/>
    <cellStyle name="Normal 7 2" xfId="160"/>
    <cellStyle name="Normal 7_4. BOLUM TABLOLAR SEKILLER(geldıbuldu)" xfId="458"/>
    <cellStyle name="Normal 70" xfId="161"/>
    <cellStyle name="Normal 71" xfId="162"/>
    <cellStyle name="Normal 8" xfId="163"/>
    <cellStyle name="Normal 8 2" xfId="459"/>
    <cellStyle name="Normal 9" xfId="164"/>
    <cellStyle name="Normal_bolgesel" xfId="1"/>
    <cellStyle name="Normal_CANAKCI" xfId="341"/>
    <cellStyle name="Normal_pınar HES" xfId="340"/>
    <cellStyle name="Not 10" xfId="165"/>
    <cellStyle name="Not 10 2" xfId="460"/>
    <cellStyle name="Not 100" xfId="166"/>
    <cellStyle name="Not 100 2" xfId="461"/>
    <cellStyle name="Not 101" xfId="167"/>
    <cellStyle name="Not 101 2" xfId="462"/>
    <cellStyle name="Not 102" xfId="168"/>
    <cellStyle name="Not 102 2" xfId="463"/>
    <cellStyle name="Not 103" xfId="169"/>
    <cellStyle name="Not 103 2" xfId="464"/>
    <cellStyle name="Not 104" xfId="170"/>
    <cellStyle name="Not 104 2" xfId="465"/>
    <cellStyle name="Not 105" xfId="171"/>
    <cellStyle name="Not 105 2" xfId="466"/>
    <cellStyle name="Not 106" xfId="172"/>
    <cellStyle name="Not 106 2" xfId="467"/>
    <cellStyle name="Not 107" xfId="173"/>
    <cellStyle name="Not 107 2" xfId="468"/>
    <cellStyle name="Not 108" xfId="174"/>
    <cellStyle name="Not 108 2" xfId="469"/>
    <cellStyle name="Not 109" xfId="175"/>
    <cellStyle name="Not 109 2" xfId="470"/>
    <cellStyle name="Not 11" xfId="176"/>
    <cellStyle name="Not 11 2" xfId="471"/>
    <cellStyle name="Not 110" xfId="177"/>
    <cellStyle name="Not 110 2" xfId="472"/>
    <cellStyle name="Not 111" xfId="178"/>
    <cellStyle name="Not 111 2" xfId="473"/>
    <cellStyle name="Not 112" xfId="179"/>
    <cellStyle name="Not 112 2" xfId="474"/>
    <cellStyle name="Not 113" xfId="180"/>
    <cellStyle name="Not 113 2" xfId="475"/>
    <cellStyle name="Not 114" xfId="181"/>
    <cellStyle name="Not 114 2" xfId="476"/>
    <cellStyle name="Not 115" xfId="182"/>
    <cellStyle name="Not 115 2" xfId="477"/>
    <cellStyle name="Not 116" xfId="183"/>
    <cellStyle name="Not 116 2" xfId="478"/>
    <cellStyle name="Not 117" xfId="184"/>
    <cellStyle name="Not 117 2" xfId="479"/>
    <cellStyle name="Not 118" xfId="185"/>
    <cellStyle name="Not 118 2" xfId="480"/>
    <cellStyle name="Not 119" xfId="186"/>
    <cellStyle name="Not 119 2" xfId="481"/>
    <cellStyle name="Not 12" xfId="187"/>
    <cellStyle name="Not 12 2" xfId="482"/>
    <cellStyle name="Not 120" xfId="188"/>
    <cellStyle name="Not 120 2" xfId="483"/>
    <cellStyle name="Not 121" xfId="189"/>
    <cellStyle name="Not 121 2" xfId="484"/>
    <cellStyle name="Not 122" xfId="190"/>
    <cellStyle name="Not 122 2" xfId="485"/>
    <cellStyle name="Not 123" xfId="191"/>
    <cellStyle name="Not 123 2" xfId="486"/>
    <cellStyle name="Not 124" xfId="192"/>
    <cellStyle name="Not 124 2" xfId="487"/>
    <cellStyle name="Not 125" xfId="193"/>
    <cellStyle name="Not 125 2" xfId="488"/>
    <cellStyle name="Not 126" xfId="194"/>
    <cellStyle name="Not 126 2" xfId="489"/>
    <cellStyle name="Not 127" xfId="195"/>
    <cellStyle name="Not 127 2" xfId="490"/>
    <cellStyle name="Not 128" xfId="196"/>
    <cellStyle name="Not 128 2" xfId="491"/>
    <cellStyle name="Not 129" xfId="197"/>
    <cellStyle name="Not 129 2" xfId="492"/>
    <cellStyle name="Not 13" xfId="198"/>
    <cellStyle name="Not 13 2" xfId="493"/>
    <cellStyle name="Not 130" xfId="199"/>
    <cellStyle name="Not 130 2" xfId="494"/>
    <cellStyle name="Not 131" xfId="200"/>
    <cellStyle name="Not 131 2" xfId="495"/>
    <cellStyle name="Not 132" xfId="201"/>
    <cellStyle name="Not 132 2" xfId="496"/>
    <cellStyle name="Not 133" xfId="202"/>
    <cellStyle name="Not 133 2" xfId="497"/>
    <cellStyle name="Not 134" xfId="203"/>
    <cellStyle name="Not 134 2" xfId="498"/>
    <cellStyle name="Not 135" xfId="204"/>
    <cellStyle name="Not 135 2" xfId="499"/>
    <cellStyle name="Not 136" xfId="205"/>
    <cellStyle name="Not 136 2" xfId="500"/>
    <cellStyle name="Not 137" xfId="206"/>
    <cellStyle name="Not 137 2" xfId="501"/>
    <cellStyle name="Not 138" xfId="207"/>
    <cellStyle name="Not 138 2" xfId="502"/>
    <cellStyle name="Not 139" xfId="208"/>
    <cellStyle name="Not 139 2" xfId="503"/>
    <cellStyle name="Not 14" xfId="209"/>
    <cellStyle name="Not 14 2" xfId="504"/>
    <cellStyle name="Not 140" xfId="210"/>
    <cellStyle name="Not 140 2" xfId="505"/>
    <cellStyle name="Not 141" xfId="211"/>
    <cellStyle name="Not 141 2" xfId="506"/>
    <cellStyle name="Not 142" xfId="212"/>
    <cellStyle name="Not 142 2" xfId="507"/>
    <cellStyle name="Not 143" xfId="213"/>
    <cellStyle name="Not 143 2" xfId="508"/>
    <cellStyle name="Not 144" xfId="214"/>
    <cellStyle name="Not 144 2" xfId="509"/>
    <cellStyle name="Not 145" xfId="215"/>
    <cellStyle name="Not 145 2" xfId="510"/>
    <cellStyle name="Not 146" xfId="216"/>
    <cellStyle name="Not 146 2" xfId="511"/>
    <cellStyle name="Not 147" xfId="217"/>
    <cellStyle name="Not 147 2" xfId="512"/>
    <cellStyle name="Not 148" xfId="218"/>
    <cellStyle name="Not 148 2" xfId="513"/>
    <cellStyle name="Not 149" xfId="219"/>
    <cellStyle name="Not 149 2" xfId="514"/>
    <cellStyle name="Not 15" xfId="220"/>
    <cellStyle name="Not 15 2" xfId="515"/>
    <cellStyle name="Not 150" xfId="221"/>
    <cellStyle name="Not 150 2" xfId="516"/>
    <cellStyle name="Not 151" xfId="222"/>
    <cellStyle name="Not 151 2" xfId="517"/>
    <cellStyle name="Not 152" xfId="223"/>
    <cellStyle name="Not 152 2" xfId="518"/>
    <cellStyle name="Not 153" xfId="224"/>
    <cellStyle name="Not 153 2" xfId="519"/>
    <cellStyle name="Not 154" xfId="225"/>
    <cellStyle name="Not 154 2" xfId="520"/>
    <cellStyle name="Not 155" xfId="226"/>
    <cellStyle name="Not 155 2" xfId="521"/>
    <cellStyle name="Not 156" xfId="227"/>
    <cellStyle name="Not 156 2" xfId="522"/>
    <cellStyle name="Not 157" xfId="228"/>
    <cellStyle name="Not 157 2" xfId="523"/>
    <cellStyle name="Not 158" xfId="229"/>
    <cellStyle name="Not 158 2" xfId="524"/>
    <cellStyle name="Not 159" xfId="230"/>
    <cellStyle name="Not 159 2" xfId="525"/>
    <cellStyle name="Not 16" xfId="231"/>
    <cellStyle name="Not 16 2" xfId="526"/>
    <cellStyle name="Not 160" xfId="232"/>
    <cellStyle name="Not 160 2" xfId="527"/>
    <cellStyle name="Not 161" xfId="528"/>
    <cellStyle name="Not 17" xfId="233"/>
    <cellStyle name="Not 17 2" xfId="529"/>
    <cellStyle name="Not 18" xfId="234"/>
    <cellStyle name="Not 18 2" xfId="530"/>
    <cellStyle name="Not 19" xfId="235"/>
    <cellStyle name="Not 19 2" xfId="531"/>
    <cellStyle name="Not 2" xfId="236"/>
    <cellStyle name="Not 2 2" xfId="532"/>
    <cellStyle name="Not 20" xfId="237"/>
    <cellStyle name="Not 20 2" xfId="533"/>
    <cellStyle name="Not 21" xfId="238"/>
    <cellStyle name="Not 21 2" xfId="534"/>
    <cellStyle name="Not 22" xfId="239"/>
    <cellStyle name="Not 22 2" xfId="535"/>
    <cellStyle name="Not 23" xfId="240"/>
    <cellStyle name="Not 23 2" xfId="536"/>
    <cellStyle name="Not 24" xfId="241"/>
    <cellStyle name="Not 24 2" xfId="537"/>
    <cellStyle name="Not 25" xfId="242"/>
    <cellStyle name="Not 25 2" xfId="538"/>
    <cellStyle name="Not 26" xfId="243"/>
    <cellStyle name="Not 26 2" xfId="539"/>
    <cellStyle name="Not 27" xfId="244"/>
    <cellStyle name="Not 27 2" xfId="540"/>
    <cellStyle name="Not 28" xfId="245"/>
    <cellStyle name="Not 28 2" xfId="541"/>
    <cellStyle name="Not 29" xfId="246"/>
    <cellStyle name="Not 29 2" xfId="542"/>
    <cellStyle name="Not 3" xfId="247"/>
    <cellStyle name="Not 3 2" xfId="543"/>
    <cellStyle name="Not 30" xfId="248"/>
    <cellStyle name="Not 30 2" xfId="544"/>
    <cellStyle name="Not 31" xfId="249"/>
    <cellStyle name="Not 31 2" xfId="545"/>
    <cellStyle name="Not 32" xfId="250"/>
    <cellStyle name="Not 32 2" xfId="546"/>
    <cellStyle name="Not 33" xfId="251"/>
    <cellStyle name="Not 33 2" xfId="547"/>
    <cellStyle name="Not 34" xfId="252"/>
    <cellStyle name="Not 34 2" xfId="548"/>
    <cellStyle name="Not 35" xfId="253"/>
    <cellStyle name="Not 35 2" xfId="549"/>
    <cellStyle name="Not 36" xfId="254"/>
    <cellStyle name="Not 36 2" xfId="550"/>
    <cellStyle name="Not 37" xfId="255"/>
    <cellStyle name="Not 37 2" xfId="551"/>
    <cellStyle name="Not 38" xfId="256"/>
    <cellStyle name="Not 38 2" xfId="552"/>
    <cellStyle name="Not 39" xfId="257"/>
    <cellStyle name="Not 39 2" xfId="553"/>
    <cellStyle name="Not 4" xfId="258"/>
    <cellStyle name="Not 4 2" xfId="554"/>
    <cellStyle name="Not 40" xfId="259"/>
    <cellStyle name="Not 40 2" xfId="555"/>
    <cellStyle name="Not 41" xfId="260"/>
    <cellStyle name="Not 41 2" xfId="556"/>
    <cellStyle name="Not 42" xfId="261"/>
    <cellStyle name="Not 42 2" xfId="557"/>
    <cellStyle name="Not 43" xfId="262"/>
    <cellStyle name="Not 43 2" xfId="558"/>
    <cellStyle name="Not 44" xfId="263"/>
    <cellStyle name="Not 44 2" xfId="559"/>
    <cellStyle name="Not 45" xfId="264"/>
    <cellStyle name="Not 45 2" xfId="560"/>
    <cellStyle name="Not 46" xfId="265"/>
    <cellStyle name="Not 46 2" xfId="561"/>
    <cellStyle name="Not 47" xfId="266"/>
    <cellStyle name="Not 47 2" xfId="562"/>
    <cellStyle name="Not 48" xfId="267"/>
    <cellStyle name="Not 48 2" xfId="563"/>
    <cellStyle name="Not 49" xfId="268"/>
    <cellStyle name="Not 49 2" xfId="564"/>
    <cellStyle name="Not 5" xfId="269"/>
    <cellStyle name="Not 5 2" xfId="565"/>
    <cellStyle name="Not 50" xfId="270"/>
    <cellStyle name="Not 50 2" xfId="566"/>
    <cellStyle name="Not 51" xfId="271"/>
    <cellStyle name="Not 51 2" xfId="567"/>
    <cellStyle name="Not 52" xfId="272"/>
    <cellStyle name="Not 52 2" xfId="568"/>
    <cellStyle name="Not 53" xfId="273"/>
    <cellStyle name="Not 53 2" xfId="569"/>
    <cellStyle name="Not 54" xfId="274"/>
    <cellStyle name="Not 54 2" xfId="570"/>
    <cellStyle name="Not 55" xfId="275"/>
    <cellStyle name="Not 55 2" xfId="571"/>
    <cellStyle name="Not 56" xfId="276"/>
    <cellStyle name="Not 56 2" xfId="572"/>
    <cellStyle name="Not 57" xfId="277"/>
    <cellStyle name="Not 57 2" xfId="573"/>
    <cellStyle name="Not 58" xfId="278"/>
    <cellStyle name="Not 58 2" xfId="574"/>
    <cellStyle name="Not 59" xfId="279"/>
    <cellStyle name="Not 59 2" xfId="575"/>
    <cellStyle name="Not 6" xfId="280"/>
    <cellStyle name="Not 6 2" xfId="576"/>
    <cellStyle name="Not 60" xfId="281"/>
    <cellStyle name="Not 60 2" xfId="577"/>
    <cellStyle name="Not 61" xfId="282"/>
    <cellStyle name="Not 61 2" xfId="578"/>
    <cellStyle name="Not 62" xfId="283"/>
    <cellStyle name="Not 62 2" xfId="579"/>
    <cellStyle name="Not 63" xfId="284"/>
    <cellStyle name="Not 63 2" xfId="580"/>
    <cellStyle name="Not 64" xfId="285"/>
    <cellStyle name="Not 64 2" xfId="581"/>
    <cellStyle name="Not 65" xfId="286"/>
    <cellStyle name="Not 65 2" xfId="582"/>
    <cellStyle name="Not 66" xfId="287"/>
    <cellStyle name="Not 66 2" xfId="583"/>
    <cellStyle name="Not 67" xfId="288"/>
    <cellStyle name="Not 67 2" xfId="584"/>
    <cellStyle name="Not 68" xfId="289"/>
    <cellStyle name="Not 68 2" xfId="585"/>
    <cellStyle name="Not 69" xfId="290"/>
    <cellStyle name="Not 69 2" xfId="586"/>
    <cellStyle name="Not 7" xfId="291"/>
    <cellStyle name="Not 7 2" xfId="587"/>
    <cellStyle name="Not 70" xfId="292"/>
    <cellStyle name="Not 70 2" xfId="588"/>
    <cellStyle name="Not 71" xfId="293"/>
    <cellStyle name="Not 71 2" xfId="589"/>
    <cellStyle name="Not 72" xfId="294"/>
    <cellStyle name="Not 72 2" xfId="590"/>
    <cellStyle name="Not 73" xfId="295"/>
    <cellStyle name="Not 73 2" xfId="591"/>
    <cellStyle name="Not 74" xfId="296"/>
    <cellStyle name="Not 74 2" xfId="592"/>
    <cellStyle name="Not 75" xfId="297"/>
    <cellStyle name="Not 75 2" xfId="593"/>
    <cellStyle name="Not 76" xfId="298"/>
    <cellStyle name="Not 76 2" xfId="594"/>
    <cellStyle name="Not 77" xfId="299"/>
    <cellStyle name="Not 77 2" xfId="595"/>
    <cellStyle name="Not 78" xfId="300"/>
    <cellStyle name="Not 78 2" xfId="596"/>
    <cellStyle name="Not 79" xfId="301"/>
    <cellStyle name="Not 79 2" xfId="597"/>
    <cellStyle name="Not 8" xfId="302"/>
    <cellStyle name="Not 8 2" xfId="598"/>
    <cellStyle name="Not 80" xfId="303"/>
    <cellStyle name="Not 80 2" xfId="599"/>
    <cellStyle name="Not 81" xfId="304"/>
    <cellStyle name="Not 81 2" xfId="600"/>
    <cellStyle name="Not 82" xfId="305"/>
    <cellStyle name="Not 82 2" xfId="601"/>
    <cellStyle name="Not 83" xfId="306"/>
    <cellStyle name="Not 83 2" xfId="602"/>
    <cellStyle name="Not 84" xfId="307"/>
    <cellStyle name="Not 84 2" xfId="603"/>
    <cellStyle name="Not 85" xfId="308"/>
    <cellStyle name="Not 85 2" xfId="604"/>
    <cellStyle name="Not 86" xfId="309"/>
    <cellStyle name="Not 86 2" xfId="605"/>
    <cellStyle name="Not 87" xfId="310"/>
    <cellStyle name="Not 87 2" xfId="606"/>
    <cellStyle name="Not 88" xfId="311"/>
    <cellStyle name="Not 88 2" xfId="607"/>
    <cellStyle name="Not 89" xfId="312"/>
    <cellStyle name="Not 89 2" xfId="608"/>
    <cellStyle name="Not 9" xfId="313"/>
    <cellStyle name="Not 9 2" xfId="609"/>
    <cellStyle name="Not 90" xfId="314"/>
    <cellStyle name="Not 90 2" xfId="610"/>
    <cellStyle name="Not 91" xfId="315"/>
    <cellStyle name="Not 91 2" xfId="611"/>
    <cellStyle name="Not 92" xfId="316"/>
    <cellStyle name="Not 92 2" xfId="612"/>
    <cellStyle name="Not 93" xfId="317"/>
    <cellStyle name="Not 93 2" xfId="613"/>
    <cellStyle name="Not 94" xfId="318"/>
    <cellStyle name="Not 94 2" xfId="614"/>
    <cellStyle name="Not 95" xfId="319"/>
    <cellStyle name="Not 95 2" xfId="615"/>
    <cellStyle name="Not 96" xfId="320"/>
    <cellStyle name="Not 96 2" xfId="616"/>
    <cellStyle name="Not 97" xfId="321"/>
    <cellStyle name="Not 97 2" xfId="617"/>
    <cellStyle name="Not 98" xfId="322"/>
    <cellStyle name="Not 98 2" xfId="618"/>
    <cellStyle name="Not 99" xfId="323"/>
    <cellStyle name="Not 99 2" xfId="619"/>
    <cellStyle name="Note" xfId="324"/>
    <cellStyle name="Note 2" xfId="325"/>
    <cellStyle name="Note 2 2" xfId="620"/>
    <cellStyle name="Output" xfId="326"/>
    <cellStyle name="Output 2" xfId="621"/>
    <cellStyle name="Output 2 2" xfId="622"/>
    <cellStyle name="ParaBirimi 2" xfId="327"/>
    <cellStyle name="ParaBirimi 3" xfId="328"/>
    <cellStyle name="Percent" xfId="329"/>
    <cellStyle name="Percent 2" xfId="330"/>
    <cellStyle name="Percent 2 2" xfId="331"/>
    <cellStyle name="Percent 3" xfId="332"/>
    <cellStyle name="Percent 4" xfId="333"/>
    <cellStyle name="Percent 5" xfId="334"/>
    <cellStyle name="Stil 1" xfId="623"/>
    <cellStyle name="Style 1" xfId="335"/>
    <cellStyle name="Style 1 2" xfId="624"/>
    <cellStyle name="Title" xfId="336"/>
    <cellStyle name="Title 2" xfId="625"/>
    <cellStyle name="Toplam 2" xfId="626"/>
    <cellStyle name="Total" xfId="337"/>
    <cellStyle name="Total 2" xfId="627"/>
    <cellStyle name="Total 2 2" xfId="628"/>
    <cellStyle name="Virgül [0]_baz akim" xfId="338"/>
    <cellStyle name="Warning Text" xfId="339"/>
    <cellStyle name="Warning Text 2" xfId="629"/>
    <cellStyle name="Yüzde 2" xfId="630"/>
    <cellStyle name="Yüzde 2 2" xfId="631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calcChain" Target="calcChain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9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8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styles" Target="styles.xml"/><Relationship Id="rId5" Type="http://schemas.openxmlformats.org/officeDocument/2006/relationships/chartsheet" Target="chartsheets/sheet1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7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Şekil: 7.1 - Karamandere Barajı A-Q</a:t>
            </a:r>
            <a:r>
              <a:rPr lang="tr-TR" sz="1200" baseline="-25000"/>
              <a:t>2.33</a:t>
            </a:r>
            <a:r>
              <a:rPr lang="tr-TR" sz="1200"/>
              <a:t> Zarf Eğrisi</a:t>
            </a:r>
          </a:p>
        </c:rich>
      </c:tx>
      <c:layout>
        <c:manualLayout>
          <c:xMode val="edge"/>
          <c:yMode val="edge"/>
          <c:x val="7.3401515701018438E-2"/>
          <c:y val="0.9320794148380355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406450728971061E-2"/>
          <c:y val="5.0370992027250511E-2"/>
          <c:w val="0.89601388362790368"/>
          <c:h val="0.83875825866594267"/>
        </c:manualLayout>
      </c:layout>
      <c:scatterChart>
        <c:scatterStyle val="smoothMarker"/>
        <c:varyColors val="0"/>
        <c:ser>
          <c:idx val="1"/>
          <c:order val="1"/>
          <c:marker>
            <c:symbol val="none"/>
          </c:marker>
          <c:dLbls>
            <c:delete val="1"/>
          </c:dLbls>
          <c:trendline>
            <c:spPr>
              <a:ln w="9525" cap="flat" cmpd="sng" algn="ctr">
                <a:solidFill>
                  <a:srgbClr val="C0000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4745551893014397"/>
                  <c:y val="7.9187421321551113E-2"/>
                </c:manualLayout>
              </c:layout>
              <c:numFmt formatCode="General" sourceLinked="0"/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/>
                <a:lstStyle/>
                <a:p>
                  <a:pPr>
                    <a:defRPr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</c:trendlineLbl>
          </c:trendline>
          <c:xVal>
            <c:numRef>
              <c:f>'T7.2BTFA'!$V$5:$V$6</c:f>
              <c:numCache>
                <c:formatCode>General</c:formatCode>
                <c:ptCount val="2"/>
                <c:pt idx="0">
                  <c:v>1</c:v>
                </c:pt>
                <c:pt idx="1">
                  <c:v>600</c:v>
                </c:pt>
              </c:numCache>
            </c:numRef>
          </c:xVal>
          <c:yVal>
            <c:numRef>
              <c:f>'T7.2BTFA'!$W$5:$W$6</c:f>
              <c:numCache>
                <c:formatCode>General</c:formatCode>
                <c:ptCount val="2"/>
                <c:pt idx="0">
                  <c:v>1</c:v>
                </c:pt>
                <c:pt idx="1">
                  <c:v>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11-4588-963B-D1C5EAA0AA0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340888960"/>
        <c:axId val="34300134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</c:marker>
          <c:dLbls>
            <c:dLbl>
              <c:idx val="0"/>
              <c:layout>
                <c:manualLayout>
                  <c:x val="-1.6055845686887733E-2"/>
                  <c:y val="-1.84738946735866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D02A015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11-4588-963B-D1C5EAA0AA0C}"/>
                </c:ext>
              </c:extLst>
            </c:dLbl>
            <c:dLbl>
              <c:idx val="1"/>
              <c:layout>
                <c:manualLayout>
                  <c:x val="-6.4223488100869475E-2"/>
                  <c:y val="-1.231592978239109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D02A021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11-4588-963B-D1C5EAA0AA0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D02A022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11-4588-963B-D1C5EAA0AA0C}"/>
                </c:ext>
              </c:extLst>
            </c:dLbl>
            <c:dLbl>
              <c:idx val="3"/>
              <c:layout>
                <c:manualLayout>
                  <c:x val="-4.1477601357793561E-2"/>
                  <c:y val="-1.43685847461229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D02A023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11-4588-963B-D1C5EAA0AA0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D02A024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11-4588-963B-D1C5EAA0AA0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D02A028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11-4588-963B-D1C5EAA0AA0C}"/>
                </c:ext>
              </c:extLst>
            </c:dLbl>
            <c:dLbl>
              <c:idx val="6"/>
              <c:layout>
                <c:manualLayout>
                  <c:x val="-1.2041884265165873E-2"/>
                  <c:y val="-8.210619854927398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D02A046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11-4588-963B-D1C5EAA0AA0C}"/>
                </c:ext>
              </c:extLst>
            </c:dLbl>
            <c:dLbl>
              <c:idx val="7"/>
              <c:layout>
                <c:manualLayout>
                  <c:x val="-4.0139614217218596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D02A047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11-4588-963B-D1C5EAA0AA0C}"/>
                </c:ext>
              </c:extLst>
            </c:dLbl>
            <c:dLbl>
              <c:idx val="8"/>
              <c:layout>
                <c:manualLayout>
                  <c:x val="-5.0843511341811469E-2"/>
                  <c:y val="1.02632748186592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D02A057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11-4588-963B-D1C5EAA0AA0C}"/>
                </c:ext>
              </c:extLst>
            </c:dLbl>
            <c:dLbl>
              <c:idx val="12"/>
              <c:layout>
                <c:manualLayout>
                  <c:x val="-4.0139614217219576E-3"/>
                  <c:y val="7.5263145890550699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D02A107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11-4588-963B-D1C5EAA0AA0C}"/>
                </c:ext>
              </c:extLst>
            </c:dLbl>
            <c:dLbl>
              <c:idx val="13"/>
              <c:layout>
                <c:manualLayout>
                  <c:x val="-5.351948562295944E-2"/>
                  <c:y val="-1.43685847461229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D02A116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11-4588-963B-D1C5EAA0AA0C}"/>
                </c:ext>
              </c:extLst>
            </c:dLbl>
            <c:dLbl>
              <c:idx val="14"/>
              <c:layout>
                <c:manualLayout>
                  <c:x val="-1.2041884265165873E-2"/>
                  <c:y val="8.210619854927398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D02A117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11-4588-963B-D1C5EAA0AA0C}"/>
                </c:ext>
              </c:extLst>
            </c:dLbl>
            <c:dLbl>
              <c:idx val="15"/>
              <c:layout>
                <c:manualLayout>
                  <c:x val="1.3379871405739859E-3"/>
                  <c:y val="1.02632748186592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D02A136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11-4588-963B-D1C5EAA0AA0C}"/>
                </c:ext>
              </c:extLst>
            </c:dLbl>
            <c:dLbl>
              <c:idx val="16"/>
              <c:layout>
                <c:manualLayout>
                  <c:x val="-1.4717858546313944E-2"/>
                  <c:y val="2.052654963731849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D01A052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11-4588-963B-D1C5EAA0AA0C}"/>
                </c:ext>
              </c:extLst>
            </c:dLbl>
            <c:dLbl>
              <c:idx val="17"/>
              <c:layout>
                <c:manualLayout>
                  <c:x val="-3.7463639936071609E-2"/>
                  <c:y val="2.463185956478211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D01A063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11-4588-963B-D1C5EAA0AA0C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'T7.2BTFA'!$X$5:$X$22</c:f>
              <c:numCache>
                <c:formatCode>General</c:formatCode>
                <c:ptCount val="18"/>
                <c:pt idx="0">
                  <c:v>174.9</c:v>
                </c:pt>
                <c:pt idx="1">
                  <c:v>143</c:v>
                </c:pt>
                <c:pt idx="2">
                  <c:v>84</c:v>
                </c:pt>
                <c:pt idx="3">
                  <c:v>43.75</c:v>
                </c:pt>
                <c:pt idx="4">
                  <c:v>95.75</c:v>
                </c:pt>
                <c:pt idx="5">
                  <c:v>287.10000000000002</c:v>
                </c:pt>
                <c:pt idx="6">
                  <c:v>54.2</c:v>
                </c:pt>
                <c:pt idx="7">
                  <c:v>111.8</c:v>
                </c:pt>
                <c:pt idx="8">
                  <c:v>83.5</c:v>
                </c:pt>
                <c:pt idx="12">
                  <c:v>55</c:v>
                </c:pt>
                <c:pt idx="13">
                  <c:v>83.9</c:v>
                </c:pt>
                <c:pt idx="14">
                  <c:v>65.8</c:v>
                </c:pt>
                <c:pt idx="15">
                  <c:v>182.8</c:v>
                </c:pt>
                <c:pt idx="16">
                  <c:v>118.3</c:v>
                </c:pt>
                <c:pt idx="17">
                  <c:v>25.8</c:v>
                </c:pt>
              </c:numCache>
            </c:numRef>
          </c:xVal>
          <c:yVal>
            <c:numRef>
              <c:f>'T7.2BTFA'!$Y$5:$Y$22</c:f>
              <c:numCache>
                <c:formatCode>0.00</c:formatCode>
                <c:ptCount val="18"/>
                <c:pt idx="0">
                  <c:v>65.087447021999239</c:v>
                </c:pt>
                <c:pt idx="1">
                  <c:v>75.570387601743462</c:v>
                </c:pt>
                <c:pt idx="2">
                  <c:v>25.627247346035475</c:v>
                </c:pt>
                <c:pt idx="3">
                  <c:v>8.1897208121003899</c:v>
                </c:pt>
                <c:pt idx="4">
                  <c:v>18.940268672135286</c:v>
                </c:pt>
                <c:pt idx="5">
                  <c:v>142.39667775875682</c:v>
                </c:pt>
                <c:pt idx="6">
                  <c:v>19.738962734077411</c:v>
                </c:pt>
                <c:pt idx="7">
                  <c:v>55.462479072991812</c:v>
                </c:pt>
                <c:pt idx="8">
                  <c:v>37.027259226443213</c:v>
                </c:pt>
                <c:pt idx="12">
                  <c:v>8.2572849397824726</c:v>
                </c:pt>
                <c:pt idx="13">
                  <c:v>51.602474450812984</c:v>
                </c:pt>
                <c:pt idx="14">
                  <c:v>16.818050947917065</c:v>
                </c:pt>
                <c:pt idx="15">
                  <c:v>62.99</c:v>
                </c:pt>
                <c:pt idx="16">
                  <c:v>48.319180474113352</c:v>
                </c:pt>
                <c:pt idx="17">
                  <c:v>8.5562667171763014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011-4588-963B-D1C5EAA0AA0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340888960"/>
        <c:axId val="343001344"/>
      </c:scatterChart>
      <c:valAx>
        <c:axId val="340888960"/>
        <c:scaling>
          <c:logBase val="10"/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tr-TR" sz="1100"/>
                  <a:t>Yağış Alanı (A km</a:t>
                </a:r>
                <a:r>
                  <a:rPr lang="tr-TR" sz="1100" baseline="30000"/>
                  <a:t>2</a:t>
                </a:r>
                <a:r>
                  <a:rPr lang="tr-TR" sz="1100"/>
                  <a:t>)</a:t>
                </a:r>
              </a:p>
            </c:rich>
          </c:tx>
          <c:layout>
            <c:manualLayout>
              <c:xMode val="edge"/>
              <c:yMode val="edge"/>
              <c:x val="0.79065219201745129"/>
              <c:y val="0.911797200898477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3001344"/>
        <c:crosses val="autoZero"/>
        <c:crossBetween val="midCat"/>
      </c:valAx>
      <c:valAx>
        <c:axId val="343001344"/>
        <c:scaling>
          <c:logBase val="10"/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tr-TR" sz="1100"/>
                  <a:t>Q</a:t>
                </a:r>
                <a:r>
                  <a:rPr lang="tr-TR" sz="1100" baseline="-25000"/>
                  <a:t>2</a:t>
                </a:r>
                <a:r>
                  <a:rPr lang="tr-TR" sz="1100"/>
                  <a:t> (m</a:t>
                </a:r>
                <a:r>
                  <a:rPr lang="tr-TR" sz="1100" baseline="30000"/>
                  <a:t>3</a:t>
                </a:r>
                <a:r>
                  <a:rPr lang="tr-TR" sz="1100"/>
                  <a:t>/s)</a:t>
                </a:r>
              </a:p>
            </c:rich>
          </c:tx>
          <c:layout>
            <c:manualLayout>
              <c:xMode val="edge"/>
              <c:yMode val="edge"/>
              <c:x val="2.7014617031622327E-2"/>
              <c:y val="0.3856016587268284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088896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Şekil: 7.2 - Karamandere Barajı A-Q</a:t>
            </a:r>
            <a:r>
              <a:rPr lang="tr-TR" sz="1200" baseline="-25000"/>
              <a:t>100</a:t>
            </a:r>
            <a:r>
              <a:rPr lang="tr-TR" sz="1200"/>
              <a:t> Zarf Eğrisi</a:t>
            </a:r>
          </a:p>
        </c:rich>
      </c:tx>
      <c:layout>
        <c:manualLayout>
          <c:xMode val="edge"/>
          <c:yMode val="edge"/>
          <c:x val="7.3401515701018438E-2"/>
          <c:y val="0.9320794148380355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406450728971061E-2"/>
          <c:y val="5.0370992027250511E-2"/>
          <c:w val="0.89601388362790368"/>
          <c:h val="0.83875825866594267"/>
        </c:manualLayout>
      </c:layout>
      <c:scatterChart>
        <c:scatterStyle val="smoothMarker"/>
        <c:varyColors val="0"/>
        <c:ser>
          <c:idx val="4"/>
          <c:order val="4"/>
          <c:marker>
            <c:symbol val="none"/>
          </c:marker>
          <c:xVal>
            <c:numRef>
              <c:f>'T7.2BTFA'!$V$8:$V$9</c:f>
              <c:numCache>
                <c:formatCode>General</c:formatCode>
                <c:ptCount val="2"/>
                <c:pt idx="0">
                  <c:v>1</c:v>
                </c:pt>
                <c:pt idx="1">
                  <c:v>500</c:v>
                </c:pt>
              </c:numCache>
            </c:numRef>
          </c:xVal>
          <c:yVal>
            <c:numRef>
              <c:f>'T7.2BTFA'!$W$8:$W$9</c:f>
              <c:numCache>
                <c:formatCode>General</c:formatCode>
                <c:ptCount val="2"/>
                <c:pt idx="0">
                  <c:v>1</c:v>
                </c:pt>
                <c:pt idx="1">
                  <c:v>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A7-4D97-A569-F4DB02DC668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dPt>
            <c:idx val="3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39A7-4D97-A569-F4DB02DC6681}"/>
              </c:ext>
            </c:extLst>
          </c:dPt>
          <c:xVal>
            <c:numRef>
              <c:f>'T7.2BTFA'!$Y$5:$Y$23</c:f>
              <c:numCache>
                <c:formatCode>0.00</c:formatCode>
                <c:ptCount val="19"/>
                <c:pt idx="0">
                  <c:v>65.087447021999239</c:v>
                </c:pt>
                <c:pt idx="1">
                  <c:v>75.570387601743462</c:v>
                </c:pt>
                <c:pt idx="2">
                  <c:v>25.627247346035475</c:v>
                </c:pt>
                <c:pt idx="3">
                  <c:v>8.1897208121003899</c:v>
                </c:pt>
                <c:pt idx="4">
                  <c:v>18.940268672135286</c:v>
                </c:pt>
                <c:pt idx="5">
                  <c:v>142.39667775875682</c:v>
                </c:pt>
                <c:pt idx="6">
                  <c:v>19.738962734077411</c:v>
                </c:pt>
                <c:pt idx="7">
                  <c:v>55.462479072991812</c:v>
                </c:pt>
                <c:pt idx="8">
                  <c:v>37.027259226443213</c:v>
                </c:pt>
                <c:pt idx="12">
                  <c:v>8.2572849397824726</c:v>
                </c:pt>
                <c:pt idx="13">
                  <c:v>51.602474450812984</c:v>
                </c:pt>
                <c:pt idx="14">
                  <c:v>16.818050947917065</c:v>
                </c:pt>
                <c:pt idx="15">
                  <c:v>62.99</c:v>
                </c:pt>
                <c:pt idx="16">
                  <c:v>48.319180474113352</c:v>
                </c:pt>
                <c:pt idx="17">
                  <c:v>8.5562667171763014</c:v>
                </c:pt>
              </c:numCache>
            </c:numRef>
          </c:xVal>
          <c:yVal>
            <c:numRef>
              <c:f>'T7.2BTFA'!$AA$5:$AA$23</c:f>
              <c:numCache>
                <c:formatCode>0.00</c:formatCode>
                <c:ptCount val="1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A7-4D97-A569-F4DB02DC6681}"/>
            </c:ext>
          </c:extLst>
        </c:ser>
        <c:ser>
          <c:idx val="6"/>
          <c:order val="6"/>
          <c:marker>
            <c:symbol val="none"/>
          </c:marker>
          <c:xVal>
            <c:numRef>
              <c:f>'T7.2BTFA'!$V$8:$V$9</c:f>
              <c:numCache>
                <c:formatCode>General</c:formatCode>
                <c:ptCount val="2"/>
                <c:pt idx="0">
                  <c:v>1</c:v>
                </c:pt>
                <c:pt idx="1">
                  <c:v>500</c:v>
                </c:pt>
              </c:numCache>
            </c:numRef>
          </c:xVal>
          <c:yVal>
            <c:numRef>
              <c:f>'T7.2BTFA'!$W$8:$W$9</c:f>
              <c:numCache>
                <c:formatCode>General</c:formatCode>
                <c:ptCount val="2"/>
                <c:pt idx="0">
                  <c:v>1</c:v>
                </c:pt>
                <c:pt idx="1">
                  <c:v>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A7-4D97-A569-F4DB02DC6681}"/>
            </c:ext>
          </c:extLst>
        </c:ser>
        <c:ser>
          <c:idx val="7"/>
          <c:order val="7"/>
          <c:spPr>
            <a:ln w="28575">
              <a:noFill/>
            </a:ln>
          </c:spPr>
          <c:marker>
            <c:symbol val="none"/>
          </c:marker>
          <c:dPt>
            <c:idx val="3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6-39A7-4D97-A569-F4DB02DC6681}"/>
              </c:ext>
            </c:extLst>
          </c:dPt>
          <c:xVal>
            <c:numRef>
              <c:f>'T7.2BTFA'!$Y$5:$Y$23</c:f>
              <c:numCache>
                <c:formatCode>0.00</c:formatCode>
                <c:ptCount val="19"/>
                <c:pt idx="0">
                  <c:v>65.087447021999239</c:v>
                </c:pt>
                <c:pt idx="1">
                  <c:v>75.570387601743462</c:v>
                </c:pt>
                <c:pt idx="2">
                  <c:v>25.627247346035475</c:v>
                </c:pt>
                <c:pt idx="3">
                  <c:v>8.1897208121003899</c:v>
                </c:pt>
                <c:pt idx="4">
                  <c:v>18.940268672135286</c:v>
                </c:pt>
                <c:pt idx="5">
                  <c:v>142.39667775875682</c:v>
                </c:pt>
                <c:pt idx="6">
                  <c:v>19.738962734077411</c:v>
                </c:pt>
                <c:pt idx="7">
                  <c:v>55.462479072991812</c:v>
                </c:pt>
                <c:pt idx="8">
                  <c:v>37.027259226443213</c:v>
                </c:pt>
                <c:pt idx="12">
                  <c:v>8.2572849397824726</c:v>
                </c:pt>
                <c:pt idx="13">
                  <c:v>51.602474450812984</c:v>
                </c:pt>
                <c:pt idx="14">
                  <c:v>16.818050947917065</c:v>
                </c:pt>
                <c:pt idx="15">
                  <c:v>62.99</c:v>
                </c:pt>
                <c:pt idx="16">
                  <c:v>48.319180474113352</c:v>
                </c:pt>
                <c:pt idx="17">
                  <c:v>8.5562667171763014</c:v>
                </c:pt>
              </c:numCache>
            </c:numRef>
          </c:xVal>
          <c:yVal>
            <c:numRef>
              <c:f>'T7.2BTFA'!$AA$5:$AA$23</c:f>
              <c:numCache>
                <c:formatCode>0.00</c:formatCode>
                <c:ptCount val="1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9A7-4D97-A569-F4DB02DC6681}"/>
            </c:ext>
          </c:extLst>
        </c:ser>
        <c:ser>
          <c:idx val="2"/>
          <c:order val="2"/>
          <c:marker>
            <c:symbol val="none"/>
          </c:marker>
          <c:xVal>
            <c:numRef>
              <c:f>'T7.2BTFA'!$V$8:$V$9</c:f>
              <c:numCache>
                <c:formatCode>General</c:formatCode>
                <c:ptCount val="2"/>
                <c:pt idx="0">
                  <c:v>1</c:v>
                </c:pt>
                <c:pt idx="1">
                  <c:v>500</c:v>
                </c:pt>
              </c:numCache>
            </c:numRef>
          </c:xVal>
          <c:yVal>
            <c:numRef>
              <c:f>'T7.2BTFA'!$W$8:$W$9</c:f>
              <c:numCache>
                <c:formatCode>General</c:formatCode>
                <c:ptCount val="2"/>
                <c:pt idx="0">
                  <c:v>1</c:v>
                </c:pt>
                <c:pt idx="1">
                  <c:v>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9A7-4D97-A569-F4DB02DC6681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dPt>
            <c:idx val="3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A-39A7-4D97-A569-F4DB02DC6681}"/>
              </c:ext>
            </c:extLst>
          </c:dPt>
          <c:xVal>
            <c:numRef>
              <c:f>'T7.2BTFA'!$Y$5:$Y$23</c:f>
              <c:numCache>
                <c:formatCode>0.00</c:formatCode>
                <c:ptCount val="19"/>
                <c:pt idx="0">
                  <c:v>65.087447021999239</c:v>
                </c:pt>
                <c:pt idx="1">
                  <c:v>75.570387601743462</c:v>
                </c:pt>
                <c:pt idx="2">
                  <c:v>25.627247346035475</c:v>
                </c:pt>
                <c:pt idx="3">
                  <c:v>8.1897208121003899</c:v>
                </c:pt>
                <c:pt idx="4">
                  <c:v>18.940268672135286</c:v>
                </c:pt>
                <c:pt idx="5">
                  <c:v>142.39667775875682</c:v>
                </c:pt>
                <c:pt idx="6">
                  <c:v>19.738962734077411</c:v>
                </c:pt>
                <c:pt idx="7">
                  <c:v>55.462479072991812</c:v>
                </c:pt>
                <c:pt idx="8">
                  <c:v>37.027259226443213</c:v>
                </c:pt>
                <c:pt idx="12">
                  <c:v>8.2572849397824726</c:v>
                </c:pt>
                <c:pt idx="13">
                  <c:v>51.602474450812984</c:v>
                </c:pt>
                <c:pt idx="14">
                  <c:v>16.818050947917065</c:v>
                </c:pt>
                <c:pt idx="15">
                  <c:v>62.99</c:v>
                </c:pt>
                <c:pt idx="16">
                  <c:v>48.319180474113352</c:v>
                </c:pt>
                <c:pt idx="17">
                  <c:v>8.5562667171763014</c:v>
                </c:pt>
              </c:numCache>
            </c:numRef>
          </c:xVal>
          <c:yVal>
            <c:numRef>
              <c:f>'T7.2BTFA'!$AA$5:$AA$23</c:f>
              <c:numCache>
                <c:formatCode>0.00</c:formatCode>
                <c:ptCount val="1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9A7-4D97-A569-F4DB02DC6681}"/>
            </c:ext>
          </c:extLst>
        </c:ser>
        <c:ser>
          <c:idx val="1"/>
          <c:order val="1"/>
          <c:marker>
            <c:symbol val="none"/>
          </c:marker>
          <c:trendline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4572068415728007"/>
                  <c:y val="-4.8028776087306003E-3"/>
                </c:manualLayout>
              </c:layout>
              <c:numFmt formatCode="General" sourceLinked="0"/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/>
                <a:lstStyle/>
                <a:p>
                  <a:pPr>
                    <a:defRPr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</c:trendlineLbl>
          </c:trendline>
          <c:xVal>
            <c:numRef>
              <c:f>'T7.2BTFA'!$V$8:$V$9</c:f>
              <c:numCache>
                <c:formatCode>General</c:formatCode>
                <c:ptCount val="2"/>
                <c:pt idx="0">
                  <c:v>1</c:v>
                </c:pt>
                <c:pt idx="1">
                  <c:v>500</c:v>
                </c:pt>
              </c:numCache>
            </c:numRef>
          </c:xVal>
          <c:yVal>
            <c:numRef>
              <c:f>'T7.2BTFA'!$W$8:$W$9</c:f>
              <c:numCache>
                <c:formatCode>General</c:formatCode>
                <c:ptCount val="2"/>
                <c:pt idx="0">
                  <c:v>1</c:v>
                </c:pt>
                <c:pt idx="1">
                  <c:v>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9A7-4D97-A569-F4DB02DC6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044864"/>
        <c:axId val="34304678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noFill/>
              </a:ln>
            </c:spPr>
          </c:marker>
          <c:dPt>
            <c:idx val="3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E-39A7-4D97-A569-F4DB02DC668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F-39A7-4D97-A569-F4DB02DC6681}"/>
              </c:ext>
            </c:extLst>
          </c:dPt>
          <c:dPt>
            <c:idx val="18"/>
            <c:marker>
              <c:spPr>
                <a:solidFill>
                  <a:srgbClr val="00B05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9A7-4D97-A569-F4DB02DC6681}"/>
              </c:ext>
            </c:extLst>
          </c:dPt>
          <c:dPt>
            <c:idx val="19"/>
            <c:marker>
              <c:spPr>
                <a:solidFill>
                  <a:srgbClr val="FFFF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9A7-4D97-A569-F4DB02DC6681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D02A015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39A7-4D97-A569-F4DB02DC6681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D02A021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39A7-4D97-A569-F4DB02DC6681}"/>
                </c:ext>
              </c:extLst>
            </c:dLbl>
            <c:dLbl>
              <c:idx val="2"/>
              <c:layout>
                <c:manualLayout>
                  <c:x val="-5.351948562295944E-2"/>
                  <c:y val="-1.64212397098547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D02A022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39A7-4D97-A569-F4DB02DC6681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D02A023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39A7-4D97-A569-F4DB02DC6681}"/>
                </c:ext>
              </c:extLst>
            </c:dLbl>
            <c:dLbl>
              <c:idx val="4"/>
              <c:layout>
                <c:manualLayout>
                  <c:x val="-9.3659099840179023E-3"/>
                  <c:y val="1.231592978239109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D02A024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39A7-4D97-A569-F4DB02DC6681}"/>
                </c:ext>
              </c:extLst>
            </c:dLbl>
            <c:dLbl>
              <c:idx val="5"/>
              <c:layout>
                <c:manualLayout>
                  <c:x val="-5.3519485622959438E-3"/>
                  <c:y val="-6.157964891195548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D02A028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39A7-4D97-A569-F4DB02DC6681}"/>
                </c:ext>
              </c:extLst>
            </c:dLbl>
            <c:dLbl>
              <c:idx val="6"/>
              <c:layout>
                <c:manualLayout>
                  <c:x val="-4.5491562779515521E-2"/>
                  <c:y val="1.64212397098547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D02A046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39A7-4D97-A569-F4DB02DC6681}"/>
                </c:ext>
              </c:extLst>
            </c:dLbl>
            <c:dLbl>
              <c:idx val="7"/>
              <c:layout>
                <c:manualLayout>
                  <c:x val="-5.3519485622958458E-3"/>
                  <c:y val="2.052654963731849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D02A047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39A7-4D97-A569-F4DB02DC6681}"/>
                </c:ext>
              </c:extLst>
            </c:dLbl>
            <c:dLbl>
              <c:idx val="8"/>
              <c:layout>
                <c:manualLayout>
                  <c:x val="-6.8237344169273281E-2"/>
                  <c:y val="-4.105309927463699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D02A057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39A7-4D97-A569-F4DB02DC6681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r>
                      <a:rPr lang="en-US"/>
                      <a:t>D02A107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39A7-4D97-A569-F4DB02DC6681}"/>
                </c:ext>
              </c:extLst>
            </c:dLbl>
            <c:dLbl>
              <c:idx val="13"/>
              <c:layout>
                <c:manualLayout>
                  <c:x val="-3.2111691373775661E-2"/>
                  <c:y val="1.84738946735866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D02A116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39A7-4D97-A569-F4DB02DC6681}"/>
                </c:ext>
              </c:extLst>
            </c:dLbl>
            <c:dLbl>
              <c:idx val="14"/>
              <c:layout>
                <c:manualLayout>
                  <c:x val="-6.6899357028699299E-3"/>
                  <c:y val="-2.052654963731849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D02A117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39A7-4D97-A569-F4DB02DC6681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r>
                      <a:rPr lang="en-US"/>
                      <a:t>D02A136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39A7-4D97-A569-F4DB02DC6681}"/>
                </c:ext>
              </c:extLst>
            </c:dLbl>
            <c:dLbl>
              <c:idx val="16"/>
              <c:layout>
                <c:manualLayout>
                  <c:x val="-4.9487809840504514E-2"/>
                  <c:y val="-2.0540359250915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D02A052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39A7-4D97-A569-F4DB02DC6681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r>
                      <a:rPr lang="en-US"/>
                      <a:t>D01A063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39A7-4D97-A569-F4DB02DC6681}"/>
                </c:ext>
              </c:extLst>
            </c:dLbl>
            <c:dLbl>
              <c:idx val="18"/>
              <c:layout>
                <c:manualLayout>
                  <c:x val="-0.19267014824265397"/>
                  <c:y val="-5.747433898449178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0" i="0" u="none" strike="noStrike" baseline="0">
                        <a:effectLst/>
                      </a:rPr>
                      <a:t>Karamandere Barajı  </a:t>
                    </a:r>
                  </a:p>
                  <a:p>
                    <a:pPr>
                      <a:defRPr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0" i="0" u="none" strike="noStrike" baseline="0">
                        <a:effectLst/>
                      </a:rPr>
                      <a:t>Q</a:t>
                    </a:r>
                    <a:r>
                      <a:rPr lang="en-US" baseline="-250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100</a:t>
                    </a:r>
                    <a:r>
                      <a:rPr lang="en-US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=328 m</a:t>
                    </a:r>
                    <a:r>
                      <a:rPr lang="en-US" baseline="300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3</a:t>
                    </a:r>
                    <a:r>
                      <a:rPr lang="en-US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/s</a:t>
                    </a:r>
                    <a:endParaRPr lang="en-US"/>
                  </a:p>
                </c:rich>
              </c:tx>
              <c:spPr>
                <a:solidFill>
                  <a:schemeClr val="lt1"/>
                </a:solidFill>
                <a:ln w="25400" cap="flat" cmpd="sng" algn="ctr">
                  <a:solidFill>
                    <a:schemeClr val="accent3"/>
                  </a:solidFill>
                  <a:prstDash val="solid"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39A7-4D97-A569-F4DB02DC668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A7-4D97-A569-F4DB02DC6681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'T7.2BTFA'!$X$5:$X$24</c:f>
              <c:numCache>
                <c:formatCode>General</c:formatCode>
                <c:ptCount val="20"/>
                <c:pt idx="0">
                  <c:v>174.9</c:v>
                </c:pt>
                <c:pt idx="1">
                  <c:v>143</c:v>
                </c:pt>
                <c:pt idx="2">
                  <c:v>84</c:v>
                </c:pt>
                <c:pt idx="3">
                  <c:v>43.75</c:v>
                </c:pt>
                <c:pt idx="4">
                  <c:v>95.75</c:v>
                </c:pt>
                <c:pt idx="5">
                  <c:v>287.10000000000002</c:v>
                </c:pt>
                <c:pt idx="6">
                  <c:v>54.2</c:v>
                </c:pt>
                <c:pt idx="7">
                  <c:v>111.8</c:v>
                </c:pt>
                <c:pt idx="8">
                  <c:v>83.5</c:v>
                </c:pt>
                <c:pt idx="12">
                  <c:v>55</c:v>
                </c:pt>
                <c:pt idx="13">
                  <c:v>83.9</c:v>
                </c:pt>
                <c:pt idx="14">
                  <c:v>65.8</c:v>
                </c:pt>
                <c:pt idx="15">
                  <c:v>182.8</c:v>
                </c:pt>
                <c:pt idx="16">
                  <c:v>118.3</c:v>
                </c:pt>
                <c:pt idx="17">
                  <c:v>25.8</c:v>
                </c:pt>
                <c:pt idx="18">
                  <c:v>115</c:v>
                </c:pt>
                <c:pt idx="19">
                  <c:v>115</c:v>
                </c:pt>
              </c:numCache>
            </c:numRef>
          </c:xVal>
          <c:yVal>
            <c:numRef>
              <c:f>'T7.2BTFA'!$Z$5:$Z$24</c:f>
              <c:numCache>
                <c:formatCode>0.00</c:formatCode>
                <c:ptCount val="20"/>
                <c:pt idx="0">
                  <c:v>409.25909983795299</c:v>
                </c:pt>
                <c:pt idx="1">
                  <c:v>94.231442406308346</c:v>
                </c:pt>
                <c:pt idx="2">
                  <c:v>238.47632481896025</c:v>
                </c:pt>
                <c:pt idx="3">
                  <c:v>49.853617719067906</c:v>
                </c:pt>
                <c:pt idx="4">
                  <c:v>67.506284378550987</c:v>
                </c:pt>
                <c:pt idx="5">
                  <c:v>511.53544436268533</c:v>
                </c:pt>
                <c:pt idx="6">
                  <c:v>99.318801427822393</c:v>
                </c:pt>
                <c:pt idx="7">
                  <c:v>174.70602376133039</c:v>
                </c:pt>
                <c:pt idx="8">
                  <c:v>200.33977055281321</c:v>
                </c:pt>
                <c:pt idx="12">
                  <c:v>17.151362528315214</c:v>
                </c:pt>
                <c:pt idx="13">
                  <c:v>182.32249465866818</c:v>
                </c:pt>
                <c:pt idx="14">
                  <c:v>79.087284431874593</c:v>
                </c:pt>
                <c:pt idx="15">
                  <c:v>199.53</c:v>
                </c:pt>
                <c:pt idx="16">
                  <c:v>412.01857623903061</c:v>
                </c:pt>
                <c:pt idx="17">
                  <c:v>35.352749155268256</c:v>
                </c:pt>
                <c:pt idx="18" formatCode="General">
                  <c:v>328</c:v>
                </c:pt>
                <c:pt idx="19" formatCode="General">
                  <c:v>393.02355623779454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9A7-4D97-A569-F4DB02DC6681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343044864"/>
        <c:axId val="343046784"/>
      </c:scatterChart>
      <c:valAx>
        <c:axId val="343044864"/>
        <c:scaling>
          <c:logBase val="10"/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tr-TR" sz="1100"/>
                  <a:t>Yağış Alanı (A km</a:t>
                </a:r>
                <a:r>
                  <a:rPr lang="tr-TR" sz="1100" baseline="30000"/>
                  <a:t>2</a:t>
                </a:r>
                <a:r>
                  <a:rPr lang="tr-TR" sz="1100"/>
                  <a:t>)</a:t>
                </a:r>
              </a:p>
            </c:rich>
          </c:tx>
          <c:layout>
            <c:manualLayout>
              <c:xMode val="edge"/>
              <c:yMode val="edge"/>
              <c:x val="0.79338163589326161"/>
              <c:y val="0.909707336739647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3046784"/>
        <c:crosses val="autoZero"/>
        <c:crossBetween val="midCat"/>
      </c:valAx>
      <c:valAx>
        <c:axId val="343046784"/>
        <c:scaling>
          <c:logBase val="10"/>
          <c:orientation val="minMax"/>
          <c:max val="1000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tr-TR" sz="1100"/>
                  <a:t>Q</a:t>
                </a:r>
                <a:r>
                  <a:rPr lang="tr-TR" sz="1100" baseline="-25000"/>
                  <a:t>2</a:t>
                </a:r>
                <a:r>
                  <a:rPr lang="tr-TR" sz="1100"/>
                  <a:t> (m</a:t>
                </a:r>
                <a:r>
                  <a:rPr lang="tr-TR" sz="1100" baseline="30000"/>
                  <a:t>3</a:t>
                </a:r>
                <a:r>
                  <a:rPr lang="tr-TR" sz="1100"/>
                  <a:t>/s)</a:t>
                </a:r>
              </a:p>
            </c:rich>
          </c:tx>
          <c:layout>
            <c:manualLayout>
              <c:xMode val="edge"/>
              <c:yMode val="edge"/>
              <c:x val="8.1224247698293388E-3"/>
              <c:y val="0.3784391062126107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304486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Şekil:</a:t>
            </a:r>
            <a:r>
              <a:rPr lang="tr-TR" sz="1200" baseline="0"/>
              <a:t> </a:t>
            </a:r>
            <a:r>
              <a:rPr lang="tr-TR" sz="1200"/>
              <a:t>8.3 - Karamandere Barajı A-Q</a:t>
            </a:r>
            <a:r>
              <a:rPr lang="tr-TR" sz="1200" baseline="-25000"/>
              <a:t>Maks.</a:t>
            </a:r>
            <a:r>
              <a:rPr lang="tr-TR" sz="1200"/>
              <a:t> Zarf Eğrisi</a:t>
            </a:r>
          </a:p>
        </c:rich>
      </c:tx>
      <c:layout>
        <c:manualLayout>
          <c:xMode val="edge"/>
          <c:yMode val="edge"/>
          <c:x val="7.3401515701018438E-2"/>
          <c:y val="0.9320794148380355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406450728971061E-2"/>
          <c:y val="5.0370992027250511E-2"/>
          <c:w val="0.89601388362790368"/>
          <c:h val="0.83875825866594267"/>
        </c:manualLayout>
      </c:layout>
      <c:scatterChart>
        <c:scatterStyle val="smoothMarker"/>
        <c:varyColors val="0"/>
        <c:ser>
          <c:idx val="1"/>
          <c:order val="1"/>
          <c:marker>
            <c:symbol val="none"/>
          </c:marker>
          <c:trendline>
            <c:spPr>
              <a:ln w="25400" cap="flat" cmpd="sng" algn="ctr">
                <a:solidFill>
                  <a:schemeClr val="accent2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wer"/>
            <c:dispRSqr val="0"/>
            <c:dispEq val="1"/>
            <c:trendlineLbl>
              <c:layout>
                <c:manualLayout>
                  <c:x val="-0.23398576713223027"/>
                  <c:y val="5.3292194275088654E-2"/>
                </c:manualLayout>
              </c:layout>
              <c:numFmt formatCode="General" sourceLinked="0"/>
              <c:spPr>
                <a:solidFill>
                  <a:schemeClr val="lt1"/>
                </a:solidFill>
                <a:ln w="25400" cap="flat" cmpd="sng" algn="ctr">
                  <a:solidFill>
                    <a:schemeClr val="accent2"/>
                  </a:solidFill>
                  <a:prstDash val="solid"/>
                </a:ln>
                <a:effectLst/>
              </c:spPr>
              <c:txPr>
                <a:bodyPr/>
                <a:lstStyle/>
                <a:p>
                  <a:pPr>
                    <a:defRPr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</c:trendlineLbl>
          </c:trendline>
          <c:xVal>
            <c:numRef>
              <c:f>'T7.2BTFA'!$V$11:$V$12</c:f>
              <c:numCache>
                <c:formatCode>General</c:formatCode>
                <c:ptCount val="2"/>
                <c:pt idx="0">
                  <c:v>1</c:v>
                </c:pt>
                <c:pt idx="1">
                  <c:v>500</c:v>
                </c:pt>
              </c:numCache>
            </c:numRef>
          </c:xVal>
          <c:yVal>
            <c:numRef>
              <c:f>'T7.2BTFA'!$W$11:$W$12</c:f>
              <c:numCache>
                <c:formatCode>General</c:formatCode>
                <c:ptCount val="2"/>
                <c:pt idx="0">
                  <c:v>1</c:v>
                </c:pt>
                <c:pt idx="1">
                  <c:v>2750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57-4AC5-81AD-4B1AC50E0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137280"/>
        <c:axId val="343139456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dPt>
            <c:idx val="3"/>
            <c:bubble3D val="0"/>
            <c:spPr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957-4AC5-81AD-4B1AC50E07E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03-F957-4AC5-81AD-4B1AC50E07E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'T7.2BTFA'!$X$5:$X$23</c:f>
              <c:numCache>
                <c:formatCode>General</c:formatCode>
                <c:ptCount val="19"/>
                <c:pt idx="0">
                  <c:v>174.9</c:v>
                </c:pt>
                <c:pt idx="1">
                  <c:v>143</c:v>
                </c:pt>
                <c:pt idx="2">
                  <c:v>84</c:v>
                </c:pt>
                <c:pt idx="3">
                  <c:v>43.75</c:v>
                </c:pt>
                <c:pt idx="4">
                  <c:v>95.75</c:v>
                </c:pt>
                <c:pt idx="5">
                  <c:v>287.10000000000002</c:v>
                </c:pt>
                <c:pt idx="6">
                  <c:v>54.2</c:v>
                </c:pt>
                <c:pt idx="7">
                  <c:v>111.8</c:v>
                </c:pt>
                <c:pt idx="8">
                  <c:v>83.5</c:v>
                </c:pt>
                <c:pt idx="12">
                  <c:v>55</c:v>
                </c:pt>
                <c:pt idx="13">
                  <c:v>83.9</c:v>
                </c:pt>
                <c:pt idx="14">
                  <c:v>65.8</c:v>
                </c:pt>
                <c:pt idx="15">
                  <c:v>182.8</c:v>
                </c:pt>
                <c:pt idx="16">
                  <c:v>118.3</c:v>
                </c:pt>
                <c:pt idx="17">
                  <c:v>25.8</c:v>
                </c:pt>
                <c:pt idx="18">
                  <c:v>115</c:v>
                </c:pt>
              </c:numCache>
            </c:numRef>
          </c:xVal>
          <c:yVal>
            <c:numRef>
              <c:f>'T7.2BTFA'!$AB$5:$AB$22</c:f>
              <c:numCache>
                <c:formatCode>General</c:formatCode>
                <c:ptCount val="18"/>
                <c:pt idx="0">
                  <c:v>350</c:v>
                </c:pt>
                <c:pt idx="1">
                  <c:v>91</c:v>
                </c:pt>
                <c:pt idx="2">
                  <c:v>130</c:v>
                </c:pt>
                <c:pt idx="3">
                  <c:v>34</c:v>
                </c:pt>
                <c:pt idx="4">
                  <c:v>41</c:v>
                </c:pt>
                <c:pt idx="5">
                  <c:v>393</c:v>
                </c:pt>
                <c:pt idx="6">
                  <c:v>84</c:v>
                </c:pt>
                <c:pt idx="7">
                  <c:v>165</c:v>
                </c:pt>
                <c:pt idx="8">
                  <c:v>190</c:v>
                </c:pt>
                <c:pt idx="12">
                  <c:v>13.1</c:v>
                </c:pt>
                <c:pt idx="13">
                  <c:v>159</c:v>
                </c:pt>
                <c:pt idx="14">
                  <c:v>45</c:v>
                </c:pt>
                <c:pt idx="15">
                  <c:v>119</c:v>
                </c:pt>
                <c:pt idx="16">
                  <c:v>450</c:v>
                </c:pt>
                <c:pt idx="17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57-4AC5-81AD-4B1AC50E07E7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343137280"/>
        <c:axId val="343139456"/>
      </c:scatterChart>
      <c:valAx>
        <c:axId val="343137280"/>
        <c:scaling>
          <c:logBase val="10"/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tr-TR" sz="1100"/>
                  <a:t>Yağış Alanı (A km</a:t>
                </a:r>
                <a:r>
                  <a:rPr lang="tr-TR" sz="1100" baseline="30000"/>
                  <a:t>2</a:t>
                </a:r>
                <a:r>
                  <a:rPr lang="tr-TR" sz="1100"/>
                  <a:t>)</a:t>
                </a:r>
              </a:p>
            </c:rich>
          </c:tx>
          <c:layout>
            <c:manualLayout>
              <c:xMode val="edge"/>
              <c:yMode val="edge"/>
              <c:x val="0.79884052364488212"/>
              <c:y val="0.907617472580817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3139456"/>
        <c:crosses val="autoZero"/>
        <c:crossBetween val="midCat"/>
      </c:valAx>
      <c:valAx>
        <c:axId val="343139456"/>
        <c:scaling>
          <c:logBase val="10"/>
          <c:orientation val="minMax"/>
          <c:max val="1000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tr-TR" sz="1100"/>
                  <a:t>Q</a:t>
                </a:r>
                <a:r>
                  <a:rPr lang="tr-TR" sz="1100" baseline="-25000"/>
                  <a:t>2</a:t>
                </a:r>
                <a:r>
                  <a:rPr lang="tr-TR" sz="1100"/>
                  <a:t> (m</a:t>
                </a:r>
                <a:r>
                  <a:rPr lang="tr-TR" sz="1100" baseline="30000"/>
                  <a:t>3</a:t>
                </a:r>
                <a:r>
                  <a:rPr lang="tr-TR" sz="1100"/>
                  <a:t>/s)</a:t>
                </a:r>
              </a:p>
            </c:rich>
          </c:tx>
          <c:layout>
            <c:manualLayout>
              <c:xMode val="edge"/>
              <c:yMode val="edge"/>
              <c:x val="1.8826285404191415E-2"/>
              <c:y val="0.329175326438427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313728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/>
  </sheetViews>
  <pageMargins left="0.59055118110236227" right="0.59055118110236227" top="0.78740157480314965" bottom="0.59055118110236227" header="0.31496062992125984" footer="0.31496062992125984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59055118110236227" right="0.59055118110236227" top="0.78740157480314965" bottom="0.59055118110236227" header="0.31496062992125984" footer="0.31496062992125984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5" workbookViewId="0"/>
  </sheetViews>
  <pageMargins left="0.59055118110236227" right="0.59055118110236227" top="0.78740157480314965" bottom="0.59055118110236227" header="0.31496062992125984" footer="0.31496062992125984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6187109"/>
    <xdr:graphicFrame macro="">
      <xdr:nvGraphicFramePr>
        <xdr:cNvPr id="2" name="Grafik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505950" cy="6191250"/>
    <xdr:graphicFrame macro="">
      <xdr:nvGraphicFramePr>
        <xdr:cNvPr id="2" name="Grafik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0.61753</cdr:x>
      <cdr:y>0.33395</cdr:y>
    </cdr:from>
    <cdr:to>
      <cdr:x>0.68766</cdr:x>
      <cdr:y>0.363</cdr:y>
    </cdr:to>
    <cdr:cxnSp macro="">
      <cdr:nvCxnSpPr>
        <cdr:cNvPr id="3" name="Düz Ok Bağlayıcısı 2"/>
        <cdr:cNvCxnSpPr/>
      </cdr:nvCxnSpPr>
      <cdr:spPr>
        <a:xfrm xmlns:a="http://schemas.openxmlformats.org/drawingml/2006/main">
          <a:off x="5861538" y="2066192"/>
          <a:ext cx="665594" cy="17970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500152" cy="6187109"/>
    <xdr:graphicFrame macro="">
      <xdr:nvGraphicFramePr>
        <xdr:cNvPr id="2" name="Grafik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0.35864</cdr:x>
      <cdr:y>0.29243</cdr:y>
    </cdr:from>
    <cdr:to>
      <cdr:x>0.49599</cdr:x>
      <cdr:y>0.3588</cdr:y>
    </cdr:to>
    <cdr:sp macro="" textlink="">
      <cdr:nvSpPr>
        <cdr:cNvPr id="2" name="Metin kutusu 1"/>
        <cdr:cNvSpPr txBox="1"/>
      </cdr:nvSpPr>
      <cdr:spPr>
        <a:xfrm xmlns:a="http://schemas.openxmlformats.org/drawingml/2006/main">
          <a:off x="3404152" y="1809296"/>
          <a:ext cx="1303720" cy="41063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3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tr-TR" sz="900"/>
            <a:t>VERİLMEYECEK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nizhan(yedek)\Do&#287;an&#231;ay\S&#252;perpoz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Denizhan(yedek)\Do&#287;an&#231;ay\S&#252;perpoz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pm08\SharedDocs\Denizhan(yedek)\Do&#287;an&#231;ay\S&#252;perpoz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hasan\otoprod&#252;kt&#246;r\de&#287;irmendere\tonya\meteor-tonya\METEOROLOJ&#304;K%20VER&#304;LERk&#246;pr&#252;yan&#30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nizhan(yedek)\Do&#287;an&#231;ay\S&#252;perpoz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_HES_Projects\TemelSu\TemelSu-Alkumru\_verilmeyecek__Sedime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elgelerim/rapor/MEHMET%20T&#220;ZEMEN/&#304;&#351;letme%20i&#231;in%20%20su%20ihtiya&#231;lar&#305;%20Kara&#231;ay-Burgular%20%20Gebe&#351;%20H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Documents%20and%20Settings\sayitkoc\Desktop\KUMSU%20AYANLAR-PROJEL&#304;-YEN&#30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enizhan(yedek)/Do&#287;an&#231;ay/S&#252;perpoz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donat\d\Denizhan(yedek)\Do&#287;an&#231;ay\S&#252;perpoz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rv\E\Nadir%20CAN\MASTER%20PLAN\MAN&#304;SA%20&#304;&#199;MESUYU%20PROJES&#304;\dolusavakkk-rout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teftis8/LOCALS~1/Temp/Rar$DI00.468/Dosyalar&#305;m/BUGRA_h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gruserver\d\Denizhan(yedek)\Do&#287;an&#231;ay\S&#252;perpoz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RAFET\HAF&#304;K%20&#214;ZEN%20SULAMASI\B&#304;TK&#304;%20SU+&#304;&#350;LETME\PLAN-&#214;ZEN-SULA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Belgelerim/rapor/H.CO&#350;KUN/E&#350;EN%20KARA&#199;AY%20BURGULAR(GEBE&#350;)%20HES%20PROJES&#304;%20H&#304;DROLOJ&#304;%20PLANLAMA%20RAPORU-II/KARA&#199;AY%20GRAG&#304;K%20VE%20TABLOLAR/&#304;&#351;letme%20i&#231;in%20%20su%20ihtiya&#231;lar&#305;%20Kara&#231;ay-Burgular%20%20Gebe&#351;%20H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izhan\d\Denizhan(yedek)\&#304;kisu-Dereli-&#199;&#305;rakdam&#305;\Ak&#305;mlardan%20Dolay&#305;%20Revize\&#199;&#305;rakdam&#305;%20Fizibilite%20Raporu\Tablolar%20(B&#246;l&#252;m%204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_HES_Projects\OA\OA_Alkumru\SuTemini-O\AylikAkimla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_HES_Projects\OA\OA_Polat\Qpik\Bolgese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RAFET-10.09.2007\6-NEVRUZ\1-a-&#214;N%20RAPOR\1-aaa-TASLAK%20RAPOR\3-c-Bitki-SU-NEVRUZ-TAMAM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FET-10.09.2007\1-&#350;ARKI&#350;LA-KANAK-M&#220;SVEDDE\3-a%20B&#304;TK&#304;%20SU%20+%20&#304;&#350;LETME\3.3.1-Bitki-SU-DAMLAMA-KANAK-29.08-denem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&#287;ru\sayit\Denizhan(yedek)\Do&#287;an&#231;ay\S&#252;perpoz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Fizibiliteler\Aslanc&#305;k\Emin\Enerji&#304;&#351;letme(Aslanc&#305;k_Mevcut_Teklif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Documents%20and%20Settings\lkaynar\Desktop\MAKESENS_1_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FBSRV\Root\_HES_Projects\OA\OA_Alkumru\Meteor\Buharlasmala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ayitkoc\Desktop\KUMSU%20AYANLAR-PROJEL&#304;-YEN&#30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zsrv\Server_D\BerkErisen\fizibiliteler\alkumru\son%20rapor+pdf\dolusavak\SerbestDolusavakRouting_ki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zu_soytekin1\payla&#351;&#305;m\Denizhan(yedek)\&#304;kisu-Dereli-&#199;&#305;rakdam&#305;\Ak&#305;mlardan%20Dolay&#305;%20Revize\&#199;&#305;rakdam&#305;%20Fizibilite%20Raporu\Tablolar%20(B&#246;l&#252;m%204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gruserver\d\Yeni\BOLAMAN\iklim\ToplamYa&#287;&#305;&#35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gruserver\d\Yeni\BOLAMAN\iklim\Ayl&#305;kOrtS&#305;cakl&#305;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zsrv\server_d\Yeni\BOLAMAN\iklim\Ayl&#305;kOrtS&#305;cakl&#305;k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PALYE%20MUHENDISLIK/PROJELER/MARMARA%20MASTER%20PLAN/TASKIN%20HESAPLARI/KAYNARCA%20BRJ%20KOT-HAC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</sheet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AĞIŞ"/>
      <sheetName val="SICAKLIK"/>
      <sheetName val="BUHARLAŞMA"/>
      <sheetName val="RÜZGAR VE BAĞIL NEM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diment-O"/>
      <sheetName val="Sediment-T"/>
    </sheetNames>
    <sheetDataSet>
      <sheetData sheetId="0">
        <row r="13">
          <cell r="C13">
            <v>0.2</v>
          </cell>
        </row>
        <row r="17">
          <cell r="C17">
            <v>3.9100000000000003E-2</v>
          </cell>
        </row>
        <row r="18">
          <cell r="C18">
            <v>0.76910000000000001</v>
          </cell>
        </row>
        <row r="22">
          <cell r="C22">
            <v>6.2106000000000003</v>
          </cell>
        </row>
        <row r="23">
          <cell r="C23">
            <v>1.3605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era CIKTI"/>
      <sheetName val="tarla CIKTI"/>
      <sheetName val="Tablo -1"/>
      <sheetName val="Tablo-2-3"/>
      <sheetName val="Tablo-2-3 (2)"/>
      <sheetName val="Tablo -4 "/>
      <sheetName val="Sayfa3"/>
      <sheetName val="T-5 PAL-ÇAV-OVA SULAMA"/>
      <sheetName val="Tablo3.44"/>
      <sheetName val="Tablo3.45"/>
      <sheetName val="Tablo3.46"/>
      <sheetName val="Tablo3.37"/>
      <sheetName val="Tablo 3.36"/>
      <sheetName val="Tablo3.42"/>
      <sheetName val="Tablo3.43"/>
      <sheetName val="Tablo 3.3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gir"/>
      <sheetName val="CIKTI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</sheetNames>
    <sheetDataSet>
      <sheetData sheetId="0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  <sheetName val="139.5100DEV"/>
      <sheetName val="00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LLANIM"/>
      <sheetName val="Bilgi"/>
      <sheetName val="Giriş Hidrografı"/>
      <sheetName val="Hacim-Satıh"/>
      <sheetName val="DeşarjEğrisi"/>
      <sheetName val="Ho Hesabı"/>
      <sheetName val="Sheet1"/>
      <sheetName val="Routing"/>
      <sheetName val="Taşkın Öteleme"/>
      <sheetName val="Co Hesabı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">
          <cell r="G2">
            <v>1</v>
          </cell>
          <cell r="H2">
            <v>0</v>
          </cell>
          <cell r="J2">
            <v>7</v>
          </cell>
        </row>
        <row r="3">
          <cell r="G3">
            <v>2</v>
          </cell>
          <cell r="H3">
            <v>0.5</v>
          </cell>
          <cell r="J3">
            <v>8.2350542700800524</v>
          </cell>
        </row>
        <row r="4">
          <cell r="G4">
            <v>3</v>
          </cell>
          <cell r="H4">
            <v>1</v>
          </cell>
          <cell r="J4">
            <v>13.171268631325546</v>
          </cell>
        </row>
        <row r="5">
          <cell r="G5">
            <v>4</v>
          </cell>
          <cell r="H5">
            <v>1.5</v>
          </cell>
          <cell r="J5">
            <v>20.165462029473936</v>
          </cell>
        </row>
        <row r="6">
          <cell r="G6">
            <v>5</v>
          </cell>
          <cell r="H6">
            <v>2</v>
          </cell>
          <cell r="J6">
            <v>30.036556512273357</v>
          </cell>
        </row>
        <row r="7">
          <cell r="G7">
            <v>6</v>
          </cell>
          <cell r="H7">
            <v>2.5</v>
          </cell>
          <cell r="J7">
            <v>43.348645619827181</v>
          </cell>
        </row>
        <row r="8">
          <cell r="G8">
            <v>7</v>
          </cell>
          <cell r="H8">
            <v>3</v>
          </cell>
          <cell r="J8">
            <v>61.222762819471846</v>
          </cell>
        </row>
        <row r="9">
          <cell r="G9">
            <v>8</v>
          </cell>
          <cell r="H9">
            <v>3.5</v>
          </cell>
          <cell r="J9">
            <v>80.725792058226176</v>
          </cell>
        </row>
        <row r="10">
          <cell r="G10">
            <v>9</v>
          </cell>
          <cell r="H10">
            <v>4</v>
          </cell>
          <cell r="J10">
            <v>98.407768987100468</v>
          </cell>
        </row>
        <row r="11">
          <cell r="G11">
            <v>10</v>
          </cell>
          <cell r="H11">
            <v>4.5</v>
          </cell>
          <cell r="J11">
            <v>115.57854375293989</v>
          </cell>
        </row>
        <row r="12">
          <cell r="G12">
            <v>11</v>
          </cell>
          <cell r="H12">
            <v>5</v>
          </cell>
          <cell r="J12">
            <v>132.46366316921387</v>
          </cell>
        </row>
        <row r="13">
          <cell r="G13">
            <v>12</v>
          </cell>
          <cell r="H13">
            <v>5.5</v>
          </cell>
          <cell r="J13">
            <v>146.64567145649573</v>
          </cell>
        </row>
        <row r="14">
          <cell r="G14">
            <v>13</v>
          </cell>
          <cell r="H14">
            <v>6</v>
          </cell>
          <cell r="J14">
            <v>156.27292980783258</v>
          </cell>
        </row>
        <row r="15">
          <cell r="G15">
            <v>14</v>
          </cell>
          <cell r="H15">
            <v>6.5</v>
          </cell>
          <cell r="J15">
            <v>163.87684598784114</v>
          </cell>
        </row>
        <row r="16">
          <cell r="G16">
            <v>15</v>
          </cell>
          <cell r="H16">
            <v>7</v>
          </cell>
          <cell r="J16">
            <v>170.19849401931182</v>
          </cell>
        </row>
        <row r="17">
          <cell r="G17">
            <v>16</v>
          </cell>
          <cell r="H17">
            <v>7.5</v>
          </cell>
          <cell r="J17">
            <v>174.2</v>
          </cell>
        </row>
        <row r="18">
          <cell r="G18">
            <v>17</v>
          </cell>
          <cell r="H18">
            <v>8</v>
          </cell>
          <cell r="J18">
            <v>173.30044065167843</v>
          </cell>
        </row>
        <row r="19">
          <cell r="G19">
            <v>18</v>
          </cell>
          <cell r="H19">
            <v>8.5</v>
          </cell>
          <cell r="J19">
            <v>172.76018273643959</v>
          </cell>
        </row>
        <row r="20">
          <cell r="G20">
            <v>19</v>
          </cell>
          <cell r="H20">
            <v>9</v>
          </cell>
          <cell r="J20">
            <v>170.73143518577564</v>
          </cell>
        </row>
        <row r="21">
          <cell r="G21">
            <v>20</v>
          </cell>
          <cell r="H21">
            <v>9.5</v>
          </cell>
          <cell r="J21">
            <v>168.16789364400142</v>
          </cell>
        </row>
        <row r="22">
          <cell r="G22">
            <v>21</v>
          </cell>
          <cell r="H22">
            <v>10</v>
          </cell>
          <cell r="J22">
            <v>161.83880952488133</v>
          </cell>
        </row>
        <row r="23">
          <cell r="G23">
            <v>22</v>
          </cell>
          <cell r="H23">
            <v>10.5</v>
          </cell>
          <cell r="J23">
            <v>156.72516895458958</v>
          </cell>
        </row>
        <row r="24">
          <cell r="G24">
            <v>23</v>
          </cell>
          <cell r="H24">
            <v>11</v>
          </cell>
          <cell r="J24">
            <v>150.77767094385672</v>
          </cell>
        </row>
        <row r="25">
          <cell r="G25">
            <v>24</v>
          </cell>
          <cell r="H25">
            <v>11.5</v>
          </cell>
          <cell r="J25">
            <v>145.61022321298299</v>
          </cell>
        </row>
        <row r="26">
          <cell r="G26">
            <v>25</v>
          </cell>
          <cell r="H26">
            <v>12</v>
          </cell>
          <cell r="J26">
            <v>137.925064215964</v>
          </cell>
        </row>
        <row r="27">
          <cell r="G27">
            <v>26</v>
          </cell>
          <cell r="H27">
            <v>12.5</v>
          </cell>
          <cell r="J27">
            <v>131.78462271628672</v>
          </cell>
        </row>
        <row r="28">
          <cell r="G28">
            <v>27</v>
          </cell>
          <cell r="H28">
            <v>13</v>
          </cell>
          <cell r="J28">
            <v>124.45596075783347</v>
          </cell>
        </row>
        <row r="29">
          <cell r="G29">
            <v>28</v>
          </cell>
          <cell r="H29">
            <v>13.5</v>
          </cell>
          <cell r="J29">
            <v>118.26335268113279</v>
          </cell>
        </row>
        <row r="30">
          <cell r="G30">
            <v>29</v>
          </cell>
          <cell r="H30">
            <v>14</v>
          </cell>
          <cell r="J30">
            <v>109.61186231500363</v>
          </cell>
        </row>
        <row r="31">
          <cell r="G31">
            <v>30</v>
          </cell>
          <cell r="H31">
            <v>14.5</v>
          </cell>
          <cell r="J31">
            <v>101.84751692128573</v>
          </cell>
        </row>
        <row r="32">
          <cell r="G32">
            <v>31</v>
          </cell>
          <cell r="H32">
            <v>15</v>
          </cell>
          <cell r="J32">
            <v>92.763046862634766</v>
          </cell>
        </row>
        <row r="33">
          <cell r="G33">
            <v>32</v>
          </cell>
          <cell r="H33">
            <v>15.5</v>
          </cell>
          <cell r="J33">
            <v>84.70155662381039</v>
          </cell>
        </row>
        <row r="34">
          <cell r="G34">
            <v>33</v>
          </cell>
          <cell r="H34">
            <v>16</v>
          </cell>
          <cell r="J34">
            <v>75.547425242917072</v>
          </cell>
        </row>
        <row r="35">
          <cell r="G35">
            <v>34</v>
          </cell>
          <cell r="H35">
            <v>16.5</v>
          </cell>
          <cell r="J35">
            <v>67.634172127894999</v>
          </cell>
        </row>
        <row r="36">
          <cell r="G36">
            <v>35</v>
          </cell>
          <cell r="H36">
            <v>17</v>
          </cell>
          <cell r="J36">
            <v>59.534438254915457</v>
          </cell>
        </row>
        <row r="37">
          <cell r="G37">
            <v>36</v>
          </cell>
          <cell r="H37">
            <v>17.5</v>
          </cell>
          <cell r="J37">
            <v>53.030811145673532</v>
          </cell>
        </row>
        <row r="38">
          <cell r="G38">
            <v>37</v>
          </cell>
          <cell r="H38">
            <v>18</v>
          </cell>
          <cell r="J38">
            <v>46.682911405673778</v>
          </cell>
        </row>
        <row r="39">
          <cell r="G39">
            <v>38</v>
          </cell>
          <cell r="H39">
            <v>18.5</v>
          </cell>
          <cell r="J39">
            <v>41.679776921668129</v>
          </cell>
        </row>
        <row r="40">
          <cell r="G40">
            <v>39</v>
          </cell>
          <cell r="H40">
            <v>19</v>
          </cell>
          <cell r="J40">
            <v>36.70623935767221</v>
          </cell>
        </row>
        <row r="41">
          <cell r="G41">
            <v>40</v>
          </cell>
          <cell r="H41">
            <v>19.5</v>
          </cell>
          <cell r="J41">
            <v>32.947848239041733</v>
          </cell>
        </row>
        <row r="42">
          <cell r="G42">
            <v>41</v>
          </cell>
          <cell r="H42">
            <v>20</v>
          </cell>
          <cell r="J42">
            <v>29.482315829799255</v>
          </cell>
        </row>
        <row r="43">
          <cell r="G43">
            <v>42</v>
          </cell>
          <cell r="H43">
            <v>20.5</v>
          </cell>
          <cell r="J43">
            <v>26.67490198017142</v>
          </cell>
        </row>
        <row r="44">
          <cell r="G44">
            <v>43</v>
          </cell>
          <cell r="H44">
            <v>21</v>
          </cell>
          <cell r="J44">
            <v>23.887115532538949</v>
          </cell>
        </row>
        <row r="45">
          <cell r="G45">
            <v>44</v>
          </cell>
          <cell r="H45">
            <v>21.5</v>
          </cell>
          <cell r="J45">
            <v>21.677964948226595</v>
          </cell>
        </row>
        <row r="46">
          <cell r="G46">
            <v>45</v>
          </cell>
          <cell r="H46">
            <v>22</v>
          </cell>
          <cell r="J46">
            <v>19.711884493083438</v>
          </cell>
        </row>
        <row r="47">
          <cell r="G47">
            <v>46</v>
          </cell>
          <cell r="H47">
            <v>22.5</v>
          </cell>
          <cell r="J47">
            <v>18.08908773118635</v>
          </cell>
        </row>
        <row r="48">
          <cell r="G48">
            <v>47</v>
          </cell>
          <cell r="H48">
            <v>23</v>
          </cell>
          <cell r="J48">
            <v>16.540454163133177</v>
          </cell>
        </row>
        <row r="49">
          <cell r="G49">
            <v>48</v>
          </cell>
          <cell r="H49">
            <v>23.5</v>
          </cell>
          <cell r="J49">
            <v>15.283042863732813</v>
          </cell>
        </row>
        <row r="50">
          <cell r="G50">
            <v>49</v>
          </cell>
          <cell r="H50">
            <v>24</v>
          </cell>
          <cell r="J50">
            <v>14.183555671732005</v>
          </cell>
        </row>
        <row r="51">
          <cell r="G51">
            <v>50</v>
          </cell>
          <cell r="H51"/>
          <cell r="J51"/>
        </row>
        <row r="52">
          <cell r="G52">
            <v>51</v>
          </cell>
          <cell r="H52"/>
          <cell r="J52"/>
        </row>
        <row r="53">
          <cell r="G53">
            <v>52</v>
          </cell>
          <cell r="H53"/>
          <cell r="J53"/>
        </row>
        <row r="54">
          <cell r="G54">
            <v>53</v>
          </cell>
          <cell r="H54"/>
          <cell r="J54"/>
        </row>
        <row r="55">
          <cell r="G55">
            <v>54</v>
          </cell>
          <cell r="H55"/>
          <cell r="J55"/>
        </row>
        <row r="56">
          <cell r="G56">
            <v>55</v>
          </cell>
          <cell r="H56"/>
          <cell r="J56"/>
        </row>
        <row r="57">
          <cell r="G57">
            <v>56</v>
          </cell>
          <cell r="H57"/>
          <cell r="J57"/>
        </row>
        <row r="58">
          <cell r="G58">
            <v>57</v>
          </cell>
          <cell r="H58"/>
          <cell r="J58"/>
        </row>
        <row r="59">
          <cell r="G59">
            <v>58</v>
          </cell>
          <cell r="H59"/>
          <cell r="J59"/>
        </row>
        <row r="60">
          <cell r="G60">
            <v>59</v>
          </cell>
          <cell r="H60"/>
          <cell r="J60"/>
        </row>
        <row r="61">
          <cell r="G61">
            <v>60</v>
          </cell>
          <cell r="H61"/>
          <cell r="J61"/>
        </row>
        <row r="62">
          <cell r="G62">
            <v>61</v>
          </cell>
          <cell r="H62"/>
          <cell r="J62"/>
        </row>
        <row r="63">
          <cell r="G63">
            <v>62</v>
          </cell>
          <cell r="H63"/>
          <cell r="J63"/>
        </row>
        <row r="64">
          <cell r="G64">
            <v>63</v>
          </cell>
          <cell r="H64"/>
          <cell r="J64"/>
        </row>
        <row r="65">
          <cell r="G65">
            <v>64</v>
          </cell>
          <cell r="H65"/>
          <cell r="J65"/>
        </row>
        <row r="66">
          <cell r="G66">
            <v>65</v>
          </cell>
          <cell r="H66"/>
          <cell r="J66"/>
        </row>
        <row r="67">
          <cell r="G67">
            <v>66</v>
          </cell>
          <cell r="H67"/>
          <cell r="J67"/>
        </row>
        <row r="68">
          <cell r="G68">
            <v>67</v>
          </cell>
          <cell r="H68"/>
          <cell r="J68"/>
        </row>
        <row r="69">
          <cell r="G69">
            <v>68</v>
          </cell>
          <cell r="H69"/>
          <cell r="J69"/>
        </row>
        <row r="70">
          <cell r="G70">
            <v>69</v>
          </cell>
          <cell r="H70"/>
          <cell r="J70"/>
        </row>
        <row r="71">
          <cell r="G71">
            <v>70</v>
          </cell>
          <cell r="H71"/>
          <cell r="J71"/>
        </row>
        <row r="72">
          <cell r="G72">
            <v>71</v>
          </cell>
          <cell r="H72"/>
          <cell r="J72"/>
        </row>
        <row r="73">
          <cell r="G73">
            <v>72</v>
          </cell>
          <cell r="H73"/>
          <cell r="J73"/>
        </row>
        <row r="74">
          <cell r="G74">
            <v>73</v>
          </cell>
          <cell r="H74"/>
          <cell r="J74"/>
        </row>
        <row r="75">
          <cell r="G75">
            <v>74</v>
          </cell>
          <cell r="H75"/>
          <cell r="J75"/>
        </row>
        <row r="76">
          <cell r="G76">
            <v>75</v>
          </cell>
          <cell r="H76"/>
          <cell r="J76"/>
        </row>
        <row r="77">
          <cell r="G77">
            <v>76</v>
          </cell>
          <cell r="H77"/>
          <cell r="J77"/>
        </row>
        <row r="78">
          <cell r="G78">
            <v>77</v>
          </cell>
          <cell r="H78"/>
          <cell r="J78"/>
        </row>
        <row r="79">
          <cell r="G79">
            <v>78</v>
          </cell>
          <cell r="H79"/>
          <cell r="J79"/>
        </row>
        <row r="80">
          <cell r="G80">
            <v>79</v>
          </cell>
          <cell r="H80"/>
          <cell r="J80"/>
        </row>
        <row r="81">
          <cell r="G81">
            <v>80</v>
          </cell>
          <cell r="H81"/>
          <cell r="J81"/>
        </row>
        <row r="82">
          <cell r="G82">
            <v>81</v>
          </cell>
          <cell r="H82"/>
          <cell r="J82"/>
        </row>
        <row r="83">
          <cell r="G83">
            <v>82</v>
          </cell>
          <cell r="H83"/>
          <cell r="J83"/>
        </row>
        <row r="84">
          <cell r="G84">
            <v>83</v>
          </cell>
          <cell r="H84"/>
          <cell r="J84"/>
        </row>
        <row r="85">
          <cell r="G85">
            <v>84</v>
          </cell>
          <cell r="H85"/>
          <cell r="J85"/>
        </row>
        <row r="86">
          <cell r="G86">
            <v>85</v>
          </cell>
          <cell r="H86"/>
          <cell r="J86"/>
        </row>
        <row r="87">
          <cell r="G87">
            <v>86</v>
          </cell>
          <cell r="H87"/>
          <cell r="J87"/>
        </row>
        <row r="88">
          <cell r="G88">
            <v>87</v>
          </cell>
          <cell r="H88"/>
          <cell r="J88"/>
        </row>
        <row r="89">
          <cell r="G89">
            <v>88</v>
          </cell>
          <cell r="H89"/>
          <cell r="J89"/>
        </row>
        <row r="90">
          <cell r="G90">
            <v>89</v>
          </cell>
          <cell r="H90"/>
          <cell r="J90"/>
        </row>
        <row r="91">
          <cell r="G91">
            <v>90</v>
          </cell>
          <cell r="H91"/>
          <cell r="J91"/>
        </row>
        <row r="92">
          <cell r="G92">
            <v>91</v>
          </cell>
          <cell r="H92"/>
          <cell r="J92"/>
        </row>
        <row r="93">
          <cell r="G93">
            <v>92</v>
          </cell>
          <cell r="H93"/>
          <cell r="J93"/>
        </row>
        <row r="94">
          <cell r="G94">
            <v>93</v>
          </cell>
          <cell r="H94"/>
          <cell r="J94"/>
        </row>
        <row r="95">
          <cell r="G95">
            <v>94</v>
          </cell>
          <cell r="H95"/>
          <cell r="J95"/>
        </row>
        <row r="96">
          <cell r="G96">
            <v>95</v>
          </cell>
          <cell r="H96"/>
          <cell r="J96"/>
        </row>
        <row r="97">
          <cell r="G97">
            <v>96</v>
          </cell>
          <cell r="H97"/>
          <cell r="J97"/>
        </row>
        <row r="98">
          <cell r="G98">
            <v>97</v>
          </cell>
          <cell r="H98"/>
          <cell r="J98"/>
        </row>
        <row r="99">
          <cell r="G99">
            <v>98</v>
          </cell>
          <cell r="H99"/>
          <cell r="J99"/>
        </row>
        <row r="100">
          <cell r="G100">
            <v>99</v>
          </cell>
          <cell r="H100"/>
          <cell r="J100"/>
        </row>
        <row r="101">
          <cell r="G101">
            <v>100</v>
          </cell>
          <cell r="H101"/>
          <cell r="J101"/>
        </row>
        <row r="102">
          <cell r="G102">
            <v>101</v>
          </cell>
          <cell r="H102"/>
          <cell r="J102"/>
        </row>
        <row r="103">
          <cell r="G103">
            <v>102</v>
          </cell>
          <cell r="H103"/>
          <cell r="J103"/>
        </row>
        <row r="104">
          <cell r="G104">
            <v>103</v>
          </cell>
          <cell r="H104"/>
          <cell r="J104"/>
        </row>
        <row r="105">
          <cell r="G105">
            <v>104</v>
          </cell>
          <cell r="H105"/>
          <cell r="J105"/>
        </row>
        <row r="106">
          <cell r="G106">
            <v>105</v>
          </cell>
          <cell r="H106"/>
          <cell r="J106"/>
        </row>
        <row r="107">
          <cell r="G107">
            <v>106</v>
          </cell>
          <cell r="H107"/>
          <cell r="J107"/>
        </row>
        <row r="108">
          <cell r="G108">
            <v>107</v>
          </cell>
          <cell r="H108"/>
          <cell r="J108"/>
        </row>
        <row r="109">
          <cell r="G109">
            <v>108</v>
          </cell>
          <cell r="H109"/>
          <cell r="J109"/>
        </row>
        <row r="110">
          <cell r="G110">
            <v>109</v>
          </cell>
          <cell r="H110"/>
          <cell r="J110"/>
        </row>
        <row r="111">
          <cell r="G111">
            <v>110</v>
          </cell>
          <cell r="H111"/>
          <cell r="J111"/>
        </row>
        <row r="112">
          <cell r="G112">
            <v>111</v>
          </cell>
          <cell r="H112"/>
          <cell r="J112"/>
        </row>
        <row r="113">
          <cell r="G113">
            <v>112</v>
          </cell>
          <cell r="H113"/>
          <cell r="J113"/>
        </row>
        <row r="114">
          <cell r="G114">
            <v>113</v>
          </cell>
          <cell r="H114"/>
          <cell r="J114"/>
        </row>
        <row r="115">
          <cell r="G115">
            <v>114</v>
          </cell>
          <cell r="H115"/>
          <cell r="J115"/>
        </row>
        <row r="116">
          <cell r="G116">
            <v>115</v>
          </cell>
          <cell r="H116"/>
          <cell r="J116"/>
        </row>
        <row r="117">
          <cell r="G117">
            <v>116</v>
          </cell>
          <cell r="H117"/>
          <cell r="J117"/>
        </row>
        <row r="118">
          <cell r="G118">
            <v>117</v>
          </cell>
          <cell r="H118"/>
          <cell r="J118"/>
        </row>
        <row r="119">
          <cell r="G119">
            <v>118</v>
          </cell>
          <cell r="H119"/>
          <cell r="J119"/>
        </row>
        <row r="120">
          <cell r="G120">
            <v>119</v>
          </cell>
          <cell r="H120"/>
          <cell r="J120"/>
        </row>
        <row r="121">
          <cell r="G121">
            <v>120</v>
          </cell>
          <cell r="H121"/>
          <cell r="J121"/>
        </row>
        <row r="122">
          <cell r="G122">
            <v>121</v>
          </cell>
          <cell r="H122"/>
          <cell r="J122"/>
        </row>
        <row r="123">
          <cell r="G123">
            <v>122</v>
          </cell>
          <cell r="H123"/>
          <cell r="J123"/>
        </row>
        <row r="124">
          <cell r="G124">
            <v>123</v>
          </cell>
          <cell r="H124"/>
          <cell r="J124"/>
        </row>
        <row r="125">
          <cell r="G125">
            <v>124</v>
          </cell>
          <cell r="H125"/>
          <cell r="J125"/>
        </row>
        <row r="126">
          <cell r="G126">
            <v>125</v>
          </cell>
          <cell r="H126"/>
          <cell r="J126"/>
        </row>
        <row r="127">
          <cell r="G127">
            <v>126</v>
          </cell>
          <cell r="H127"/>
          <cell r="J127"/>
        </row>
        <row r="128">
          <cell r="G128">
            <v>127</v>
          </cell>
          <cell r="H128"/>
          <cell r="J128"/>
        </row>
        <row r="129">
          <cell r="G129">
            <v>128</v>
          </cell>
          <cell r="H129"/>
          <cell r="J129"/>
        </row>
        <row r="130">
          <cell r="G130">
            <v>129</v>
          </cell>
          <cell r="H130"/>
          <cell r="J130"/>
        </row>
        <row r="131">
          <cell r="G131">
            <v>130</v>
          </cell>
          <cell r="H131"/>
          <cell r="J131"/>
        </row>
        <row r="132">
          <cell r="G132">
            <v>131</v>
          </cell>
          <cell r="H132"/>
          <cell r="J132"/>
        </row>
        <row r="133">
          <cell r="G133">
            <v>132</v>
          </cell>
          <cell r="H133"/>
          <cell r="J133"/>
        </row>
        <row r="134">
          <cell r="G134">
            <v>133</v>
          </cell>
          <cell r="H134"/>
          <cell r="J134"/>
        </row>
        <row r="135">
          <cell r="G135">
            <v>134</v>
          </cell>
          <cell r="H135"/>
          <cell r="J135"/>
        </row>
        <row r="136">
          <cell r="G136">
            <v>135</v>
          </cell>
          <cell r="H136"/>
          <cell r="J136"/>
        </row>
        <row r="137">
          <cell r="G137">
            <v>136</v>
          </cell>
          <cell r="H137"/>
          <cell r="J137"/>
        </row>
        <row r="138">
          <cell r="G138">
            <v>137</v>
          </cell>
          <cell r="H138"/>
          <cell r="J138"/>
        </row>
        <row r="139">
          <cell r="G139">
            <v>138</v>
          </cell>
          <cell r="H139"/>
          <cell r="J139"/>
        </row>
        <row r="140">
          <cell r="G140">
            <v>139</v>
          </cell>
          <cell r="H140"/>
          <cell r="J140"/>
        </row>
        <row r="141">
          <cell r="G141">
            <v>140</v>
          </cell>
          <cell r="H141"/>
          <cell r="J141"/>
        </row>
        <row r="142">
          <cell r="G142">
            <v>141</v>
          </cell>
          <cell r="H142"/>
          <cell r="J142"/>
        </row>
        <row r="143">
          <cell r="G143">
            <v>142</v>
          </cell>
          <cell r="H143"/>
          <cell r="J143"/>
        </row>
        <row r="144">
          <cell r="G144">
            <v>143</v>
          </cell>
          <cell r="H144"/>
          <cell r="J144"/>
        </row>
        <row r="145">
          <cell r="G145">
            <v>144</v>
          </cell>
          <cell r="H145"/>
          <cell r="J145"/>
        </row>
        <row r="146">
          <cell r="G146">
            <v>145</v>
          </cell>
          <cell r="H146"/>
          <cell r="J146"/>
        </row>
        <row r="147">
          <cell r="G147">
            <v>146</v>
          </cell>
          <cell r="H147"/>
          <cell r="J147"/>
        </row>
        <row r="148">
          <cell r="G148">
            <v>147</v>
          </cell>
          <cell r="H148"/>
          <cell r="J148"/>
        </row>
      </sheetData>
      <sheetData sheetId="7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fen_hes (2)"/>
      <sheetName val="tefen_hes"/>
      <sheetName val="bartın-hes"/>
      <sheetName val="bartın-hes (2)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</sheetNames>
    <sheetDataSet>
      <sheetData sheetId="0"/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RAJ"/>
      <sheetName val="KEŞİF"/>
      <sheetName val="Yağmur_Keşfi"/>
      <sheetName val="Kanal_Keşfi"/>
      <sheetName val="TopKEŞİF"/>
      <sheetName val="BÖLÜM E"/>
      <sheetName val="Maliyet"/>
      <sheetName val="Bölüm1,2,7,9"/>
      <sheetName val="DolMetraj"/>
      <sheetName val="DipMetraj"/>
      <sheetName val="İnş.Sür"/>
      <sheetName val="Dipsavak"/>
      <sheetName val="DİP_GRAFİK"/>
      <sheetName val="VANA ODASI"/>
      <sheetName val="TABLO"/>
      <sheetName val="HACSAT_GRAFİK (2)"/>
      <sheetName val="Dml"/>
      <sheetName val="HACSAT_GRAFİK"/>
      <sheetName val="Damla"/>
      <sheetName val="Al.bsnç."/>
      <sheetName val="C-D Randıman"/>
      <sheetName val="KAR (2)"/>
      <sheetName val="BitkiSuHesabı"/>
      <sheetName val="BitkiSuTablolar"/>
      <sheetName val="YağSuMet"/>
      <sheetName val="POZLAR"/>
      <sheetName val="ATÜLER"/>
      <sheetName val="SULAMA"/>
      <sheetName val="DERİVASYON"/>
      <sheetName val="GEREÇ DAĞIL. ŞEMASI"/>
      <sheetName val="Kaya"/>
      <sheetName val="Geçirimli"/>
      <sheetName val="Geçirimsiz"/>
      <sheetName val="BİRİM_FİYAT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era CIKTI"/>
      <sheetName val="tarla CIKTI"/>
      <sheetName val="Tablo -1"/>
      <sheetName val="Tablo-2-3"/>
      <sheetName val="Tablo-2-3 (2)"/>
      <sheetName val="Tablo -4 "/>
      <sheetName val="Sayfa3"/>
      <sheetName val="T-5 PAL-ÇAV-OVA SULAMA"/>
      <sheetName val="Tablo3.44"/>
      <sheetName val="Tablo3.45"/>
      <sheetName val="Tablo3.46"/>
      <sheetName val="Tablo3.37"/>
      <sheetName val="Tablo 3.36"/>
      <sheetName val="Tablo3.42"/>
      <sheetName val="Tablo3.43"/>
      <sheetName val="Tablo 3.3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Şekil 4.1"/>
      <sheetName val="Şekil 4.2-3"/>
      <sheetName val="Tablo 4.1 4.2"/>
      <sheetName val="Tablo 4.3"/>
      <sheetName val="Tablo 4.4"/>
      <sheetName val="Tablo 4.5"/>
      <sheetName val="Tablo 4.6"/>
      <sheetName val="Tablo 4.8"/>
      <sheetName val="Tablo 4.9"/>
      <sheetName val="Tablo 4.10"/>
      <sheetName val="Tablo 4.11"/>
      <sheetName val="Tablo 4.12"/>
      <sheetName val="Tablo 4.13"/>
      <sheetName val="Tablo 4.14"/>
      <sheetName val="Tablo 4.15-1"/>
      <sheetName val="Tablo 4.15-2"/>
      <sheetName val="Tablo 4.15-3"/>
      <sheetName val="Tablo 4.15-4"/>
      <sheetName val="Tablo 4.15-5"/>
      <sheetName val="Tablo 4.15-6"/>
      <sheetName val="Tablo 4.15-7"/>
      <sheetName val="Tablo 4.15-8"/>
      <sheetName val="Tablo 4.15-9"/>
      <sheetName val="Tablo 4.15-10"/>
      <sheetName val="Tablo 4.15-11"/>
      <sheetName val="Tablo 4.15-12"/>
      <sheetName val="Tablo 4.15-13"/>
      <sheetName val="Tablo 4.15-14"/>
      <sheetName val="Tablo 4.15-15"/>
      <sheetName val="Tablo 4.15-16"/>
      <sheetName val="Tablo 4.15-17"/>
      <sheetName val="Tablo 4.15-18"/>
      <sheetName val="Tablo 4.15-19"/>
      <sheetName val="Tablo 4.15-20"/>
      <sheetName val="Tablo 4.15-21"/>
      <sheetName val="Tablo 4.15-22"/>
      <sheetName val="Tablo 4.15-23"/>
      <sheetName val="Tablo 4.15-24"/>
      <sheetName val="Tablo 4.15-25"/>
      <sheetName val="Tablo 4.15-26"/>
      <sheetName val="Tablo 4.15-27"/>
      <sheetName val="Tablo 4.15-28"/>
      <sheetName val="Tablo 4.15-29"/>
      <sheetName val="Tablo 4.15-30"/>
      <sheetName val="Tablo 4.15-31"/>
      <sheetName val="Tablo 4.15-32"/>
      <sheetName val="Tablo 4.15-33"/>
      <sheetName val="Tablo 4.15-34"/>
      <sheetName val="Tablo 4.15-35"/>
      <sheetName val="Tablo 4.15-36"/>
      <sheetName val="Tablo 4.15-37"/>
      <sheetName val="Tablo 4.15-38"/>
      <sheetName val="Tablo 4.15-39"/>
      <sheetName val="Tablo 4.15-40"/>
      <sheetName val="Tablo 4.15-41"/>
      <sheetName val="Tablo 4.16"/>
      <sheetName val="Tablo 4.17"/>
      <sheetName val="Tablo 4.18"/>
      <sheetName val="Tablo 4.19"/>
      <sheetName val="Tablo 4.19 (ham)"/>
      <sheetName val="Tablo 4.21"/>
      <sheetName val="Tablo 4.22"/>
      <sheetName val="Tablo 4.23"/>
      <sheetName val="Tablo 4.24"/>
      <sheetName val="Tablo 4.25"/>
      <sheetName val="Tablo 4.26"/>
      <sheetName val="Tablo 4.27"/>
      <sheetName val="Şekil 4.4"/>
      <sheetName val="Şekil 4.5"/>
      <sheetName val="Tablo 4.30"/>
      <sheetName val="Tablo 4.31"/>
      <sheetName val="Tablo 4.32"/>
      <sheetName val="Tablo 4.33"/>
      <sheetName val="Tablo 4.34"/>
      <sheetName val="Tablo 4.35"/>
      <sheetName val="Tablo 4.36"/>
      <sheetName val="Şekil 4.6"/>
      <sheetName val="Tablo 4_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>
        <row r="1">
          <cell r="A1" t="str">
            <v>Tablo 4.31</v>
          </cell>
          <cell r="C1" t="str">
            <v>Proje Sahası İçi ve Çevresindeki Yağış Gözlem</v>
          </cell>
        </row>
        <row r="2">
          <cell r="C2" t="str">
            <v>İstasyonlarının Yılda Günlük Maksimum Yağış Değerleri (mm)</v>
          </cell>
        </row>
        <row r="3">
          <cell r="A3" t="str">
            <v>Adı</v>
          </cell>
          <cell r="B3" t="str">
            <v>YAVUZKEMAL</v>
          </cell>
          <cell r="D3" t="str">
            <v>TAMDERE</v>
          </cell>
          <cell r="F3" t="str">
            <v>GİRESUN</v>
          </cell>
          <cell r="H3" t="str">
            <v>KEŞAP</v>
          </cell>
          <cell r="J3" t="str">
            <v>BULANCAK</v>
          </cell>
          <cell r="L3" t="str">
            <v>TİREBOLU</v>
          </cell>
          <cell r="N3" t="str">
            <v>MERYEMANA</v>
          </cell>
        </row>
        <row r="4">
          <cell r="A4" t="str">
            <v>Kot</v>
          </cell>
          <cell r="B4">
            <v>1625</v>
          </cell>
          <cell r="D4">
            <v>1700</v>
          </cell>
          <cell r="F4">
            <v>38</v>
          </cell>
          <cell r="H4">
            <v>30</v>
          </cell>
          <cell r="J4">
            <v>10</v>
          </cell>
          <cell r="L4">
            <v>10</v>
          </cell>
          <cell r="N4">
            <v>1100</v>
          </cell>
        </row>
        <row r="5">
          <cell r="A5" t="str">
            <v>Kur</v>
          </cell>
          <cell r="B5" t="str">
            <v>DMİ</v>
          </cell>
          <cell r="D5" t="str">
            <v>DSİ</v>
          </cell>
          <cell r="F5" t="str">
            <v>DMİ</v>
          </cell>
          <cell r="H5" t="str">
            <v>DMİ</v>
          </cell>
          <cell r="J5" t="str">
            <v>DMİ</v>
          </cell>
          <cell r="L5" t="str">
            <v>DMİ</v>
          </cell>
          <cell r="N5" t="str">
            <v>DMİ</v>
          </cell>
        </row>
        <row r="6">
          <cell r="A6" t="str">
            <v>Yıl</v>
          </cell>
          <cell r="B6" t="str">
            <v>Yeb</v>
          </cell>
          <cell r="C6" t="str">
            <v>g-ay</v>
          </cell>
          <cell r="D6" t="str">
            <v>Yeb</v>
          </cell>
          <cell r="E6" t="str">
            <v>g-ay</v>
          </cell>
          <cell r="F6" t="str">
            <v>Yeb</v>
          </cell>
          <cell r="G6" t="str">
            <v>g-ay</v>
          </cell>
          <cell r="H6" t="str">
            <v>Yeb</v>
          </cell>
          <cell r="I6" t="str">
            <v>g-ay</v>
          </cell>
          <cell r="J6" t="str">
            <v>Yeb</v>
          </cell>
          <cell r="K6" t="str">
            <v>g-ay</v>
          </cell>
          <cell r="L6" t="str">
            <v>Yeb</v>
          </cell>
          <cell r="M6" t="str">
            <v>g-ay</v>
          </cell>
          <cell r="N6" t="str">
            <v>Yeb</v>
          </cell>
          <cell r="O6" t="str">
            <v>g-ay</v>
          </cell>
        </row>
        <row r="7">
          <cell r="A7">
            <v>2002</v>
          </cell>
          <cell r="F7">
            <v>72.599999999999994</v>
          </cell>
        </row>
        <row r="8">
          <cell r="A8">
            <v>2001</v>
          </cell>
          <cell r="F8">
            <v>68</v>
          </cell>
        </row>
        <row r="9">
          <cell r="A9">
            <v>2000</v>
          </cell>
          <cell r="F9">
            <v>68.400000000000006</v>
          </cell>
          <cell r="L9">
            <v>42.5</v>
          </cell>
          <cell r="M9">
            <v>1</v>
          </cell>
        </row>
        <row r="10">
          <cell r="A10">
            <v>1999</v>
          </cell>
          <cell r="F10">
            <v>69.8</v>
          </cell>
          <cell r="L10">
            <v>92.4</v>
          </cell>
          <cell r="M10">
            <v>9</v>
          </cell>
        </row>
        <row r="11">
          <cell r="A11">
            <v>1998</v>
          </cell>
          <cell r="F11">
            <v>62.2</v>
          </cell>
          <cell r="L11">
            <v>108.9</v>
          </cell>
          <cell r="M11">
            <v>12</v>
          </cell>
        </row>
        <row r="12">
          <cell r="A12">
            <v>1997</v>
          </cell>
          <cell r="F12">
            <v>50.4</v>
          </cell>
          <cell r="L12">
            <v>71.2</v>
          </cell>
          <cell r="M12">
            <v>7</v>
          </cell>
        </row>
        <row r="13">
          <cell r="A13">
            <v>1996</v>
          </cell>
          <cell r="F13">
            <v>75.400000000000006</v>
          </cell>
          <cell r="L13">
            <v>59.7</v>
          </cell>
          <cell r="M13">
            <v>10</v>
          </cell>
        </row>
        <row r="14">
          <cell r="A14">
            <v>1995</v>
          </cell>
          <cell r="F14">
            <v>55</v>
          </cell>
          <cell r="L14">
            <v>76.2</v>
          </cell>
          <cell r="M14">
            <v>6</v>
          </cell>
        </row>
        <row r="15">
          <cell r="A15">
            <v>1994</v>
          </cell>
          <cell r="F15">
            <v>70.2</v>
          </cell>
          <cell r="L15">
            <v>82.3</v>
          </cell>
          <cell r="M15">
            <v>10</v>
          </cell>
        </row>
        <row r="16">
          <cell r="A16">
            <v>1993</v>
          </cell>
          <cell r="F16">
            <v>53.1</v>
          </cell>
          <cell r="L16">
            <v>94.4</v>
          </cell>
          <cell r="M16">
            <v>8</v>
          </cell>
        </row>
        <row r="17">
          <cell r="A17">
            <v>1992</v>
          </cell>
          <cell r="F17">
            <v>103.7</v>
          </cell>
          <cell r="L17">
            <v>134.1</v>
          </cell>
          <cell r="M17">
            <v>7</v>
          </cell>
        </row>
        <row r="18">
          <cell r="A18">
            <v>1991</v>
          </cell>
          <cell r="F18">
            <v>72.400000000000006</v>
          </cell>
          <cell r="L18">
            <v>93.5</v>
          </cell>
          <cell r="M18">
            <v>8</v>
          </cell>
        </row>
        <row r="19">
          <cell r="A19">
            <v>1990</v>
          </cell>
          <cell r="F19">
            <v>65.7</v>
          </cell>
          <cell r="L19">
            <v>81.400000000000006</v>
          </cell>
          <cell r="M19">
            <v>6</v>
          </cell>
        </row>
        <row r="20">
          <cell r="A20">
            <v>1989</v>
          </cell>
          <cell r="F20">
            <v>85.8</v>
          </cell>
          <cell r="L20">
            <v>87.6</v>
          </cell>
          <cell r="M20">
            <v>7</v>
          </cell>
        </row>
        <row r="21">
          <cell r="A21">
            <v>1988</v>
          </cell>
          <cell r="F21">
            <v>78.2</v>
          </cell>
          <cell r="L21">
            <v>242.3</v>
          </cell>
          <cell r="M21">
            <v>8</v>
          </cell>
          <cell r="N21">
            <v>40.299999999999997</v>
          </cell>
        </row>
        <row r="22">
          <cell r="A22">
            <v>1987</v>
          </cell>
          <cell r="D22">
            <v>60.4</v>
          </cell>
          <cell r="E22">
            <v>1</v>
          </cell>
          <cell r="F22">
            <v>50.8</v>
          </cell>
          <cell r="H22">
            <v>54.7</v>
          </cell>
          <cell r="I22">
            <v>11</v>
          </cell>
          <cell r="J22">
            <v>40.700000000000003</v>
          </cell>
          <cell r="L22">
            <v>75</v>
          </cell>
          <cell r="M22">
            <v>8</v>
          </cell>
          <cell r="N22">
            <v>42.5</v>
          </cell>
          <cell r="O22">
            <v>1</v>
          </cell>
        </row>
        <row r="23">
          <cell r="A23">
            <v>1986</v>
          </cell>
          <cell r="D23">
            <v>34.5</v>
          </cell>
          <cell r="E23">
            <v>11</v>
          </cell>
          <cell r="F23">
            <v>95.4</v>
          </cell>
          <cell r="H23">
            <v>71.099999999999994</v>
          </cell>
          <cell r="I23">
            <v>11</v>
          </cell>
          <cell r="J23">
            <v>44</v>
          </cell>
          <cell r="L23">
            <v>53.3</v>
          </cell>
          <cell r="M23">
            <v>11</v>
          </cell>
          <cell r="N23">
            <v>32.5</v>
          </cell>
          <cell r="O23">
            <v>1</v>
          </cell>
        </row>
        <row r="24">
          <cell r="A24">
            <v>1985</v>
          </cell>
          <cell r="D24">
            <v>27.2</v>
          </cell>
          <cell r="E24">
            <v>10</v>
          </cell>
          <cell r="F24">
            <v>53.8</v>
          </cell>
          <cell r="J24">
            <v>57.2</v>
          </cell>
          <cell r="L24">
            <v>61.6</v>
          </cell>
          <cell r="M24">
            <v>12</v>
          </cell>
          <cell r="N24">
            <v>47.2</v>
          </cell>
          <cell r="O24">
            <v>6</v>
          </cell>
        </row>
        <row r="25">
          <cell r="A25">
            <v>1984</v>
          </cell>
          <cell r="B25">
            <v>43.1</v>
          </cell>
          <cell r="D25">
            <v>27.8</v>
          </cell>
          <cell r="E25">
            <v>4</v>
          </cell>
          <cell r="F25">
            <v>56.2</v>
          </cell>
          <cell r="L25">
            <v>91</v>
          </cell>
          <cell r="M25">
            <v>10</v>
          </cell>
          <cell r="N25">
            <v>25.8</v>
          </cell>
          <cell r="O25">
            <v>5</v>
          </cell>
        </row>
        <row r="26">
          <cell r="A26">
            <v>1983</v>
          </cell>
          <cell r="B26">
            <v>44.6</v>
          </cell>
          <cell r="D26">
            <v>70.3</v>
          </cell>
          <cell r="E26">
            <v>11</v>
          </cell>
          <cell r="F26">
            <v>53.7</v>
          </cell>
          <cell r="L26">
            <v>86.5</v>
          </cell>
          <cell r="M26">
            <v>7</v>
          </cell>
          <cell r="N26">
            <v>36.200000000000003</v>
          </cell>
          <cell r="O26">
            <v>1</v>
          </cell>
        </row>
        <row r="27">
          <cell r="A27">
            <v>1982</v>
          </cell>
          <cell r="B27">
            <v>38.700000000000003</v>
          </cell>
          <cell r="D27">
            <v>36.700000000000003</v>
          </cell>
          <cell r="E27">
            <v>6</v>
          </cell>
          <cell r="F27">
            <v>50.7</v>
          </cell>
          <cell r="H27">
            <v>66.8</v>
          </cell>
          <cell r="I27">
            <v>10</v>
          </cell>
          <cell r="L27">
            <v>76.8</v>
          </cell>
          <cell r="M27">
            <v>9</v>
          </cell>
          <cell r="N27">
            <v>31</v>
          </cell>
          <cell r="O27">
            <v>7</v>
          </cell>
        </row>
        <row r="28">
          <cell r="A28">
            <v>1981</v>
          </cell>
          <cell r="B28">
            <v>58.7</v>
          </cell>
          <cell r="D28">
            <v>100.8</v>
          </cell>
          <cell r="E28">
            <v>12</v>
          </cell>
          <cell r="F28">
            <v>128.30000000000001</v>
          </cell>
          <cell r="H28">
            <v>108.8</v>
          </cell>
          <cell r="I28">
            <v>10</v>
          </cell>
          <cell r="L28">
            <v>73.7</v>
          </cell>
          <cell r="M28">
            <v>10</v>
          </cell>
          <cell r="N28">
            <v>28</v>
          </cell>
          <cell r="O28">
            <v>10</v>
          </cell>
        </row>
        <row r="29">
          <cell r="A29">
            <v>1980</v>
          </cell>
          <cell r="B29">
            <v>32.700000000000003</v>
          </cell>
          <cell r="D29">
            <v>60.7</v>
          </cell>
          <cell r="E29">
            <v>5</v>
          </cell>
          <cell r="F29">
            <v>47.4</v>
          </cell>
          <cell r="H29">
            <v>57.6</v>
          </cell>
          <cell r="I29">
            <v>6</v>
          </cell>
          <cell r="J29">
            <v>36.799999999999997</v>
          </cell>
          <cell r="L29">
            <v>64.2</v>
          </cell>
          <cell r="M29">
            <v>11</v>
          </cell>
          <cell r="N29">
            <v>31</v>
          </cell>
          <cell r="O29">
            <v>5</v>
          </cell>
        </row>
        <row r="30">
          <cell r="A30">
            <v>1979</v>
          </cell>
          <cell r="B30">
            <v>40.799999999999997</v>
          </cell>
          <cell r="D30">
            <v>41.2</v>
          </cell>
          <cell r="E30">
            <v>11</v>
          </cell>
          <cell r="F30">
            <v>72.900000000000006</v>
          </cell>
          <cell r="H30">
            <v>100.7</v>
          </cell>
          <cell r="I30">
            <v>7</v>
          </cell>
          <cell r="J30">
            <v>57.4</v>
          </cell>
          <cell r="L30">
            <v>92.6</v>
          </cell>
          <cell r="M30">
            <v>5</v>
          </cell>
          <cell r="N30">
            <v>37.200000000000003</v>
          </cell>
          <cell r="O30">
            <v>5</v>
          </cell>
        </row>
        <row r="31">
          <cell r="A31">
            <v>1978</v>
          </cell>
          <cell r="B31">
            <v>42.3</v>
          </cell>
          <cell r="D31">
            <v>46.1</v>
          </cell>
          <cell r="E31">
            <v>3</v>
          </cell>
          <cell r="F31">
            <v>34.5</v>
          </cell>
          <cell r="H31">
            <v>69.8</v>
          </cell>
          <cell r="I31">
            <v>6</v>
          </cell>
          <cell r="J31">
            <v>76.3</v>
          </cell>
          <cell r="L31">
            <v>54.3</v>
          </cell>
          <cell r="M31">
            <v>10</v>
          </cell>
          <cell r="N31">
            <v>32.1</v>
          </cell>
          <cell r="O31">
            <v>6</v>
          </cell>
        </row>
        <row r="32">
          <cell r="A32">
            <v>1977</v>
          </cell>
          <cell r="B32">
            <v>43.8</v>
          </cell>
          <cell r="D32">
            <v>41.3</v>
          </cell>
          <cell r="E32">
            <v>5</v>
          </cell>
          <cell r="F32">
            <v>77</v>
          </cell>
          <cell r="H32">
            <v>66.3</v>
          </cell>
          <cell r="I32">
            <v>12</v>
          </cell>
          <cell r="J32">
            <v>70.400000000000006</v>
          </cell>
          <cell r="L32">
            <v>241.3</v>
          </cell>
          <cell r="M32">
            <v>7</v>
          </cell>
          <cell r="N32">
            <v>26.1</v>
          </cell>
          <cell r="O32">
            <v>10</v>
          </cell>
        </row>
        <row r="33">
          <cell r="A33">
            <v>1976</v>
          </cell>
          <cell r="B33">
            <v>43.2</v>
          </cell>
          <cell r="D33">
            <v>26.2</v>
          </cell>
          <cell r="E33">
            <v>6</v>
          </cell>
          <cell r="F33">
            <v>37.5</v>
          </cell>
          <cell r="H33">
            <v>56.2</v>
          </cell>
          <cell r="I33">
            <v>12</v>
          </cell>
          <cell r="J33">
            <v>42.5</v>
          </cell>
          <cell r="L33">
            <v>181.3</v>
          </cell>
          <cell r="M33">
            <v>8</v>
          </cell>
          <cell r="N33">
            <v>130.9</v>
          </cell>
          <cell r="O33">
            <v>5</v>
          </cell>
        </row>
        <row r="34">
          <cell r="A34">
            <v>1975</v>
          </cell>
          <cell r="B34">
            <v>73.2</v>
          </cell>
          <cell r="D34">
            <v>60.5</v>
          </cell>
          <cell r="E34">
            <v>4</v>
          </cell>
          <cell r="F34">
            <v>49.7</v>
          </cell>
          <cell r="H34">
            <v>71.400000000000006</v>
          </cell>
          <cell r="I34">
            <v>9</v>
          </cell>
          <cell r="L34">
            <v>70</v>
          </cell>
          <cell r="M34">
            <v>9</v>
          </cell>
          <cell r="N34">
            <v>25.5</v>
          </cell>
          <cell r="O34">
            <v>10</v>
          </cell>
        </row>
        <row r="35">
          <cell r="A35">
            <v>1974</v>
          </cell>
          <cell r="B35">
            <v>45.7</v>
          </cell>
          <cell r="D35">
            <v>41.7</v>
          </cell>
          <cell r="E35">
            <v>10</v>
          </cell>
          <cell r="F35">
            <v>61.7</v>
          </cell>
          <cell r="H35">
            <v>91.8</v>
          </cell>
          <cell r="I35">
            <v>11</v>
          </cell>
          <cell r="L35">
            <v>31.3</v>
          </cell>
          <cell r="M35">
            <v>8</v>
          </cell>
        </row>
        <row r="36">
          <cell r="A36">
            <v>1973</v>
          </cell>
          <cell r="B36">
            <v>37.6</v>
          </cell>
          <cell r="D36">
            <v>24.5</v>
          </cell>
          <cell r="E36">
            <v>6</v>
          </cell>
          <cell r="F36">
            <v>63.1</v>
          </cell>
          <cell r="H36">
            <v>61.9</v>
          </cell>
          <cell r="I36">
            <v>10</v>
          </cell>
          <cell r="J36">
            <v>52.5</v>
          </cell>
          <cell r="L36">
            <v>8.67</v>
          </cell>
        </row>
        <row r="37">
          <cell r="A37">
            <v>1972</v>
          </cell>
          <cell r="B37">
            <v>54.2</v>
          </cell>
          <cell r="D37">
            <v>56.6</v>
          </cell>
          <cell r="E37">
            <v>10</v>
          </cell>
          <cell r="F37">
            <v>83.8</v>
          </cell>
          <cell r="H37">
            <v>64.8</v>
          </cell>
          <cell r="I37">
            <v>6</v>
          </cell>
          <cell r="J37">
            <v>98.4</v>
          </cell>
          <cell r="L37">
            <v>6.07</v>
          </cell>
        </row>
        <row r="38">
          <cell r="A38">
            <v>1971</v>
          </cell>
          <cell r="B38">
            <v>41.6</v>
          </cell>
          <cell r="D38">
            <v>29.2</v>
          </cell>
          <cell r="E38">
            <v>10</v>
          </cell>
          <cell r="F38">
            <v>55.9</v>
          </cell>
          <cell r="H38">
            <v>66.2</v>
          </cell>
          <cell r="I38">
            <v>11</v>
          </cell>
          <cell r="J38">
            <v>50.6</v>
          </cell>
          <cell r="L38">
            <v>0</v>
          </cell>
        </row>
        <row r="39">
          <cell r="A39">
            <v>1970</v>
          </cell>
          <cell r="B39">
            <v>34.200000000000003</v>
          </cell>
          <cell r="D39">
            <v>45.9</v>
          </cell>
          <cell r="E39">
            <v>11</v>
          </cell>
          <cell r="F39">
            <v>66.8</v>
          </cell>
          <cell r="H39">
            <v>50.2</v>
          </cell>
          <cell r="I39">
            <v>9</v>
          </cell>
          <cell r="J39">
            <v>38.9</v>
          </cell>
          <cell r="L39">
            <v>62</v>
          </cell>
        </row>
        <row r="40">
          <cell r="A40">
            <v>1969</v>
          </cell>
          <cell r="B40">
            <v>32.1</v>
          </cell>
          <cell r="D40">
            <v>23.7</v>
          </cell>
          <cell r="E40">
            <v>11</v>
          </cell>
          <cell r="F40">
            <v>39.799999999999997</v>
          </cell>
          <cell r="H40">
            <v>58.2</v>
          </cell>
          <cell r="I40">
            <v>7</v>
          </cell>
          <cell r="J40">
            <v>63.5</v>
          </cell>
          <cell r="L40">
            <v>92.3</v>
          </cell>
        </row>
        <row r="41">
          <cell r="A41">
            <v>1968</v>
          </cell>
          <cell r="B41">
            <v>33.799999999999997</v>
          </cell>
          <cell r="D41">
            <v>30.5</v>
          </cell>
          <cell r="E41">
            <v>11</v>
          </cell>
          <cell r="F41">
            <v>98</v>
          </cell>
          <cell r="H41">
            <v>86.5</v>
          </cell>
          <cell r="I41">
            <v>10</v>
          </cell>
          <cell r="J41">
            <v>40.6</v>
          </cell>
          <cell r="L41">
            <v>62.2</v>
          </cell>
        </row>
        <row r="42">
          <cell r="A42">
            <v>1967</v>
          </cell>
          <cell r="B42">
            <v>51.3</v>
          </cell>
          <cell r="D42">
            <v>37.6</v>
          </cell>
          <cell r="E42">
            <v>11</v>
          </cell>
          <cell r="F42">
            <v>61.9</v>
          </cell>
          <cell r="H42">
            <v>131.4</v>
          </cell>
          <cell r="I42">
            <v>8</v>
          </cell>
          <cell r="J42">
            <v>76.099999999999994</v>
          </cell>
          <cell r="L42">
            <v>92.5</v>
          </cell>
        </row>
        <row r="43">
          <cell r="A43">
            <v>1966</v>
          </cell>
          <cell r="B43">
            <v>39.799999999999997</v>
          </cell>
          <cell r="D43">
            <v>36.200000000000003</v>
          </cell>
          <cell r="E43">
            <v>11</v>
          </cell>
          <cell r="F43">
            <v>110.5</v>
          </cell>
          <cell r="H43">
            <v>67.8</v>
          </cell>
          <cell r="I43">
            <v>12</v>
          </cell>
          <cell r="L43">
            <v>0</v>
          </cell>
        </row>
        <row r="44">
          <cell r="A44">
            <v>1965</v>
          </cell>
          <cell r="B44">
            <v>72.099999999999994</v>
          </cell>
          <cell r="D44">
            <v>50.5</v>
          </cell>
          <cell r="E44">
            <v>6</v>
          </cell>
          <cell r="F44">
            <v>95.5</v>
          </cell>
          <cell r="H44">
            <v>60.1</v>
          </cell>
          <cell r="I44">
            <v>9</v>
          </cell>
          <cell r="J44">
            <v>63.5</v>
          </cell>
          <cell r="L44">
            <v>82.9</v>
          </cell>
        </row>
        <row r="45">
          <cell r="A45">
            <v>1964</v>
          </cell>
          <cell r="B45">
            <v>51.3</v>
          </cell>
          <cell r="D45">
            <v>24.2</v>
          </cell>
          <cell r="E45">
            <v>3</v>
          </cell>
          <cell r="F45">
            <v>103.2</v>
          </cell>
          <cell r="H45">
            <v>87.7</v>
          </cell>
          <cell r="I45">
            <v>9</v>
          </cell>
          <cell r="J45">
            <v>37.799999999999997</v>
          </cell>
          <cell r="L45">
            <v>78.3</v>
          </cell>
        </row>
        <row r="46">
          <cell r="A46">
            <v>1963</v>
          </cell>
          <cell r="B46">
            <v>42.1</v>
          </cell>
          <cell r="D46">
            <v>28.2</v>
          </cell>
          <cell r="E46">
            <v>1</v>
          </cell>
          <cell r="F46">
            <v>45.9</v>
          </cell>
          <cell r="H46">
            <v>56</v>
          </cell>
          <cell r="I46">
            <v>3</v>
          </cell>
          <cell r="J46">
            <v>41.2</v>
          </cell>
          <cell r="L46">
            <v>78.900000000000006</v>
          </cell>
        </row>
        <row r="47">
          <cell r="A47">
            <v>1962</v>
          </cell>
          <cell r="B47">
            <v>38.299999999999997</v>
          </cell>
          <cell r="D47">
            <v>33.200000000000003</v>
          </cell>
          <cell r="E47">
            <v>12</v>
          </cell>
          <cell r="F47">
            <v>55.3</v>
          </cell>
          <cell r="H47">
            <v>68.900000000000006</v>
          </cell>
          <cell r="I47">
            <v>9</v>
          </cell>
          <cell r="J47">
            <v>144.1</v>
          </cell>
          <cell r="L47">
            <v>64.400000000000006</v>
          </cell>
        </row>
        <row r="48">
          <cell r="A48">
            <v>1961</v>
          </cell>
          <cell r="B48">
            <v>53.2</v>
          </cell>
          <cell r="D48">
            <v>30.1</v>
          </cell>
          <cell r="E48">
            <v>11</v>
          </cell>
          <cell r="F48">
            <v>59.6</v>
          </cell>
          <cell r="H48">
            <v>92.7</v>
          </cell>
          <cell r="I48">
            <v>11</v>
          </cell>
          <cell r="J48">
            <v>62.9</v>
          </cell>
          <cell r="L48">
            <v>10.63</v>
          </cell>
        </row>
        <row r="49">
          <cell r="A49">
            <v>1960</v>
          </cell>
          <cell r="B49">
            <v>49.4</v>
          </cell>
          <cell r="D49">
            <v>62.5</v>
          </cell>
          <cell r="E49">
            <v>6</v>
          </cell>
          <cell r="F49">
            <v>44.5</v>
          </cell>
          <cell r="H49">
            <v>68.099999999999994</v>
          </cell>
          <cell r="I49">
            <v>2</v>
          </cell>
          <cell r="J49">
            <v>55.6</v>
          </cell>
          <cell r="L49">
            <v>8.68</v>
          </cell>
        </row>
        <row r="50">
          <cell r="A50">
            <v>1959</v>
          </cell>
          <cell r="B50">
            <v>38.5</v>
          </cell>
          <cell r="D50">
            <v>24</v>
          </cell>
          <cell r="E50">
            <v>11</v>
          </cell>
          <cell r="F50">
            <v>63.2</v>
          </cell>
          <cell r="H50">
            <v>135.80000000000001</v>
          </cell>
          <cell r="I50">
            <v>8</v>
          </cell>
          <cell r="J50">
            <v>57.6</v>
          </cell>
          <cell r="L50">
            <v>16.47</v>
          </cell>
        </row>
        <row r="51">
          <cell r="A51">
            <v>1958</v>
          </cell>
          <cell r="F51">
            <v>58.6</v>
          </cell>
          <cell r="H51">
            <v>73.2</v>
          </cell>
          <cell r="I51">
            <v>7</v>
          </cell>
          <cell r="J51">
            <v>50.1</v>
          </cell>
          <cell r="L51">
            <v>13.77</v>
          </cell>
        </row>
        <row r="52">
          <cell r="A52">
            <v>1957</v>
          </cell>
          <cell r="F52">
            <v>67.2</v>
          </cell>
          <cell r="H52">
            <v>77.5</v>
          </cell>
          <cell r="I52">
            <v>10</v>
          </cell>
          <cell r="J52">
            <v>72.7</v>
          </cell>
          <cell r="L52">
            <v>132.80000000000001</v>
          </cell>
        </row>
        <row r="53">
          <cell r="A53">
            <v>1956</v>
          </cell>
          <cell r="F53">
            <v>138.30000000000001</v>
          </cell>
          <cell r="H53">
            <v>88</v>
          </cell>
          <cell r="I53">
            <v>9</v>
          </cell>
          <cell r="J53">
            <v>63.8</v>
          </cell>
          <cell r="L53">
            <v>61.8</v>
          </cell>
        </row>
        <row r="54">
          <cell r="A54">
            <v>1955</v>
          </cell>
          <cell r="F54">
            <v>74.2</v>
          </cell>
          <cell r="H54">
            <v>89.3</v>
          </cell>
          <cell r="I54">
            <v>9</v>
          </cell>
          <cell r="J54">
            <v>51.7</v>
          </cell>
          <cell r="L54">
            <v>112.5</v>
          </cell>
        </row>
        <row r="55">
          <cell r="A55">
            <v>1954</v>
          </cell>
          <cell r="F55">
            <v>60.7</v>
          </cell>
          <cell r="H55">
            <v>58.8</v>
          </cell>
          <cell r="I55">
            <v>7</v>
          </cell>
          <cell r="J55">
            <v>61.7</v>
          </cell>
          <cell r="L55">
            <v>112.5</v>
          </cell>
        </row>
        <row r="56">
          <cell r="A56">
            <v>1953</v>
          </cell>
          <cell r="F56">
            <v>53.5</v>
          </cell>
          <cell r="J56">
            <v>35.5</v>
          </cell>
          <cell r="L56">
            <v>55</v>
          </cell>
        </row>
        <row r="57">
          <cell r="A57">
            <v>1952</v>
          </cell>
          <cell r="F57">
            <v>41.2</v>
          </cell>
          <cell r="L57">
            <v>78.900000000000006</v>
          </cell>
        </row>
        <row r="58">
          <cell r="A58">
            <v>1951</v>
          </cell>
          <cell r="F58">
            <v>54</v>
          </cell>
          <cell r="L58">
            <v>68</v>
          </cell>
        </row>
        <row r="59">
          <cell r="A59">
            <v>1950</v>
          </cell>
          <cell r="F59">
            <v>50.3</v>
          </cell>
          <cell r="L59">
            <v>80.099999999999994</v>
          </cell>
        </row>
        <row r="60">
          <cell r="A60" t="str">
            <v>N-Yıl</v>
          </cell>
          <cell r="B60">
            <v>26</v>
          </cell>
          <cell r="D60">
            <v>29</v>
          </cell>
          <cell r="F60">
            <v>74</v>
          </cell>
          <cell r="H60">
            <v>31</v>
          </cell>
          <cell r="J60">
            <v>28</v>
          </cell>
          <cell r="L60">
            <v>51</v>
          </cell>
          <cell r="N60">
            <v>14</v>
          </cell>
        </row>
        <row r="61">
          <cell r="A61" t="str">
            <v>UDF</v>
          </cell>
          <cell r="B61" t="str">
            <v>G2P</v>
          </cell>
          <cell r="D61" t="str">
            <v>G2P</v>
          </cell>
          <cell r="F61" t="str">
            <v>LN3</v>
          </cell>
          <cell r="H61" t="str">
            <v>LP3</v>
          </cell>
          <cell r="J61" t="str">
            <v>LN3</v>
          </cell>
          <cell r="L61" t="str">
            <v>G</v>
          </cell>
          <cell r="N61" t="str">
            <v>G2P</v>
          </cell>
        </row>
        <row r="62">
          <cell r="A62" t="str">
            <v>P-2</v>
          </cell>
          <cell r="B62">
            <v>42.82</v>
          </cell>
          <cell r="D62">
            <v>37.61</v>
          </cell>
          <cell r="F62">
            <v>64.150000000000006</v>
          </cell>
          <cell r="H62">
            <v>71.11</v>
          </cell>
          <cell r="J62">
            <v>53.25</v>
          </cell>
          <cell r="L62">
            <v>72.069999999999993</v>
          </cell>
          <cell r="N62">
            <v>29.63</v>
          </cell>
        </row>
        <row r="63">
          <cell r="A63" t="str">
            <v>P-5</v>
          </cell>
          <cell r="B63">
            <v>52.5</v>
          </cell>
          <cell r="D63">
            <v>53.9</v>
          </cell>
          <cell r="F63">
            <v>86.12</v>
          </cell>
          <cell r="H63">
            <v>89.41</v>
          </cell>
          <cell r="J63">
            <v>72.010000000000005</v>
          </cell>
          <cell r="L63">
            <v>118.85</v>
          </cell>
          <cell r="N63">
            <v>49.23</v>
          </cell>
        </row>
        <row r="64">
          <cell r="A64" t="str">
            <v>P-10</v>
          </cell>
          <cell r="B64">
            <v>59.09</v>
          </cell>
          <cell r="D64">
            <v>65.23</v>
          </cell>
          <cell r="F64">
            <v>101.92</v>
          </cell>
          <cell r="H64">
            <v>102.96</v>
          </cell>
          <cell r="J64">
            <v>86.13</v>
          </cell>
          <cell r="L64">
            <v>149.81</v>
          </cell>
          <cell r="N64">
            <v>68.66</v>
          </cell>
        </row>
        <row r="65">
          <cell r="A65" t="str">
            <v>P-25</v>
          </cell>
          <cell r="B65">
            <v>67.42</v>
          </cell>
          <cell r="D65">
            <v>79.73</v>
          </cell>
          <cell r="F65">
            <v>123.15</v>
          </cell>
          <cell r="H65">
            <v>121.71</v>
          </cell>
          <cell r="J65">
            <v>105.77</v>
          </cell>
          <cell r="L65">
            <v>188.94</v>
          </cell>
          <cell r="N65">
            <v>98.48</v>
          </cell>
        </row>
        <row r="66">
          <cell r="A66" t="str">
            <v>P-50</v>
          </cell>
          <cell r="B66">
            <v>73.56</v>
          </cell>
          <cell r="D66">
            <v>90.5</v>
          </cell>
          <cell r="F66">
            <v>139.76</v>
          </cell>
          <cell r="H66">
            <v>136.93</v>
          </cell>
          <cell r="J66">
            <v>121.58</v>
          </cell>
          <cell r="L66">
            <v>217.97</v>
          </cell>
          <cell r="N66">
            <v>123.46</v>
          </cell>
        </row>
        <row r="67">
          <cell r="A67" t="str">
            <v>P-100</v>
          </cell>
          <cell r="B67">
            <v>79.62</v>
          </cell>
          <cell r="D67">
            <v>101.21</v>
          </cell>
          <cell r="F67">
            <v>157.06</v>
          </cell>
          <cell r="H67">
            <v>153.21</v>
          </cell>
          <cell r="J67">
            <v>138.4</v>
          </cell>
          <cell r="L67">
            <v>246.78</v>
          </cell>
          <cell r="N67">
            <v>150.29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kumru"/>
      <sheetName val="Cetin"/>
      <sheetName val="Pervari"/>
      <sheetName val="Keskin"/>
      <sheetName val="Oran"/>
      <sheetName val="Narli"/>
      <sheetName val="Alkumru-Cetin"/>
      <sheetName val="Cetin-Pervari"/>
      <sheetName val="Pervari-Keskin"/>
      <sheetName val="Keskin-Oran"/>
      <sheetName val="Oran-Narli"/>
      <sheetName val="2621"/>
      <sheetName val="2604"/>
      <sheetName val="2604A"/>
      <sheetName val="2626"/>
      <sheetName val="2633"/>
      <sheetName val="2614"/>
      <sheetName val="2615"/>
      <sheetName val="26-51"/>
      <sheetName val="26-55"/>
      <sheetName val="2631"/>
      <sheetName val="26-33"/>
      <sheetName val="2609"/>
      <sheetName val="2631 (2615ten)"/>
      <sheetName val="2631 (2621den)"/>
      <sheetName val="Birim"/>
      <sheetName val="Cizelge"/>
      <sheetName val="CiftKutle"/>
    </sheetNames>
    <sheetDataSet>
      <sheetData sheetId="0">
        <row r="70">
          <cell r="D70">
            <v>0.18829362872081745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por1"/>
      <sheetName val="Rapor1a"/>
      <sheetName val="Rapor1b"/>
      <sheetName val="Rapor3"/>
      <sheetName val="Rapor4"/>
      <sheetName val="Rapor4b"/>
      <sheetName val="Rapor5"/>
      <sheetName val="DebilerTablosu"/>
      <sheetName val="Tekerrurler"/>
      <sheetName val="Formuller"/>
      <sheetName val="Hmj_Test"/>
      <sheetName val="Oranlar"/>
      <sheetName val="Oranlar2"/>
      <sheetName val="Proje1"/>
      <sheetName val="Proje2"/>
      <sheetName val="Proje3"/>
      <sheetName val="Proje4"/>
      <sheetName val="Cizimler"/>
      <sheetName val="TaskinAylari"/>
      <sheetName val="Cizelge_Qpik"/>
      <sheetName val="Korel"/>
      <sheetName val="KorelGr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ma+Dam"/>
      <sheetName val="Yük.Bas.+Dam."/>
      <sheetName val="TAMAMI"/>
      <sheetName val="K.A.R"/>
      <sheetName val="KAR-Raf"/>
      <sheetName val="Datagir"/>
      <sheetName val="CIKTI"/>
      <sheetName val="T2.1"/>
      <sheetName val="T2.6"/>
      <sheetName val="T2.11"/>
      <sheetName val="BÜNYE"/>
      <sheetName val="C-D Randıma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.A.R (2)"/>
      <sheetName val="K.A.R"/>
      <sheetName val="Datagir"/>
      <sheetName val="CIKTI"/>
      <sheetName val="T 3.1.2"/>
      <sheetName val="T3.1.8"/>
      <sheetName val="C-D Randıman"/>
      <sheetName val="Sayfa1"/>
      <sheetName val="Sayf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NİCE"/>
      <sheetName val="yENİCE (son)"/>
      <sheetName val="Chart1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llanım"/>
      <sheetName val="Input"/>
      <sheetName val="Yüzey Akım"/>
      <sheetName val="Cikti Sayfasi"/>
      <sheetName val="Cikti Sayfasi (2)"/>
      <sheetName val="Isletme Ozeti"/>
      <sheetName val="Dolusavak"/>
      <sheetName val="Enerji"/>
      <sheetName val="Mansap Eksik Kalan"/>
      <sheetName val="Rezervuardan Çekilen"/>
      <sheetName val="E. Üretimi"/>
      <sheetName val="İşletme Grafiği"/>
      <sheetName val="İşletme Grafiği (2)"/>
      <sheetName val="Sheet3"/>
      <sheetName val="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">
          <cell r="A4">
            <v>468</v>
          </cell>
        </row>
      </sheetData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nnual data"/>
      <sheetName val="Trend Statistics"/>
      <sheetName val="Figure"/>
    </sheetNames>
    <sheetDataSet>
      <sheetData sheetId="0" refreshError="1"/>
      <sheetData sheetId="1">
        <row r="3">
          <cell r="A3" t="str">
            <v>KAHRAMANMARAŞ ADATEPE BARAJI</v>
          </cell>
        </row>
      </sheetData>
      <sheetData sheetId="2" refreshError="1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-SIIRT.DMI"/>
      <sheetName val="T-SIIRT.DMI"/>
      <sheetName val="T-PERVARI.DMI"/>
      <sheetName val="Sckl&amp;Buh"/>
      <sheetName val="Yagislar"/>
      <sheetName val="Kayiplar"/>
    </sheetNames>
    <sheetDataSet>
      <sheetData sheetId="0"/>
      <sheetData sheetId="1">
        <row r="1">
          <cell r="S1">
            <v>6.9999999999999993E-3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gir"/>
      <sheetName val="CIKTI"/>
    </sheetNames>
    <sheetDataSet>
      <sheetData sheetId="0"/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LLANIM"/>
      <sheetName val="Bilgi"/>
      <sheetName val="Giriş Hidrografı"/>
      <sheetName val="Hacim-Satıh"/>
      <sheetName val="Ho Hesabı"/>
      <sheetName val="DeşarjEğrisi"/>
      <sheetName val="Sheet1"/>
      <sheetName val="Routing"/>
      <sheetName val="Taşkın Öteleme"/>
      <sheetName val="Co Hesabı"/>
    </sheetNames>
    <sheetDataSet>
      <sheetData sheetId="0"/>
      <sheetData sheetId="1"/>
      <sheetData sheetId="2"/>
      <sheetData sheetId="3"/>
      <sheetData sheetId="4"/>
      <sheetData sheetId="5" refreshError="1"/>
      <sheetData sheetId="6">
        <row r="2">
          <cell r="B2">
            <v>0</v>
          </cell>
        </row>
      </sheetData>
      <sheetData sheetId="7">
        <row r="1">
          <cell r="Y1">
            <v>49</v>
          </cell>
          <cell r="Z1">
            <v>1</v>
          </cell>
        </row>
      </sheetData>
      <sheetData sheetId="8" refreshError="1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Şekil 4.1"/>
      <sheetName val="Şekil 4.2-3"/>
      <sheetName val="Tablo 4.1 4.2"/>
      <sheetName val="Tablo 4.3"/>
      <sheetName val="Tablo 4.4"/>
      <sheetName val="Tablo 4.5"/>
      <sheetName val="Tablo 4.6"/>
      <sheetName val="Tablo 4.8"/>
      <sheetName val="Tablo 4.9"/>
      <sheetName val="Tablo 4.10"/>
      <sheetName val="Tablo 4.11"/>
      <sheetName val="Tablo 4.12"/>
      <sheetName val="Tablo 4.13"/>
      <sheetName val="Tablo 4.14"/>
      <sheetName val="Tablo 4.15-1"/>
      <sheetName val="Tablo 4.15-2"/>
      <sheetName val="Tablo 4.15-3"/>
      <sheetName val="Tablo 4.15-4"/>
      <sheetName val="Tablo 4.15-5"/>
      <sheetName val="Tablo 4.15-6"/>
      <sheetName val="Tablo 4.15-7"/>
      <sheetName val="Tablo 4.15-8"/>
      <sheetName val="Tablo 4.15-9"/>
      <sheetName val="Tablo 4.15-10"/>
      <sheetName val="Tablo 4.15-11"/>
      <sheetName val="Tablo 4.15-12"/>
      <sheetName val="Tablo 4.15-13"/>
      <sheetName val="Tablo 4.15-14"/>
      <sheetName val="Tablo 4.15-15"/>
      <sheetName val="Tablo 4.15-16"/>
      <sheetName val="Tablo 4.15-17"/>
      <sheetName val="Tablo 4.15-18"/>
      <sheetName val="Tablo 4.15-19"/>
      <sheetName val="Tablo 4.15-20"/>
      <sheetName val="Tablo 4.15-21"/>
      <sheetName val="Tablo 4.15-22"/>
      <sheetName val="Tablo 4.15-23"/>
      <sheetName val="Tablo 4.15-24"/>
      <sheetName val="Tablo 4.15-25"/>
      <sheetName val="Tablo 4.15-26"/>
      <sheetName val="Tablo 4.15-27"/>
      <sheetName val="Tablo 4.15-28"/>
      <sheetName val="Tablo 4.15-29"/>
      <sheetName val="Tablo 4.15-30"/>
      <sheetName val="Tablo 4.15-31"/>
      <sheetName val="Tablo 4.15-32"/>
      <sheetName val="Tablo 4.15-33"/>
      <sheetName val="Tablo 4.15-34"/>
      <sheetName val="Tablo 4.15-35"/>
      <sheetName val="Tablo 4.15-36"/>
      <sheetName val="Tablo 4.15-37"/>
      <sheetName val="Tablo 4.15-38"/>
      <sheetName val="Tablo 4.15-39"/>
      <sheetName val="Tablo 4.15-40"/>
      <sheetName val="Tablo 4.15-41"/>
      <sheetName val="Tablo 4.16"/>
      <sheetName val="Tablo 4.17"/>
      <sheetName val="Tablo 4.18"/>
      <sheetName val="Tablo 4.19"/>
      <sheetName val="Tablo 4.19 (ham)"/>
      <sheetName val="Tablo 4.21"/>
      <sheetName val="Tablo 4.22"/>
      <sheetName val="Tablo 4.23"/>
      <sheetName val="Tablo 4.24"/>
      <sheetName val="Tablo 4.25"/>
      <sheetName val="Tablo 4.26"/>
      <sheetName val="Tablo 4.27"/>
      <sheetName val="Şekil 4.4"/>
      <sheetName val="Şekil 4.5"/>
      <sheetName val="Tablo 4.30"/>
      <sheetName val="Tablo 4.31"/>
      <sheetName val="Tablo 4.32"/>
      <sheetName val="Tablo 4.33"/>
      <sheetName val="Tablo 4.34"/>
      <sheetName val="Tablo 4.35"/>
      <sheetName val="Tablo 4.36"/>
      <sheetName val="Şekil 4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>
        <row r="1">
          <cell r="A1" t="str">
            <v>Tablo 4.31</v>
          </cell>
          <cell r="C1" t="str">
            <v>Proje Sahası İçi ve Çevresindeki Yağış Gözlem</v>
          </cell>
        </row>
        <row r="2">
          <cell r="C2" t="str">
            <v>İstasyonlarının Yılda Günlük Maksimum Yağış Değerleri (mm)</v>
          </cell>
        </row>
        <row r="3">
          <cell r="A3" t="str">
            <v>Adı</v>
          </cell>
          <cell r="B3" t="str">
            <v>YAVUZKEMAL</v>
          </cell>
          <cell r="D3" t="str">
            <v>TAMDERE</v>
          </cell>
          <cell r="F3" t="str">
            <v>GİRESUN</v>
          </cell>
          <cell r="H3" t="str">
            <v>KEŞAP</v>
          </cell>
          <cell r="J3" t="str">
            <v>BULANCAK</v>
          </cell>
          <cell r="L3" t="str">
            <v>TİREBOLU</v>
          </cell>
          <cell r="N3" t="str">
            <v>MERYEMANA</v>
          </cell>
        </row>
        <row r="4">
          <cell r="A4" t="str">
            <v>Kot</v>
          </cell>
          <cell r="B4">
            <v>1625</v>
          </cell>
          <cell r="D4">
            <v>1700</v>
          </cell>
          <cell r="F4">
            <v>38</v>
          </cell>
          <cell r="H4">
            <v>30</v>
          </cell>
          <cell r="J4">
            <v>10</v>
          </cell>
          <cell r="L4">
            <v>10</v>
          </cell>
          <cell r="N4">
            <v>1100</v>
          </cell>
        </row>
        <row r="5">
          <cell r="A5" t="str">
            <v>Kur</v>
          </cell>
          <cell r="B5" t="str">
            <v>DMİ</v>
          </cell>
          <cell r="D5" t="str">
            <v>DSİ</v>
          </cell>
          <cell r="F5" t="str">
            <v>DMİ</v>
          </cell>
          <cell r="H5" t="str">
            <v>DMİ</v>
          </cell>
          <cell r="J5" t="str">
            <v>DMİ</v>
          </cell>
          <cell r="L5" t="str">
            <v>DMİ</v>
          </cell>
          <cell r="N5" t="str">
            <v>DMİ</v>
          </cell>
        </row>
        <row r="6">
          <cell r="A6" t="str">
            <v>Yıl</v>
          </cell>
          <cell r="B6" t="str">
            <v>Yeb</v>
          </cell>
          <cell r="C6" t="str">
            <v>g-ay</v>
          </cell>
          <cell r="D6" t="str">
            <v>Yeb</v>
          </cell>
          <cell r="E6" t="str">
            <v>g-ay</v>
          </cell>
          <cell r="F6" t="str">
            <v>Yeb</v>
          </cell>
          <cell r="G6" t="str">
            <v>g-ay</v>
          </cell>
          <cell r="H6" t="str">
            <v>Yeb</v>
          </cell>
          <cell r="I6" t="str">
            <v>g-ay</v>
          </cell>
          <cell r="J6" t="str">
            <v>Yeb</v>
          </cell>
          <cell r="K6" t="str">
            <v>g-ay</v>
          </cell>
          <cell r="L6" t="str">
            <v>Yeb</v>
          </cell>
          <cell r="M6" t="str">
            <v>g-ay</v>
          </cell>
          <cell r="N6" t="str">
            <v>Yeb</v>
          </cell>
          <cell r="O6" t="str">
            <v>g-ay</v>
          </cell>
        </row>
        <row r="7">
          <cell r="A7">
            <v>2002</v>
          </cell>
          <cell r="F7">
            <v>72.599999999999994</v>
          </cell>
        </row>
        <row r="8">
          <cell r="A8">
            <v>2001</v>
          </cell>
          <cell r="F8">
            <v>68</v>
          </cell>
        </row>
        <row r="9">
          <cell r="A9">
            <v>2000</v>
          </cell>
          <cell r="F9">
            <v>68.400000000000006</v>
          </cell>
          <cell r="L9">
            <v>42.5</v>
          </cell>
          <cell r="M9">
            <v>1</v>
          </cell>
        </row>
        <row r="10">
          <cell r="A10">
            <v>1999</v>
          </cell>
          <cell r="F10">
            <v>69.8</v>
          </cell>
          <cell r="L10">
            <v>92.4</v>
          </cell>
          <cell r="M10">
            <v>9</v>
          </cell>
        </row>
        <row r="11">
          <cell r="A11">
            <v>1998</v>
          </cell>
          <cell r="F11">
            <v>62.2</v>
          </cell>
          <cell r="L11">
            <v>108.9</v>
          </cell>
          <cell r="M11">
            <v>12</v>
          </cell>
        </row>
        <row r="12">
          <cell r="A12">
            <v>1997</v>
          </cell>
          <cell r="F12">
            <v>50.4</v>
          </cell>
          <cell r="L12">
            <v>71.2</v>
          </cell>
          <cell r="M12">
            <v>7</v>
          </cell>
        </row>
        <row r="13">
          <cell r="A13">
            <v>1996</v>
          </cell>
          <cell r="F13">
            <v>75.400000000000006</v>
          </cell>
          <cell r="L13">
            <v>59.7</v>
          </cell>
          <cell r="M13">
            <v>10</v>
          </cell>
        </row>
        <row r="14">
          <cell r="A14">
            <v>1995</v>
          </cell>
          <cell r="F14">
            <v>55</v>
          </cell>
          <cell r="L14">
            <v>76.2</v>
          </cell>
          <cell r="M14">
            <v>6</v>
          </cell>
        </row>
        <row r="15">
          <cell r="A15">
            <v>1994</v>
          </cell>
          <cell r="F15">
            <v>70.2</v>
          </cell>
          <cell r="L15">
            <v>82.3</v>
          </cell>
          <cell r="M15">
            <v>10</v>
          </cell>
        </row>
        <row r="16">
          <cell r="A16">
            <v>1993</v>
          </cell>
          <cell r="F16">
            <v>53.1</v>
          </cell>
          <cell r="L16">
            <v>94.4</v>
          </cell>
          <cell r="M16">
            <v>8</v>
          </cell>
        </row>
        <row r="17">
          <cell r="A17">
            <v>1992</v>
          </cell>
          <cell r="F17">
            <v>103.7</v>
          </cell>
          <cell r="L17">
            <v>134.1</v>
          </cell>
          <cell r="M17">
            <v>7</v>
          </cell>
        </row>
        <row r="18">
          <cell r="A18">
            <v>1991</v>
          </cell>
          <cell r="F18">
            <v>72.400000000000006</v>
          </cell>
          <cell r="L18">
            <v>93.5</v>
          </cell>
          <cell r="M18">
            <v>8</v>
          </cell>
        </row>
        <row r="19">
          <cell r="A19">
            <v>1990</v>
          </cell>
          <cell r="F19">
            <v>65.7</v>
          </cell>
          <cell r="L19">
            <v>81.400000000000006</v>
          </cell>
          <cell r="M19">
            <v>6</v>
          </cell>
        </row>
        <row r="20">
          <cell r="A20">
            <v>1989</v>
          </cell>
          <cell r="F20">
            <v>85.8</v>
          </cell>
          <cell r="L20">
            <v>87.6</v>
          </cell>
          <cell r="M20">
            <v>7</v>
          </cell>
        </row>
        <row r="21">
          <cell r="A21">
            <v>1988</v>
          </cell>
          <cell r="F21">
            <v>78.2</v>
          </cell>
          <cell r="L21">
            <v>242.3</v>
          </cell>
          <cell r="M21">
            <v>8</v>
          </cell>
          <cell r="N21">
            <v>40.299999999999997</v>
          </cell>
        </row>
        <row r="22">
          <cell r="A22">
            <v>1987</v>
          </cell>
          <cell r="D22">
            <v>60.4</v>
          </cell>
          <cell r="E22">
            <v>1</v>
          </cell>
          <cell r="F22">
            <v>50.8</v>
          </cell>
          <cell r="H22">
            <v>54.7</v>
          </cell>
          <cell r="I22">
            <v>11</v>
          </cell>
          <cell r="J22">
            <v>40.700000000000003</v>
          </cell>
          <cell r="L22">
            <v>75</v>
          </cell>
          <cell r="M22">
            <v>8</v>
          </cell>
          <cell r="N22">
            <v>42.5</v>
          </cell>
          <cell r="O22">
            <v>1</v>
          </cell>
        </row>
        <row r="23">
          <cell r="A23">
            <v>1986</v>
          </cell>
          <cell r="D23">
            <v>34.5</v>
          </cell>
          <cell r="E23">
            <v>11</v>
          </cell>
          <cell r="F23">
            <v>95.4</v>
          </cell>
          <cell r="H23">
            <v>71.099999999999994</v>
          </cell>
          <cell r="I23">
            <v>11</v>
          </cell>
          <cell r="J23">
            <v>44</v>
          </cell>
          <cell r="L23">
            <v>53.3</v>
          </cell>
          <cell r="M23">
            <v>11</v>
          </cell>
          <cell r="N23">
            <v>32.5</v>
          </cell>
          <cell r="O23">
            <v>1</v>
          </cell>
        </row>
        <row r="24">
          <cell r="A24">
            <v>1985</v>
          </cell>
          <cell r="D24">
            <v>27.2</v>
          </cell>
          <cell r="E24">
            <v>10</v>
          </cell>
          <cell r="F24">
            <v>53.8</v>
          </cell>
          <cell r="J24">
            <v>57.2</v>
          </cell>
          <cell r="L24">
            <v>61.6</v>
          </cell>
          <cell r="M24">
            <v>12</v>
          </cell>
          <cell r="N24">
            <v>47.2</v>
          </cell>
          <cell r="O24">
            <v>6</v>
          </cell>
        </row>
        <row r="25">
          <cell r="A25">
            <v>1984</v>
          </cell>
          <cell r="B25">
            <v>43.1</v>
          </cell>
          <cell r="D25">
            <v>27.8</v>
          </cell>
          <cell r="E25">
            <v>4</v>
          </cell>
          <cell r="F25">
            <v>56.2</v>
          </cell>
          <cell r="L25">
            <v>91</v>
          </cell>
          <cell r="M25">
            <v>10</v>
          </cell>
          <cell r="N25">
            <v>25.8</v>
          </cell>
          <cell r="O25">
            <v>5</v>
          </cell>
        </row>
        <row r="26">
          <cell r="A26">
            <v>1983</v>
          </cell>
          <cell r="B26">
            <v>44.6</v>
          </cell>
          <cell r="D26">
            <v>70.3</v>
          </cell>
          <cell r="E26">
            <v>11</v>
          </cell>
          <cell r="F26">
            <v>53.7</v>
          </cell>
          <cell r="L26">
            <v>86.5</v>
          </cell>
          <cell r="M26">
            <v>7</v>
          </cell>
          <cell r="N26">
            <v>36.200000000000003</v>
          </cell>
          <cell r="O26">
            <v>1</v>
          </cell>
        </row>
        <row r="27">
          <cell r="A27">
            <v>1982</v>
          </cell>
          <cell r="B27">
            <v>38.700000000000003</v>
          </cell>
          <cell r="D27">
            <v>36.700000000000003</v>
          </cell>
          <cell r="E27">
            <v>6</v>
          </cell>
          <cell r="F27">
            <v>50.7</v>
          </cell>
          <cell r="H27">
            <v>66.8</v>
          </cell>
          <cell r="I27">
            <v>10</v>
          </cell>
          <cell r="L27">
            <v>76.8</v>
          </cell>
          <cell r="M27">
            <v>9</v>
          </cell>
          <cell r="N27">
            <v>31</v>
          </cell>
          <cell r="O27">
            <v>7</v>
          </cell>
        </row>
        <row r="28">
          <cell r="A28">
            <v>1981</v>
          </cell>
          <cell r="B28">
            <v>58.7</v>
          </cell>
          <cell r="D28">
            <v>100.8</v>
          </cell>
          <cell r="E28">
            <v>12</v>
          </cell>
          <cell r="F28">
            <v>128.30000000000001</v>
          </cell>
          <cell r="H28">
            <v>108.8</v>
          </cell>
          <cell r="I28">
            <v>10</v>
          </cell>
          <cell r="L28">
            <v>73.7</v>
          </cell>
          <cell r="M28">
            <v>10</v>
          </cell>
          <cell r="N28">
            <v>28</v>
          </cell>
          <cell r="O28">
            <v>10</v>
          </cell>
        </row>
        <row r="29">
          <cell r="A29">
            <v>1980</v>
          </cell>
          <cell r="B29">
            <v>32.700000000000003</v>
          </cell>
          <cell r="D29">
            <v>60.7</v>
          </cell>
          <cell r="E29">
            <v>5</v>
          </cell>
          <cell r="F29">
            <v>47.4</v>
          </cell>
          <cell r="H29">
            <v>57.6</v>
          </cell>
          <cell r="I29">
            <v>6</v>
          </cell>
          <cell r="J29">
            <v>36.799999999999997</v>
          </cell>
          <cell r="L29">
            <v>64.2</v>
          </cell>
          <cell r="M29">
            <v>11</v>
          </cell>
          <cell r="N29">
            <v>31</v>
          </cell>
          <cell r="O29">
            <v>5</v>
          </cell>
        </row>
        <row r="30">
          <cell r="A30">
            <v>1979</v>
          </cell>
          <cell r="B30">
            <v>40.799999999999997</v>
          </cell>
          <cell r="D30">
            <v>41.2</v>
          </cell>
          <cell r="E30">
            <v>11</v>
          </cell>
          <cell r="F30">
            <v>72.900000000000006</v>
          </cell>
          <cell r="H30">
            <v>100.7</v>
          </cell>
          <cell r="I30">
            <v>7</v>
          </cell>
          <cell r="J30">
            <v>57.4</v>
          </cell>
          <cell r="L30">
            <v>92.6</v>
          </cell>
          <cell r="M30">
            <v>5</v>
          </cell>
          <cell r="N30">
            <v>37.200000000000003</v>
          </cell>
          <cell r="O30">
            <v>5</v>
          </cell>
        </row>
        <row r="31">
          <cell r="A31">
            <v>1978</v>
          </cell>
          <cell r="B31">
            <v>42.3</v>
          </cell>
          <cell r="D31">
            <v>46.1</v>
          </cell>
          <cell r="E31">
            <v>3</v>
          </cell>
          <cell r="F31">
            <v>34.5</v>
          </cell>
          <cell r="H31">
            <v>69.8</v>
          </cell>
          <cell r="I31">
            <v>6</v>
          </cell>
          <cell r="J31">
            <v>76.3</v>
          </cell>
          <cell r="L31">
            <v>54.3</v>
          </cell>
          <cell r="M31">
            <v>10</v>
          </cell>
          <cell r="N31">
            <v>32.1</v>
          </cell>
          <cell r="O31">
            <v>6</v>
          </cell>
        </row>
        <row r="32">
          <cell r="A32">
            <v>1977</v>
          </cell>
          <cell r="B32">
            <v>43.8</v>
          </cell>
          <cell r="D32">
            <v>41.3</v>
          </cell>
          <cell r="E32">
            <v>5</v>
          </cell>
          <cell r="F32">
            <v>77</v>
          </cell>
          <cell r="H32">
            <v>66.3</v>
          </cell>
          <cell r="I32">
            <v>12</v>
          </cell>
          <cell r="J32">
            <v>70.400000000000006</v>
          </cell>
          <cell r="L32">
            <v>241.3</v>
          </cell>
          <cell r="M32">
            <v>7</v>
          </cell>
          <cell r="N32">
            <v>26.1</v>
          </cell>
          <cell r="O32">
            <v>10</v>
          </cell>
        </row>
        <row r="33">
          <cell r="A33">
            <v>1976</v>
          </cell>
          <cell r="B33">
            <v>43.2</v>
          </cell>
          <cell r="D33">
            <v>26.2</v>
          </cell>
          <cell r="E33">
            <v>6</v>
          </cell>
          <cell r="F33">
            <v>37.5</v>
          </cell>
          <cell r="H33">
            <v>56.2</v>
          </cell>
          <cell r="I33">
            <v>12</v>
          </cell>
          <cell r="J33">
            <v>42.5</v>
          </cell>
          <cell r="L33">
            <v>181.3</v>
          </cell>
          <cell r="M33">
            <v>8</v>
          </cell>
          <cell r="N33">
            <v>130.9</v>
          </cell>
          <cell r="O33">
            <v>5</v>
          </cell>
        </row>
        <row r="34">
          <cell r="A34">
            <v>1975</v>
          </cell>
          <cell r="B34">
            <v>73.2</v>
          </cell>
          <cell r="D34">
            <v>60.5</v>
          </cell>
          <cell r="E34">
            <v>4</v>
          </cell>
          <cell r="F34">
            <v>49.7</v>
          </cell>
          <cell r="H34">
            <v>71.400000000000006</v>
          </cell>
          <cell r="I34">
            <v>9</v>
          </cell>
          <cell r="L34">
            <v>70</v>
          </cell>
          <cell r="M34">
            <v>9</v>
          </cell>
          <cell r="N34">
            <v>25.5</v>
          </cell>
          <cell r="O34">
            <v>10</v>
          </cell>
        </row>
        <row r="35">
          <cell r="A35">
            <v>1974</v>
          </cell>
          <cell r="B35">
            <v>45.7</v>
          </cell>
          <cell r="D35">
            <v>41.7</v>
          </cell>
          <cell r="E35">
            <v>10</v>
          </cell>
          <cell r="F35">
            <v>61.7</v>
          </cell>
          <cell r="H35">
            <v>91.8</v>
          </cell>
          <cell r="I35">
            <v>11</v>
          </cell>
          <cell r="L35">
            <v>31.3</v>
          </cell>
          <cell r="M35">
            <v>8</v>
          </cell>
        </row>
        <row r="36">
          <cell r="A36">
            <v>1973</v>
          </cell>
          <cell r="B36">
            <v>37.6</v>
          </cell>
          <cell r="D36">
            <v>24.5</v>
          </cell>
          <cell r="E36">
            <v>6</v>
          </cell>
          <cell r="F36">
            <v>63.1</v>
          </cell>
          <cell r="H36">
            <v>61.9</v>
          </cell>
          <cell r="I36">
            <v>10</v>
          </cell>
          <cell r="J36">
            <v>52.5</v>
          </cell>
          <cell r="L36">
            <v>8.67</v>
          </cell>
        </row>
        <row r="37">
          <cell r="A37">
            <v>1972</v>
          </cell>
          <cell r="B37">
            <v>54.2</v>
          </cell>
          <cell r="D37">
            <v>56.6</v>
          </cell>
          <cell r="E37">
            <v>10</v>
          </cell>
          <cell r="F37">
            <v>83.8</v>
          </cell>
          <cell r="H37">
            <v>64.8</v>
          </cell>
          <cell r="I37">
            <v>6</v>
          </cell>
          <cell r="J37">
            <v>98.4</v>
          </cell>
          <cell r="L37">
            <v>6.07</v>
          </cell>
        </row>
        <row r="38">
          <cell r="A38">
            <v>1971</v>
          </cell>
          <cell r="B38">
            <v>41.6</v>
          </cell>
          <cell r="D38">
            <v>29.2</v>
          </cell>
          <cell r="E38">
            <v>10</v>
          </cell>
          <cell r="F38">
            <v>55.9</v>
          </cell>
          <cell r="H38">
            <v>66.2</v>
          </cell>
          <cell r="I38">
            <v>11</v>
          </cell>
          <cell r="J38">
            <v>50.6</v>
          </cell>
          <cell r="L38">
            <v>0</v>
          </cell>
        </row>
        <row r="39">
          <cell r="A39">
            <v>1970</v>
          </cell>
          <cell r="B39">
            <v>34.200000000000003</v>
          </cell>
          <cell r="D39">
            <v>45.9</v>
          </cell>
          <cell r="E39">
            <v>11</v>
          </cell>
          <cell r="F39">
            <v>66.8</v>
          </cell>
          <cell r="H39">
            <v>50.2</v>
          </cell>
          <cell r="I39">
            <v>9</v>
          </cell>
          <cell r="J39">
            <v>38.9</v>
          </cell>
          <cell r="L39">
            <v>62</v>
          </cell>
        </row>
        <row r="40">
          <cell r="A40">
            <v>1969</v>
          </cell>
          <cell r="B40">
            <v>32.1</v>
          </cell>
          <cell r="D40">
            <v>23.7</v>
          </cell>
          <cell r="E40">
            <v>11</v>
          </cell>
          <cell r="F40">
            <v>39.799999999999997</v>
          </cell>
          <cell r="H40">
            <v>58.2</v>
          </cell>
          <cell r="I40">
            <v>7</v>
          </cell>
          <cell r="J40">
            <v>63.5</v>
          </cell>
          <cell r="L40">
            <v>92.3</v>
          </cell>
        </row>
        <row r="41">
          <cell r="A41">
            <v>1968</v>
          </cell>
          <cell r="B41">
            <v>33.799999999999997</v>
          </cell>
          <cell r="D41">
            <v>30.5</v>
          </cell>
          <cell r="E41">
            <v>11</v>
          </cell>
          <cell r="F41">
            <v>98</v>
          </cell>
          <cell r="H41">
            <v>86.5</v>
          </cell>
          <cell r="I41">
            <v>10</v>
          </cell>
          <cell r="J41">
            <v>40.6</v>
          </cell>
          <cell r="L41">
            <v>62.2</v>
          </cell>
        </row>
        <row r="42">
          <cell r="A42">
            <v>1967</v>
          </cell>
          <cell r="B42">
            <v>51.3</v>
          </cell>
          <cell r="D42">
            <v>37.6</v>
          </cell>
          <cell r="E42">
            <v>11</v>
          </cell>
          <cell r="F42">
            <v>61.9</v>
          </cell>
          <cell r="H42">
            <v>131.4</v>
          </cell>
          <cell r="I42">
            <v>8</v>
          </cell>
          <cell r="J42">
            <v>76.099999999999994</v>
          </cell>
          <cell r="L42">
            <v>92.5</v>
          </cell>
        </row>
        <row r="43">
          <cell r="A43">
            <v>1966</v>
          </cell>
          <cell r="B43">
            <v>39.799999999999997</v>
          </cell>
          <cell r="D43">
            <v>36.200000000000003</v>
          </cell>
          <cell r="E43">
            <v>11</v>
          </cell>
          <cell r="F43">
            <v>110.5</v>
          </cell>
          <cell r="H43">
            <v>67.8</v>
          </cell>
          <cell r="I43">
            <v>12</v>
          </cell>
          <cell r="L43">
            <v>0</v>
          </cell>
        </row>
        <row r="44">
          <cell r="A44">
            <v>1965</v>
          </cell>
          <cell r="B44">
            <v>72.099999999999994</v>
          </cell>
          <cell r="D44">
            <v>50.5</v>
          </cell>
          <cell r="E44">
            <v>6</v>
          </cell>
          <cell r="F44">
            <v>95.5</v>
          </cell>
          <cell r="H44">
            <v>60.1</v>
          </cell>
          <cell r="I44">
            <v>9</v>
          </cell>
          <cell r="J44">
            <v>63.5</v>
          </cell>
          <cell r="L44">
            <v>82.9</v>
          </cell>
        </row>
        <row r="45">
          <cell r="A45">
            <v>1964</v>
          </cell>
          <cell r="B45">
            <v>51.3</v>
          </cell>
          <cell r="D45">
            <v>24.2</v>
          </cell>
          <cell r="E45">
            <v>3</v>
          </cell>
          <cell r="F45">
            <v>103.2</v>
          </cell>
          <cell r="H45">
            <v>87.7</v>
          </cell>
          <cell r="I45">
            <v>9</v>
          </cell>
          <cell r="J45">
            <v>37.799999999999997</v>
          </cell>
          <cell r="L45">
            <v>78.3</v>
          </cell>
        </row>
        <row r="46">
          <cell r="A46">
            <v>1963</v>
          </cell>
          <cell r="B46">
            <v>42.1</v>
          </cell>
          <cell r="D46">
            <v>28.2</v>
          </cell>
          <cell r="E46">
            <v>1</v>
          </cell>
          <cell r="F46">
            <v>45.9</v>
          </cell>
          <cell r="H46">
            <v>56</v>
          </cell>
          <cell r="I46">
            <v>3</v>
          </cell>
          <cell r="J46">
            <v>41.2</v>
          </cell>
          <cell r="L46">
            <v>78.900000000000006</v>
          </cell>
        </row>
        <row r="47">
          <cell r="A47">
            <v>1962</v>
          </cell>
          <cell r="B47">
            <v>38.299999999999997</v>
          </cell>
          <cell r="D47">
            <v>33.200000000000003</v>
          </cell>
          <cell r="E47">
            <v>12</v>
          </cell>
          <cell r="F47">
            <v>55.3</v>
          </cell>
          <cell r="H47">
            <v>68.900000000000006</v>
          </cell>
          <cell r="I47">
            <v>9</v>
          </cell>
          <cell r="J47">
            <v>144.1</v>
          </cell>
          <cell r="L47">
            <v>64.400000000000006</v>
          </cell>
        </row>
        <row r="48">
          <cell r="A48">
            <v>1961</v>
          </cell>
          <cell r="B48">
            <v>53.2</v>
          </cell>
          <cell r="D48">
            <v>30.1</v>
          </cell>
          <cell r="E48">
            <v>11</v>
          </cell>
          <cell r="F48">
            <v>59.6</v>
          </cell>
          <cell r="H48">
            <v>92.7</v>
          </cell>
          <cell r="I48">
            <v>11</v>
          </cell>
          <cell r="J48">
            <v>62.9</v>
          </cell>
          <cell r="L48">
            <v>10.63</v>
          </cell>
        </row>
        <row r="49">
          <cell r="A49">
            <v>1960</v>
          </cell>
          <cell r="B49">
            <v>49.4</v>
          </cell>
          <cell r="D49">
            <v>62.5</v>
          </cell>
          <cell r="E49">
            <v>6</v>
          </cell>
          <cell r="F49">
            <v>44.5</v>
          </cell>
          <cell r="H49">
            <v>68.099999999999994</v>
          </cell>
          <cell r="I49">
            <v>2</v>
          </cell>
          <cell r="J49">
            <v>55.6</v>
          </cell>
          <cell r="L49">
            <v>8.68</v>
          </cell>
        </row>
        <row r="50">
          <cell r="A50">
            <v>1959</v>
          </cell>
          <cell r="B50">
            <v>38.5</v>
          </cell>
          <cell r="D50">
            <v>24</v>
          </cell>
          <cell r="E50">
            <v>11</v>
          </cell>
          <cell r="F50">
            <v>63.2</v>
          </cell>
          <cell r="H50">
            <v>135.80000000000001</v>
          </cell>
          <cell r="I50">
            <v>8</v>
          </cell>
          <cell r="J50">
            <v>57.6</v>
          </cell>
          <cell r="L50">
            <v>16.47</v>
          </cell>
        </row>
        <row r="51">
          <cell r="A51">
            <v>1958</v>
          </cell>
          <cell r="F51">
            <v>58.6</v>
          </cell>
          <cell r="H51">
            <v>73.2</v>
          </cell>
          <cell r="I51">
            <v>7</v>
          </cell>
          <cell r="J51">
            <v>50.1</v>
          </cell>
          <cell r="L51">
            <v>13.77</v>
          </cell>
        </row>
        <row r="52">
          <cell r="A52">
            <v>1957</v>
          </cell>
          <cell r="F52">
            <v>67.2</v>
          </cell>
          <cell r="H52">
            <v>77.5</v>
          </cell>
          <cell r="I52">
            <v>10</v>
          </cell>
          <cell r="J52">
            <v>72.7</v>
          </cell>
          <cell r="L52">
            <v>132.80000000000001</v>
          </cell>
        </row>
        <row r="53">
          <cell r="A53">
            <v>1956</v>
          </cell>
          <cell r="F53">
            <v>138.30000000000001</v>
          </cell>
          <cell r="H53">
            <v>88</v>
          </cell>
          <cell r="I53">
            <v>9</v>
          </cell>
          <cell r="J53">
            <v>63.8</v>
          </cell>
          <cell r="L53">
            <v>61.8</v>
          </cell>
        </row>
        <row r="54">
          <cell r="A54">
            <v>1955</v>
          </cell>
          <cell r="F54">
            <v>74.2</v>
          </cell>
          <cell r="H54">
            <v>89.3</v>
          </cell>
          <cell r="I54">
            <v>9</v>
          </cell>
          <cell r="J54">
            <v>51.7</v>
          </cell>
          <cell r="L54">
            <v>112.5</v>
          </cell>
        </row>
        <row r="55">
          <cell r="A55">
            <v>1954</v>
          </cell>
          <cell r="F55">
            <v>60.7</v>
          </cell>
          <cell r="H55">
            <v>58.8</v>
          </cell>
          <cell r="I55">
            <v>7</v>
          </cell>
          <cell r="J55">
            <v>61.7</v>
          </cell>
          <cell r="L55">
            <v>112.5</v>
          </cell>
        </row>
        <row r="56">
          <cell r="A56">
            <v>1953</v>
          </cell>
          <cell r="F56">
            <v>53.5</v>
          </cell>
          <cell r="J56">
            <v>35.5</v>
          </cell>
          <cell r="L56">
            <v>55</v>
          </cell>
        </row>
        <row r="57">
          <cell r="A57">
            <v>1952</v>
          </cell>
          <cell r="F57">
            <v>41.2</v>
          </cell>
          <cell r="L57">
            <v>78.900000000000006</v>
          </cell>
        </row>
        <row r="58">
          <cell r="A58">
            <v>1951</v>
          </cell>
          <cell r="F58">
            <v>54</v>
          </cell>
          <cell r="L58">
            <v>68</v>
          </cell>
        </row>
        <row r="59">
          <cell r="A59">
            <v>1950</v>
          </cell>
          <cell r="F59">
            <v>50.3</v>
          </cell>
          <cell r="L59">
            <v>80.099999999999994</v>
          </cell>
        </row>
        <row r="60">
          <cell r="A60" t="str">
            <v>N-Yıl</v>
          </cell>
          <cell r="B60">
            <v>26</v>
          </cell>
          <cell r="D60">
            <v>29</v>
          </cell>
          <cell r="F60">
            <v>74</v>
          </cell>
          <cell r="H60">
            <v>31</v>
          </cell>
          <cell r="J60">
            <v>28</v>
          </cell>
          <cell r="L60">
            <v>51</v>
          </cell>
          <cell r="N60">
            <v>14</v>
          </cell>
        </row>
        <row r="61">
          <cell r="A61" t="str">
            <v>UDF</v>
          </cell>
          <cell r="B61" t="str">
            <v>G2P</v>
          </cell>
          <cell r="D61" t="str">
            <v>G2P</v>
          </cell>
          <cell r="F61" t="str">
            <v>LN3</v>
          </cell>
          <cell r="H61" t="str">
            <v>LP3</v>
          </cell>
          <cell r="J61" t="str">
            <v>LN3</v>
          </cell>
          <cell r="L61" t="str">
            <v>G</v>
          </cell>
          <cell r="N61" t="str">
            <v>G2P</v>
          </cell>
        </row>
        <row r="62">
          <cell r="A62" t="str">
            <v>P-2</v>
          </cell>
          <cell r="B62">
            <v>42.82</v>
          </cell>
          <cell r="D62">
            <v>37.61</v>
          </cell>
          <cell r="F62">
            <v>64.150000000000006</v>
          </cell>
          <cell r="H62">
            <v>71.11</v>
          </cell>
          <cell r="J62">
            <v>53.25</v>
          </cell>
          <cell r="L62">
            <v>72.069999999999993</v>
          </cell>
          <cell r="N62">
            <v>29.63</v>
          </cell>
        </row>
        <row r="63">
          <cell r="A63" t="str">
            <v>P-5</v>
          </cell>
          <cell r="B63">
            <v>52.5</v>
          </cell>
          <cell r="D63">
            <v>53.9</v>
          </cell>
          <cell r="F63">
            <v>86.12</v>
          </cell>
          <cell r="H63">
            <v>89.41</v>
          </cell>
          <cell r="J63">
            <v>72.010000000000005</v>
          </cell>
          <cell r="L63">
            <v>118.85</v>
          </cell>
          <cell r="N63">
            <v>49.23</v>
          </cell>
        </row>
        <row r="64">
          <cell r="A64" t="str">
            <v>P-10</v>
          </cell>
          <cell r="B64">
            <v>59.09</v>
          </cell>
          <cell r="D64">
            <v>65.23</v>
          </cell>
          <cell r="F64">
            <v>101.92</v>
          </cell>
          <cell r="H64">
            <v>102.96</v>
          </cell>
          <cell r="J64">
            <v>86.13</v>
          </cell>
          <cell r="L64">
            <v>149.81</v>
          </cell>
          <cell r="N64">
            <v>68.66</v>
          </cell>
        </row>
        <row r="65">
          <cell r="A65" t="str">
            <v>P-25</v>
          </cell>
          <cell r="B65">
            <v>67.42</v>
          </cell>
          <cell r="D65">
            <v>79.73</v>
          </cell>
          <cell r="F65">
            <v>123.15</v>
          </cell>
          <cell r="H65">
            <v>121.71</v>
          </cell>
          <cell r="J65">
            <v>105.77</v>
          </cell>
          <cell r="L65">
            <v>188.94</v>
          </cell>
          <cell r="N65">
            <v>98.48</v>
          </cell>
        </row>
        <row r="66">
          <cell r="A66" t="str">
            <v>P-50</v>
          </cell>
          <cell r="B66">
            <v>73.56</v>
          </cell>
          <cell r="D66">
            <v>90.5</v>
          </cell>
          <cell r="F66">
            <v>139.76</v>
          </cell>
          <cell r="H66">
            <v>136.93</v>
          </cell>
          <cell r="J66">
            <v>121.58</v>
          </cell>
          <cell r="L66">
            <v>217.97</v>
          </cell>
          <cell r="N66">
            <v>123.46</v>
          </cell>
        </row>
        <row r="67">
          <cell r="A67" t="str">
            <v>P-100</v>
          </cell>
          <cell r="B67">
            <v>79.62</v>
          </cell>
          <cell r="D67">
            <v>101.21</v>
          </cell>
          <cell r="F67">
            <v>157.06</v>
          </cell>
          <cell r="H67">
            <v>153.21</v>
          </cell>
          <cell r="J67">
            <v>138.4</v>
          </cell>
          <cell r="L67">
            <v>246.78</v>
          </cell>
          <cell r="N67">
            <v>150.29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bastı"/>
      <sheetName val="Bereketli"/>
      <sheetName val="Fatsa"/>
      <sheetName val="Gölköy"/>
      <sheetName val="Korgan"/>
      <sheetName val="Kumru"/>
      <sheetName val="Mesudiye"/>
      <sheetName val="Topçam"/>
      <sheetName val="Ulubey"/>
      <sheetName val="Bulancak"/>
      <sheetName val="Koyulhisar"/>
      <sheetName val="Ordu"/>
      <sheetName val="Ortakent"/>
      <sheetName val="Reşadiye"/>
      <sheetName val="Yavuzkemal"/>
      <sheetName val="Toplam Yağı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bastı"/>
      <sheetName val="Bereketli"/>
      <sheetName val="Fatsa"/>
      <sheetName val="Gölköy"/>
      <sheetName val="Korgan"/>
      <sheetName val="Kumru"/>
      <sheetName val="Mesudiye"/>
      <sheetName val="Topçam"/>
      <sheetName val="Ulubey"/>
      <sheetName val="Bulancak"/>
      <sheetName val="Koyulhisar"/>
      <sheetName val="Ordu"/>
      <sheetName val="Ortakent"/>
      <sheetName val="Reşadiye"/>
      <sheetName val="Yavuzkemal"/>
      <sheetName val="Ort Sıcaklı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bastı"/>
      <sheetName val="Bereketli"/>
      <sheetName val="Fatsa"/>
      <sheetName val="Gölköy"/>
      <sheetName val="Korgan"/>
      <sheetName val="Kumru"/>
      <sheetName val="Mesudiye"/>
      <sheetName val="Topçam"/>
      <sheetName val="Ulubey"/>
      <sheetName val="Bulancak"/>
      <sheetName val="Koyulhisar"/>
      <sheetName val="Ordu"/>
      <sheetName val="Ortakent"/>
      <sheetName val="Reşadiye"/>
      <sheetName val="Yavuzkemal"/>
      <sheetName val="Ort Sıcaklı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6"/>
      <sheetName val="KAYNARCA BRJ KOT-HACIM"/>
    </sheetNames>
    <definedNames>
      <definedName name="Xvalues" refersTo="#BAŞV!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29"/>
  <sheetViews>
    <sheetView view="pageBreakPreview" zoomScaleNormal="100" zoomScaleSheetLayoutView="100" workbookViewId="0">
      <selection activeCell="A5" sqref="A5"/>
    </sheetView>
  </sheetViews>
  <sheetFormatPr defaultRowHeight="15" x14ac:dyDescent="0.25"/>
  <cols>
    <col min="1" max="1" width="11.140625" style="195" customWidth="1"/>
    <col min="2" max="2" width="24.7109375" style="195" customWidth="1"/>
    <col min="3" max="4" width="6.42578125" style="195" customWidth="1"/>
    <col min="5" max="5" width="8.5703125" style="195" customWidth="1"/>
    <col min="6" max="61" width="2.28515625" style="195" customWidth="1"/>
    <col min="62" max="16384" width="9.140625" style="197"/>
  </cols>
  <sheetData>
    <row r="1" spans="1:61" ht="27.75" customHeight="1" x14ac:dyDescent="0.25">
      <c r="A1" s="210" t="s">
        <v>117</v>
      </c>
      <c r="B1" s="194"/>
      <c r="C1" s="194"/>
      <c r="D1" s="194"/>
      <c r="E1" s="194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</row>
    <row r="2" spans="1:61" ht="15.75" customHeight="1" x14ac:dyDescent="0.25">
      <c r="A2" s="220" t="s">
        <v>29</v>
      </c>
      <c r="B2" s="222" t="s">
        <v>28</v>
      </c>
      <c r="C2" s="220" t="s">
        <v>27</v>
      </c>
      <c r="D2" s="220"/>
      <c r="E2" s="222" t="s">
        <v>179</v>
      </c>
      <c r="F2" s="223" t="s">
        <v>26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</row>
    <row r="3" spans="1:61" ht="15" customHeight="1" x14ac:dyDescent="0.25">
      <c r="A3" s="221"/>
      <c r="B3" s="221"/>
      <c r="C3" s="220"/>
      <c r="D3" s="220"/>
      <c r="E3" s="221"/>
      <c r="F3" s="219">
        <v>1960</v>
      </c>
      <c r="G3" s="219">
        <v>1961</v>
      </c>
      <c r="H3" s="219">
        <v>1962</v>
      </c>
      <c r="I3" s="219">
        <v>1963</v>
      </c>
      <c r="J3" s="219">
        <v>1964</v>
      </c>
      <c r="K3" s="219">
        <v>1965</v>
      </c>
      <c r="L3" s="219">
        <v>1966</v>
      </c>
      <c r="M3" s="219">
        <v>1967</v>
      </c>
      <c r="N3" s="219">
        <v>1968</v>
      </c>
      <c r="O3" s="219">
        <v>1969</v>
      </c>
      <c r="P3" s="219">
        <v>1970</v>
      </c>
      <c r="Q3" s="219">
        <v>1971</v>
      </c>
      <c r="R3" s="219">
        <v>1972</v>
      </c>
      <c r="S3" s="219">
        <v>1973</v>
      </c>
      <c r="T3" s="219">
        <v>1974</v>
      </c>
      <c r="U3" s="219">
        <v>1975</v>
      </c>
      <c r="V3" s="219">
        <v>1976</v>
      </c>
      <c r="W3" s="219">
        <v>1977</v>
      </c>
      <c r="X3" s="219">
        <v>1978</v>
      </c>
      <c r="Y3" s="219">
        <v>1979</v>
      </c>
      <c r="Z3" s="219">
        <v>1980</v>
      </c>
      <c r="AA3" s="219">
        <v>1981</v>
      </c>
      <c r="AB3" s="219">
        <v>1982</v>
      </c>
      <c r="AC3" s="219">
        <v>1983</v>
      </c>
      <c r="AD3" s="219">
        <v>1984</v>
      </c>
      <c r="AE3" s="219">
        <v>1985</v>
      </c>
      <c r="AF3" s="219">
        <v>1986</v>
      </c>
      <c r="AG3" s="219">
        <v>1987</v>
      </c>
      <c r="AH3" s="219">
        <v>1988</v>
      </c>
      <c r="AI3" s="219">
        <v>1989</v>
      </c>
      <c r="AJ3" s="219">
        <v>1990</v>
      </c>
      <c r="AK3" s="219">
        <v>1991</v>
      </c>
      <c r="AL3" s="219">
        <v>1992</v>
      </c>
      <c r="AM3" s="219">
        <v>1993</v>
      </c>
      <c r="AN3" s="219">
        <v>1994</v>
      </c>
      <c r="AO3" s="219">
        <v>1995</v>
      </c>
      <c r="AP3" s="219">
        <v>1996</v>
      </c>
      <c r="AQ3" s="219">
        <v>1997</v>
      </c>
      <c r="AR3" s="219">
        <v>1998</v>
      </c>
      <c r="AS3" s="219">
        <v>1999</v>
      </c>
      <c r="AT3" s="219">
        <v>2000</v>
      </c>
      <c r="AU3" s="219">
        <v>2001</v>
      </c>
      <c r="AV3" s="219">
        <v>2002</v>
      </c>
      <c r="AW3" s="219">
        <v>2003</v>
      </c>
      <c r="AX3" s="219">
        <v>2004</v>
      </c>
      <c r="AY3" s="219">
        <v>2005</v>
      </c>
      <c r="AZ3" s="219">
        <v>2006</v>
      </c>
      <c r="BA3" s="219">
        <v>2007</v>
      </c>
      <c r="BB3" s="219">
        <v>2008</v>
      </c>
      <c r="BC3" s="219">
        <v>2009</v>
      </c>
      <c r="BD3" s="219">
        <v>2010</v>
      </c>
      <c r="BE3" s="219">
        <v>2011</v>
      </c>
      <c r="BF3" s="219">
        <v>2012</v>
      </c>
      <c r="BG3" s="219">
        <v>2013</v>
      </c>
      <c r="BH3" s="219">
        <v>2014</v>
      </c>
      <c r="BI3" s="219">
        <v>2015</v>
      </c>
    </row>
    <row r="4" spans="1:61" ht="15.75" customHeight="1" x14ac:dyDescent="0.25">
      <c r="A4" s="221"/>
      <c r="B4" s="221"/>
      <c r="C4" s="220"/>
      <c r="D4" s="220"/>
      <c r="E4" s="221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</row>
    <row r="5" spans="1:61" ht="21.75" customHeight="1" x14ac:dyDescent="0.25">
      <c r="A5" s="211" t="s">
        <v>173</v>
      </c>
      <c r="B5" s="212" t="s">
        <v>174</v>
      </c>
      <c r="C5" s="213">
        <v>1965</v>
      </c>
      <c r="D5" s="213">
        <v>1985</v>
      </c>
      <c r="E5" s="214">
        <v>110</v>
      </c>
      <c r="F5" s="198"/>
      <c r="G5" s="198"/>
      <c r="H5" s="198"/>
      <c r="I5" s="198"/>
      <c r="J5" s="198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203"/>
      <c r="AU5" s="203"/>
      <c r="AV5" s="203"/>
      <c r="AW5" s="203"/>
      <c r="AX5" s="203"/>
      <c r="AY5" s="203"/>
      <c r="AZ5" s="202"/>
      <c r="BA5" s="202"/>
      <c r="BB5" s="202"/>
      <c r="BC5" s="202"/>
      <c r="BD5" s="202"/>
      <c r="BE5" s="202"/>
      <c r="BF5" s="202"/>
      <c r="BG5" s="202"/>
      <c r="BH5" s="202"/>
      <c r="BI5" s="202"/>
    </row>
    <row r="6" spans="1:61" ht="21.95" customHeight="1" x14ac:dyDescent="0.25">
      <c r="A6" s="211" t="s">
        <v>67</v>
      </c>
      <c r="B6" s="212" t="s">
        <v>49</v>
      </c>
      <c r="C6" s="213">
        <v>1966</v>
      </c>
      <c r="D6" s="213">
        <v>2008</v>
      </c>
      <c r="E6" s="214">
        <v>174.9</v>
      </c>
      <c r="F6" s="198"/>
      <c r="G6" s="198"/>
      <c r="H6" s="198"/>
      <c r="I6" s="198"/>
      <c r="J6" s="198"/>
      <c r="K6" s="198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8"/>
      <c r="Z6" s="198"/>
      <c r="AA6" s="199"/>
      <c r="AB6" s="199"/>
      <c r="AC6" s="199"/>
      <c r="AD6" s="199"/>
      <c r="AE6" s="199"/>
      <c r="AF6" s="199"/>
      <c r="AG6" s="199"/>
      <c r="AH6" s="198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200"/>
      <c r="AU6" s="200"/>
      <c r="AV6" s="200"/>
      <c r="AW6" s="200"/>
      <c r="AX6" s="200"/>
      <c r="AY6" s="200"/>
      <c r="AZ6" s="201"/>
      <c r="BA6" s="201"/>
      <c r="BB6" s="201"/>
      <c r="BC6" s="202"/>
      <c r="BD6" s="202"/>
      <c r="BE6" s="202"/>
      <c r="BF6" s="202"/>
      <c r="BG6" s="202"/>
      <c r="BH6" s="202"/>
      <c r="BI6" s="202"/>
    </row>
    <row r="7" spans="1:61" ht="21.95" customHeight="1" x14ac:dyDescent="0.25">
      <c r="A7" s="211" t="s">
        <v>68</v>
      </c>
      <c r="B7" s="212" t="s">
        <v>50</v>
      </c>
      <c r="C7" s="213">
        <v>1968</v>
      </c>
      <c r="D7" s="213">
        <v>1987</v>
      </c>
      <c r="E7" s="214">
        <v>118.3</v>
      </c>
      <c r="F7" s="198"/>
      <c r="G7" s="198"/>
      <c r="H7" s="198"/>
      <c r="I7" s="198"/>
      <c r="J7" s="198"/>
      <c r="K7" s="198"/>
      <c r="L7" s="198"/>
      <c r="M7" s="198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8"/>
      <c r="AA7" s="199"/>
      <c r="AB7" s="199"/>
      <c r="AC7" s="199"/>
      <c r="AD7" s="199"/>
      <c r="AE7" s="199"/>
      <c r="AF7" s="199"/>
      <c r="AG7" s="199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203"/>
      <c r="AU7" s="203"/>
      <c r="AV7" s="203"/>
      <c r="AW7" s="203"/>
      <c r="AX7" s="203"/>
      <c r="AY7" s="203"/>
      <c r="AZ7" s="202"/>
      <c r="BA7" s="202"/>
      <c r="BB7" s="202"/>
      <c r="BC7" s="202"/>
      <c r="BD7" s="202"/>
      <c r="BE7" s="202"/>
      <c r="BF7" s="202"/>
      <c r="BG7" s="202"/>
      <c r="BH7" s="202"/>
      <c r="BI7" s="202"/>
    </row>
    <row r="8" spans="1:61" ht="21.95" customHeight="1" x14ac:dyDescent="0.25">
      <c r="A8" s="211" t="s">
        <v>69</v>
      </c>
      <c r="B8" s="212" t="s">
        <v>51</v>
      </c>
      <c r="C8" s="213">
        <v>1967</v>
      </c>
      <c r="D8" s="215">
        <v>1972</v>
      </c>
      <c r="E8" s="214">
        <v>143</v>
      </c>
      <c r="F8" s="198"/>
      <c r="G8" s="198"/>
      <c r="H8" s="198"/>
      <c r="I8" s="198"/>
      <c r="J8" s="198"/>
      <c r="K8" s="198"/>
      <c r="L8" s="198"/>
      <c r="M8" s="199"/>
      <c r="N8" s="199"/>
      <c r="O8" s="199"/>
      <c r="P8" s="199"/>
      <c r="Q8" s="199"/>
      <c r="R8" s="199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203"/>
      <c r="AU8" s="203"/>
      <c r="AV8" s="203"/>
      <c r="AW8" s="203"/>
      <c r="AX8" s="203"/>
      <c r="AY8" s="203"/>
      <c r="AZ8" s="202"/>
      <c r="BA8" s="202"/>
      <c r="BB8" s="202"/>
      <c r="BC8" s="202"/>
      <c r="BD8" s="202"/>
      <c r="BE8" s="202"/>
      <c r="BF8" s="202"/>
      <c r="BG8" s="202"/>
      <c r="BH8" s="202"/>
      <c r="BI8" s="202"/>
    </row>
    <row r="9" spans="1:61" ht="21.95" customHeight="1" x14ac:dyDescent="0.25">
      <c r="A9" s="211" t="s">
        <v>70</v>
      </c>
      <c r="B9" s="212" t="s">
        <v>52</v>
      </c>
      <c r="C9" s="213">
        <v>1967</v>
      </c>
      <c r="D9" s="215">
        <v>1978</v>
      </c>
      <c r="E9" s="214">
        <v>84</v>
      </c>
      <c r="F9" s="198"/>
      <c r="G9" s="198"/>
      <c r="H9" s="198"/>
      <c r="I9" s="198"/>
      <c r="J9" s="198"/>
      <c r="K9" s="198"/>
      <c r="L9" s="198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203"/>
      <c r="AU9" s="203"/>
      <c r="AV9" s="203"/>
      <c r="AW9" s="203"/>
      <c r="AX9" s="203"/>
      <c r="AY9" s="203"/>
      <c r="AZ9" s="202"/>
      <c r="BA9" s="202"/>
      <c r="BB9" s="202"/>
      <c r="BC9" s="202"/>
      <c r="BD9" s="202"/>
      <c r="BE9" s="202"/>
      <c r="BF9" s="202"/>
      <c r="BG9" s="202"/>
      <c r="BH9" s="202"/>
      <c r="BI9" s="202"/>
    </row>
    <row r="10" spans="1:61" ht="21.95" customHeight="1" x14ac:dyDescent="0.25">
      <c r="A10" s="211" t="s">
        <v>71</v>
      </c>
      <c r="B10" s="212" t="s">
        <v>53</v>
      </c>
      <c r="C10" s="213">
        <v>1967</v>
      </c>
      <c r="D10" s="213">
        <v>1992</v>
      </c>
      <c r="E10" s="214">
        <v>43.75</v>
      </c>
      <c r="F10" s="198"/>
      <c r="G10" s="198"/>
      <c r="H10" s="198"/>
      <c r="I10" s="198"/>
      <c r="J10" s="198"/>
      <c r="K10" s="198"/>
      <c r="L10" s="198"/>
      <c r="M10" s="199"/>
      <c r="N10" s="199"/>
      <c r="O10" s="199"/>
      <c r="P10" s="199"/>
      <c r="Q10" s="199"/>
      <c r="R10" s="199"/>
      <c r="S10" s="199"/>
      <c r="T10" s="198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8"/>
      <c r="AI10" s="199"/>
      <c r="AJ10" s="199"/>
      <c r="AK10" s="199"/>
      <c r="AL10" s="199"/>
      <c r="AM10" s="198"/>
      <c r="AN10" s="198"/>
      <c r="AO10" s="198"/>
      <c r="AP10" s="198"/>
      <c r="AQ10" s="198"/>
      <c r="AR10" s="198"/>
      <c r="AS10" s="198"/>
      <c r="AT10" s="203"/>
      <c r="AU10" s="203"/>
      <c r="AV10" s="203"/>
      <c r="AW10" s="203"/>
      <c r="AX10" s="203"/>
      <c r="AY10" s="203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</row>
    <row r="11" spans="1:61" ht="21.95" customHeight="1" x14ac:dyDescent="0.25">
      <c r="A11" s="211" t="s">
        <v>72</v>
      </c>
      <c r="B11" s="212" t="s">
        <v>54</v>
      </c>
      <c r="C11" s="213">
        <v>1967</v>
      </c>
      <c r="D11" s="213">
        <v>1985</v>
      </c>
      <c r="E11" s="214">
        <v>95.75</v>
      </c>
      <c r="F11" s="198"/>
      <c r="G11" s="198"/>
      <c r="H11" s="198"/>
      <c r="I11" s="198"/>
      <c r="J11" s="198"/>
      <c r="K11" s="198"/>
      <c r="L11" s="198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203"/>
      <c r="AU11" s="203"/>
      <c r="AV11" s="203"/>
      <c r="AW11" s="203"/>
      <c r="AX11" s="203"/>
      <c r="AY11" s="203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</row>
    <row r="12" spans="1:61" ht="21.95" customHeight="1" x14ac:dyDescent="0.25">
      <c r="A12" s="211" t="s">
        <v>73</v>
      </c>
      <c r="B12" s="212" t="s">
        <v>55</v>
      </c>
      <c r="C12" s="213">
        <v>1967</v>
      </c>
      <c r="D12" s="213">
        <v>2015</v>
      </c>
      <c r="E12" s="214">
        <v>287.10000000000002</v>
      </c>
      <c r="F12" s="198"/>
      <c r="G12" s="198"/>
      <c r="H12" s="198"/>
      <c r="I12" s="198"/>
      <c r="J12" s="198"/>
      <c r="K12" s="198"/>
      <c r="L12" s="198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  <c r="AT12" s="200"/>
      <c r="AU12" s="200"/>
      <c r="AV12" s="200"/>
      <c r="AW12" s="200"/>
      <c r="AX12" s="200"/>
      <c r="AY12" s="200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</row>
    <row r="13" spans="1:61" ht="21.95" customHeight="1" x14ac:dyDescent="0.25">
      <c r="A13" s="211" t="s">
        <v>74</v>
      </c>
      <c r="B13" s="212" t="s">
        <v>56</v>
      </c>
      <c r="C13" s="213">
        <v>1969</v>
      </c>
      <c r="D13" s="213">
        <v>1987</v>
      </c>
      <c r="E13" s="214">
        <v>54.2</v>
      </c>
      <c r="F13" s="198"/>
      <c r="G13" s="198"/>
      <c r="H13" s="198"/>
      <c r="I13" s="198"/>
      <c r="J13" s="198"/>
      <c r="K13" s="198"/>
      <c r="L13" s="198"/>
      <c r="M13" s="198"/>
      <c r="N13" s="198"/>
      <c r="O13" s="199"/>
      <c r="P13" s="199"/>
      <c r="Q13" s="199"/>
      <c r="R13" s="199"/>
      <c r="S13" s="199"/>
      <c r="T13" s="199"/>
      <c r="U13" s="199"/>
      <c r="V13" s="198"/>
      <c r="W13" s="198"/>
      <c r="X13" s="198"/>
      <c r="Y13" s="199"/>
      <c r="Z13" s="198"/>
      <c r="AA13" s="198"/>
      <c r="AB13" s="199"/>
      <c r="AC13" s="199"/>
      <c r="AD13" s="199"/>
      <c r="AE13" s="199"/>
      <c r="AF13" s="199"/>
      <c r="AG13" s="199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</row>
    <row r="14" spans="1:61" ht="21.95" customHeight="1" x14ac:dyDescent="0.25">
      <c r="A14" s="211" t="s">
        <v>75</v>
      </c>
      <c r="B14" s="212" t="s">
        <v>57</v>
      </c>
      <c r="C14" s="213">
        <v>1969</v>
      </c>
      <c r="D14" s="213">
        <v>2015</v>
      </c>
      <c r="E14" s="214">
        <v>111.8</v>
      </c>
      <c r="F14" s="198"/>
      <c r="G14" s="198"/>
      <c r="H14" s="198"/>
      <c r="I14" s="198"/>
      <c r="J14" s="198"/>
      <c r="K14" s="198"/>
      <c r="L14" s="198"/>
      <c r="M14" s="198"/>
      <c r="N14" s="19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8"/>
      <c r="AA14" s="199"/>
      <c r="AB14" s="199"/>
      <c r="AC14" s="199"/>
      <c r="AD14" s="199"/>
      <c r="AE14" s="199"/>
      <c r="AF14" s="199"/>
      <c r="AG14" s="198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8"/>
      <c r="BD14" s="199"/>
      <c r="BE14" s="199"/>
      <c r="BF14" s="199"/>
      <c r="BG14" s="199"/>
      <c r="BH14" s="199"/>
      <c r="BI14" s="199"/>
    </row>
    <row r="15" spans="1:61" ht="21.95" customHeight="1" x14ac:dyDescent="0.25">
      <c r="A15" s="211" t="s">
        <v>76</v>
      </c>
      <c r="B15" s="212" t="s">
        <v>58</v>
      </c>
      <c r="C15" s="213">
        <v>1979</v>
      </c>
      <c r="D15" s="213">
        <v>2014</v>
      </c>
      <c r="E15" s="214">
        <v>83.5</v>
      </c>
      <c r="F15" s="198"/>
      <c r="G15" s="198"/>
      <c r="H15" s="198"/>
      <c r="I15" s="204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9"/>
      <c r="Z15" s="199"/>
      <c r="AA15" s="198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8"/>
    </row>
    <row r="16" spans="1:61" ht="21.95" customHeight="1" x14ac:dyDescent="0.25">
      <c r="A16" s="211" t="s">
        <v>77</v>
      </c>
      <c r="B16" s="212" t="s">
        <v>59</v>
      </c>
      <c r="C16" s="213">
        <v>1987</v>
      </c>
      <c r="D16" s="213">
        <v>1994</v>
      </c>
      <c r="E16" s="214">
        <v>35</v>
      </c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9"/>
      <c r="AH16" s="199"/>
      <c r="AI16" s="199"/>
      <c r="AJ16" s="199"/>
      <c r="AK16" s="199"/>
      <c r="AL16" s="199"/>
      <c r="AM16" s="199"/>
      <c r="AN16" s="199"/>
      <c r="AO16" s="198"/>
      <c r="AP16" s="198"/>
      <c r="AQ16" s="198"/>
      <c r="AR16" s="198"/>
      <c r="AS16" s="198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</row>
    <row r="17" spans="1:61" ht="21.95" customHeight="1" x14ac:dyDescent="0.25">
      <c r="A17" s="211" t="s">
        <v>78</v>
      </c>
      <c r="B17" s="212" t="s">
        <v>60</v>
      </c>
      <c r="C17" s="213">
        <v>1987</v>
      </c>
      <c r="D17" s="213">
        <v>1993</v>
      </c>
      <c r="E17" s="214">
        <v>83</v>
      </c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9"/>
      <c r="AH17" s="199"/>
      <c r="AI17" s="199"/>
      <c r="AJ17" s="198"/>
      <c r="AK17" s="199"/>
      <c r="AL17" s="199"/>
      <c r="AM17" s="199"/>
      <c r="AN17" s="198"/>
      <c r="AO17" s="198"/>
      <c r="AP17" s="198"/>
      <c r="AQ17" s="198"/>
      <c r="AR17" s="198"/>
      <c r="AS17" s="198"/>
      <c r="AT17" s="203"/>
      <c r="AU17" s="203"/>
      <c r="AV17" s="203"/>
      <c r="AW17" s="203"/>
      <c r="AX17" s="203"/>
      <c r="AY17" s="203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</row>
    <row r="18" spans="1:61" ht="21.95" customHeight="1" x14ac:dyDescent="0.25">
      <c r="A18" s="211" t="s">
        <v>79</v>
      </c>
      <c r="B18" s="212" t="s">
        <v>61</v>
      </c>
      <c r="C18" s="213">
        <v>1987</v>
      </c>
      <c r="D18" s="213">
        <v>1994</v>
      </c>
      <c r="E18" s="214">
        <v>10</v>
      </c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9"/>
      <c r="AH18" s="199"/>
      <c r="AI18" s="199"/>
      <c r="AJ18" s="199"/>
      <c r="AK18" s="199"/>
      <c r="AL18" s="199"/>
      <c r="AM18" s="199"/>
      <c r="AN18" s="199"/>
      <c r="AO18" s="198"/>
      <c r="AP18" s="198"/>
      <c r="AQ18" s="198"/>
      <c r="AR18" s="198"/>
      <c r="AS18" s="198"/>
      <c r="AT18" s="203"/>
      <c r="AU18" s="203"/>
      <c r="AV18" s="203"/>
      <c r="AW18" s="203"/>
      <c r="AX18" s="203"/>
      <c r="AY18" s="203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</row>
    <row r="19" spans="1:61" s="205" customFormat="1" ht="21.95" customHeight="1" x14ac:dyDescent="0.25">
      <c r="A19" s="211" t="s">
        <v>176</v>
      </c>
      <c r="B19" s="212" t="s">
        <v>177</v>
      </c>
      <c r="C19" s="213">
        <v>1991</v>
      </c>
      <c r="D19" s="213">
        <v>1996</v>
      </c>
      <c r="E19" s="214">
        <v>260</v>
      </c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9"/>
      <c r="AL19" s="199"/>
      <c r="AM19" s="199"/>
      <c r="AN19" s="199"/>
      <c r="AO19" s="199"/>
      <c r="AP19" s="199"/>
      <c r="AQ19" s="198"/>
      <c r="AR19" s="198"/>
      <c r="AS19" s="198"/>
      <c r="AT19" s="203"/>
      <c r="AU19" s="203"/>
      <c r="AV19" s="203"/>
      <c r="AW19" s="203"/>
      <c r="AX19" s="203"/>
      <c r="AY19" s="203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</row>
    <row r="20" spans="1:61" ht="21.95" customHeight="1" x14ac:dyDescent="0.25">
      <c r="A20" s="211" t="s">
        <v>80</v>
      </c>
      <c r="B20" s="212" t="s">
        <v>62</v>
      </c>
      <c r="C20" s="213">
        <v>1990</v>
      </c>
      <c r="D20" s="213">
        <v>2011</v>
      </c>
      <c r="E20" s="214">
        <v>55</v>
      </c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9"/>
      <c r="AK20" s="199"/>
      <c r="AL20" s="199"/>
      <c r="AM20" s="199"/>
      <c r="AN20" s="199"/>
      <c r="AO20" s="199"/>
      <c r="AP20" s="199"/>
      <c r="AQ20" s="199"/>
      <c r="AR20" s="199"/>
      <c r="AS20" s="199"/>
      <c r="AT20" s="200"/>
      <c r="AU20" s="200"/>
      <c r="AV20" s="200"/>
      <c r="AW20" s="200"/>
      <c r="AX20" s="200"/>
      <c r="AY20" s="200"/>
      <c r="AZ20" s="201"/>
      <c r="BA20" s="201"/>
      <c r="BB20" s="201"/>
      <c r="BC20" s="202"/>
      <c r="BD20" s="201"/>
      <c r="BE20" s="201"/>
      <c r="BF20" s="202"/>
      <c r="BG20" s="202"/>
      <c r="BH20" s="202"/>
      <c r="BI20" s="202"/>
    </row>
    <row r="21" spans="1:61" ht="21.95" customHeight="1" x14ac:dyDescent="0.25">
      <c r="A21" s="211" t="s">
        <v>81</v>
      </c>
      <c r="B21" s="212" t="s">
        <v>63</v>
      </c>
      <c r="C21" s="213">
        <v>1995</v>
      </c>
      <c r="D21" s="213">
        <v>2015</v>
      </c>
      <c r="E21" s="214">
        <v>83.9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9"/>
      <c r="AP21" s="199"/>
      <c r="AQ21" s="199"/>
      <c r="AR21" s="199"/>
      <c r="AS21" s="199"/>
      <c r="AT21" s="200"/>
      <c r="AU21" s="200"/>
      <c r="AV21" s="200"/>
      <c r="AW21" s="200"/>
      <c r="AX21" s="200"/>
      <c r="AY21" s="200"/>
      <c r="AZ21" s="201"/>
      <c r="BA21" s="201"/>
      <c r="BB21" s="201"/>
      <c r="BC21" s="202"/>
      <c r="BD21" s="201"/>
      <c r="BE21" s="201"/>
      <c r="BF21" s="201"/>
      <c r="BG21" s="201"/>
      <c r="BH21" s="201"/>
      <c r="BI21" s="201"/>
    </row>
    <row r="22" spans="1:61" ht="21.95" customHeight="1" x14ac:dyDescent="0.25">
      <c r="A22" s="211" t="s">
        <v>82</v>
      </c>
      <c r="B22" s="212" t="s">
        <v>64</v>
      </c>
      <c r="C22" s="213">
        <v>1995</v>
      </c>
      <c r="D22" s="213">
        <v>2015</v>
      </c>
      <c r="E22" s="214">
        <v>65.8</v>
      </c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9"/>
      <c r="AP22" s="199"/>
      <c r="AQ22" s="198"/>
      <c r="AR22" s="199"/>
      <c r="AS22" s="199"/>
      <c r="AT22" s="200"/>
      <c r="AU22" s="200"/>
      <c r="AV22" s="200"/>
      <c r="AW22" s="200"/>
      <c r="AX22" s="200"/>
      <c r="AY22" s="200"/>
      <c r="AZ22" s="201"/>
      <c r="BA22" s="201"/>
      <c r="BB22" s="201"/>
      <c r="BC22" s="202"/>
      <c r="BD22" s="202"/>
      <c r="BE22" s="201"/>
      <c r="BF22" s="201"/>
      <c r="BG22" s="201"/>
      <c r="BH22" s="201"/>
      <c r="BI22" s="201"/>
    </row>
    <row r="23" spans="1:61" s="205" customFormat="1" ht="21.95" customHeight="1" x14ac:dyDescent="0.25">
      <c r="A23" s="211" t="s">
        <v>171</v>
      </c>
      <c r="B23" s="212" t="s">
        <v>172</v>
      </c>
      <c r="C23" s="213">
        <v>1996</v>
      </c>
      <c r="D23" s="213">
        <v>2015</v>
      </c>
      <c r="E23" s="214">
        <v>342</v>
      </c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9"/>
      <c r="AQ23" s="199"/>
      <c r="AR23" s="199"/>
      <c r="AS23" s="199"/>
      <c r="AT23" s="200"/>
      <c r="AU23" s="200"/>
      <c r="AV23" s="200"/>
      <c r="AW23" s="200"/>
      <c r="AX23" s="200"/>
      <c r="AY23" s="200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</row>
    <row r="24" spans="1:61" ht="21.95" customHeight="1" x14ac:dyDescent="0.25">
      <c r="A24" s="211" t="s">
        <v>83</v>
      </c>
      <c r="B24" s="212" t="s">
        <v>65</v>
      </c>
      <c r="C24" s="213">
        <v>1998</v>
      </c>
      <c r="D24" s="213">
        <v>2011</v>
      </c>
      <c r="E24" s="214">
        <v>182.8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9"/>
      <c r="AS24" s="199"/>
      <c r="AT24" s="200"/>
      <c r="AU24" s="200"/>
      <c r="AV24" s="200"/>
      <c r="AW24" s="200"/>
      <c r="AX24" s="200"/>
      <c r="AY24" s="200"/>
      <c r="AZ24" s="201"/>
      <c r="BA24" s="201"/>
      <c r="BB24" s="201"/>
      <c r="BC24" s="201"/>
      <c r="BD24" s="201"/>
      <c r="BE24" s="201"/>
      <c r="BF24" s="202"/>
      <c r="BG24" s="202"/>
      <c r="BH24" s="202"/>
      <c r="BI24" s="202"/>
    </row>
    <row r="25" spans="1:61" ht="21.95" customHeight="1" x14ac:dyDescent="0.25">
      <c r="A25" s="211" t="s">
        <v>84</v>
      </c>
      <c r="B25" s="212" t="s">
        <v>112</v>
      </c>
      <c r="C25" s="213">
        <v>1977</v>
      </c>
      <c r="D25" s="213">
        <v>2012</v>
      </c>
      <c r="E25" s="214">
        <v>118.3</v>
      </c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8"/>
      <c r="AK25" s="198"/>
      <c r="AL25" s="198"/>
      <c r="AM25" s="199"/>
      <c r="AN25" s="199"/>
      <c r="AO25" s="199"/>
      <c r="AP25" s="199"/>
      <c r="AQ25" s="199"/>
      <c r="AR25" s="199"/>
      <c r="AS25" s="199"/>
      <c r="AT25" s="200"/>
      <c r="AU25" s="200"/>
      <c r="AV25" s="203"/>
      <c r="AW25" s="200"/>
      <c r="AX25" s="200"/>
      <c r="AY25" s="200"/>
      <c r="AZ25" s="201"/>
      <c r="BA25" s="201"/>
      <c r="BB25" s="201"/>
      <c r="BC25" s="201"/>
      <c r="BD25" s="201"/>
      <c r="BE25" s="201"/>
      <c r="BF25" s="201"/>
      <c r="BG25" s="202"/>
      <c r="BH25" s="202"/>
      <c r="BI25" s="202"/>
    </row>
    <row r="26" spans="1:61" ht="21.95" customHeight="1" x14ac:dyDescent="0.25">
      <c r="A26" s="211" t="s">
        <v>85</v>
      </c>
      <c r="B26" s="212" t="s">
        <v>66</v>
      </c>
      <c r="C26" s="213">
        <v>1988</v>
      </c>
      <c r="D26" s="213">
        <v>2014</v>
      </c>
      <c r="E26" s="214">
        <v>25.8</v>
      </c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9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200"/>
      <c r="AU26" s="200"/>
      <c r="AV26" s="200"/>
      <c r="AW26" s="200"/>
      <c r="AX26" s="200"/>
      <c r="AY26" s="200"/>
      <c r="AZ26" s="201"/>
      <c r="BA26" s="201"/>
      <c r="BB26" s="201"/>
      <c r="BC26" s="201"/>
      <c r="BD26" s="201"/>
      <c r="BE26" s="201"/>
      <c r="BF26" s="201"/>
      <c r="BG26" s="201"/>
      <c r="BH26" s="201"/>
      <c r="BI26" s="202"/>
    </row>
    <row r="27" spans="1:61" s="205" customFormat="1" x14ac:dyDescent="0.25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</row>
    <row r="28" spans="1:61" x14ac:dyDescent="0.25">
      <c r="B28" s="207" t="s">
        <v>25</v>
      </c>
      <c r="C28" s="208"/>
    </row>
    <row r="29" spans="1:61" x14ac:dyDescent="0.25">
      <c r="B29" s="207" t="s">
        <v>24</v>
      </c>
      <c r="C29" s="209"/>
    </row>
  </sheetData>
  <mergeCells count="61">
    <mergeCell ref="R3:R4"/>
    <mergeCell ref="S3:S4"/>
    <mergeCell ref="T3:T4"/>
    <mergeCell ref="M3:M4"/>
    <mergeCell ref="F2:BI2"/>
    <mergeCell ref="BH3:BH4"/>
    <mergeCell ref="BI3:BI4"/>
    <mergeCell ref="BB3:BB4"/>
    <mergeCell ref="BF3:BF4"/>
    <mergeCell ref="BG3:BG4"/>
    <mergeCell ref="BE3:BE4"/>
    <mergeCell ref="BC3:BC4"/>
    <mergeCell ref="BD3:BD4"/>
    <mergeCell ref="U3:U4"/>
    <mergeCell ref="V3:V4"/>
    <mergeCell ref="W3:W4"/>
    <mergeCell ref="X3:X4"/>
    <mergeCell ref="O3:O4"/>
    <mergeCell ref="P3:P4"/>
    <mergeCell ref="AK3:AK4"/>
    <mergeCell ref="AN3:AN4"/>
    <mergeCell ref="AH3:AH4"/>
    <mergeCell ref="Y3:Y4"/>
    <mergeCell ref="Z3:Z4"/>
    <mergeCell ref="AA3:AA4"/>
    <mergeCell ref="AB3:AB4"/>
    <mergeCell ref="AJ3:AJ4"/>
    <mergeCell ref="AI3:AI4"/>
    <mergeCell ref="AC3:AC4"/>
    <mergeCell ref="AD3:AD4"/>
    <mergeCell ref="AE3:AE4"/>
    <mergeCell ref="AF3:AF4"/>
    <mergeCell ref="A2:A4"/>
    <mergeCell ref="B2:B4"/>
    <mergeCell ref="C2:D4"/>
    <mergeCell ref="E2:E4"/>
    <mergeCell ref="Q3:Q4"/>
    <mergeCell ref="F3:F4"/>
    <mergeCell ref="G3:G4"/>
    <mergeCell ref="H3:H4"/>
    <mergeCell ref="N3:N4"/>
    <mergeCell ref="I3:I4"/>
    <mergeCell ref="J3:J4"/>
    <mergeCell ref="K3:K4"/>
    <mergeCell ref="L3:L4"/>
    <mergeCell ref="AG3:AG4"/>
    <mergeCell ref="AL3:AL4"/>
    <mergeCell ref="AZ3:AZ4"/>
    <mergeCell ref="BA3:BA4"/>
    <mergeCell ref="AP3:AP4"/>
    <mergeCell ref="AY3:AY4"/>
    <mergeCell ref="AT3:AT4"/>
    <mergeCell ref="AU3:AU4"/>
    <mergeCell ref="AW3:AW4"/>
    <mergeCell ref="AX3:AX4"/>
    <mergeCell ref="AV3:AV4"/>
    <mergeCell ref="AQ3:AQ4"/>
    <mergeCell ref="AR3:AR4"/>
    <mergeCell ref="AS3:AS4"/>
    <mergeCell ref="AO3:AO4"/>
    <mergeCell ref="AM3:AM4"/>
  </mergeCells>
  <pageMargins left="0.19685039370078741" right="0.19685039370078741" top="0.74803149606299213" bottom="0.74803149606299213" header="0.31496062992125984" footer="0.31496062992125984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L72"/>
  <sheetViews>
    <sheetView view="pageBreakPreview" zoomScale="85" zoomScaleNormal="85" zoomScaleSheetLayoutView="85" workbookViewId="0">
      <selection activeCell="AE1" sqref="AE1"/>
    </sheetView>
  </sheetViews>
  <sheetFormatPr defaultRowHeight="12" x14ac:dyDescent="0.2"/>
  <cols>
    <col min="1" max="2" width="10.5703125" style="29" customWidth="1"/>
    <col min="3" max="4" width="10.5703125" style="29" hidden="1" customWidth="1"/>
    <col min="5" max="20" width="10.5703125" style="29" customWidth="1"/>
    <col min="21" max="26" width="10.140625" style="29" customWidth="1"/>
    <col min="27" max="28" width="10.140625" style="30" customWidth="1"/>
    <col min="29" max="34" width="10.140625" style="31" customWidth="1"/>
    <col min="35" max="16384" width="9.140625" style="29"/>
  </cols>
  <sheetData>
    <row r="1" spans="1:38" ht="15.75" x14ac:dyDescent="0.2">
      <c r="A1" s="175" t="s">
        <v>182</v>
      </c>
      <c r="M1" s="175" t="s">
        <v>183</v>
      </c>
      <c r="W1" s="175" t="s">
        <v>183</v>
      </c>
      <c r="AE1" s="175" t="s">
        <v>183</v>
      </c>
    </row>
    <row r="2" spans="1:38" ht="12.75" thickBot="1" x14ac:dyDescent="0.25"/>
    <row r="3" spans="1:38" s="31" customFormat="1" ht="21" customHeight="1" x14ac:dyDescent="0.2">
      <c r="A3" s="224" t="s">
        <v>49</v>
      </c>
      <c r="B3" s="225"/>
      <c r="C3" s="226" t="s">
        <v>50</v>
      </c>
      <c r="D3" s="225"/>
      <c r="E3" s="224" t="s">
        <v>51</v>
      </c>
      <c r="F3" s="225"/>
      <c r="G3" s="224" t="s">
        <v>52</v>
      </c>
      <c r="H3" s="225"/>
      <c r="I3" s="224" t="s">
        <v>53</v>
      </c>
      <c r="J3" s="225"/>
      <c r="K3" s="224" t="s">
        <v>54</v>
      </c>
      <c r="L3" s="225"/>
      <c r="M3" s="224" t="s">
        <v>55</v>
      </c>
      <c r="N3" s="225"/>
      <c r="O3" s="226" t="s">
        <v>56</v>
      </c>
      <c r="P3" s="225"/>
      <c r="Q3" s="226" t="s">
        <v>57</v>
      </c>
      <c r="R3" s="225"/>
      <c r="S3" s="224" t="s">
        <v>58</v>
      </c>
      <c r="T3" s="225"/>
      <c r="U3" s="224" t="s">
        <v>59</v>
      </c>
      <c r="V3" s="225"/>
      <c r="W3" s="224" t="s">
        <v>60</v>
      </c>
      <c r="X3" s="225"/>
      <c r="Y3" s="224" t="s">
        <v>61</v>
      </c>
      <c r="Z3" s="225"/>
      <c r="AA3" s="226" t="s">
        <v>62</v>
      </c>
      <c r="AB3" s="225"/>
      <c r="AC3" s="226" t="s">
        <v>63</v>
      </c>
      <c r="AD3" s="225"/>
      <c r="AE3" s="224" t="s">
        <v>64</v>
      </c>
      <c r="AF3" s="225"/>
      <c r="AG3" s="226" t="s">
        <v>65</v>
      </c>
      <c r="AH3" s="225"/>
      <c r="AI3" s="226" t="s">
        <v>112</v>
      </c>
      <c r="AJ3" s="225"/>
      <c r="AK3" s="226" t="s">
        <v>66</v>
      </c>
      <c r="AL3" s="225"/>
    </row>
    <row r="4" spans="1:38" s="30" customFormat="1" x14ac:dyDescent="0.2">
      <c r="A4" s="227" t="s">
        <v>67</v>
      </c>
      <c r="B4" s="228"/>
      <c r="C4" s="229" t="s">
        <v>68</v>
      </c>
      <c r="D4" s="228"/>
      <c r="E4" s="227" t="s">
        <v>69</v>
      </c>
      <c r="F4" s="228"/>
      <c r="G4" s="227" t="s">
        <v>70</v>
      </c>
      <c r="H4" s="228"/>
      <c r="I4" s="227" t="s">
        <v>71</v>
      </c>
      <c r="J4" s="228"/>
      <c r="K4" s="227" t="s">
        <v>72</v>
      </c>
      <c r="L4" s="228"/>
      <c r="M4" s="227" t="s">
        <v>73</v>
      </c>
      <c r="N4" s="228"/>
      <c r="O4" s="229" t="s">
        <v>74</v>
      </c>
      <c r="P4" s="228"/>
      <c r="Q4" s="229" t="s">
        <v>75</v>
      </c>
      <c r="R4" s="228"/>
      <c r="S4" s="227" t="s">
        <v>76</v>
      </c>
      <c r="T4" s="228"/>
      <c r="U4" s="227" t="s">
        <v>77</v>
      </c>
      <c r="V4" s="228"/>
      <c r="W4" s="227" t="s">
        <v>78</v>
      </c>
      <c r="X4" s="228"/>
      <c r="Y4" s="227" t="s">
        <v>79</v>
      </c>
      <c r="Z4" s="228"/>
      <c r="AA4" s="229" t="s">
        <v>80</v>
      </c>
      <c r="AB4" s="228"/>
      <c r="AC4" s="232" t="s">
        <v>81</v>
      </c>
      <c r="AD4" s="231"/>
      <c r="AE4" s="230" t="s">
        <v>82</v>
      </c>
      <c r="AF4" s="231"/>
      <c r="AG4" s="232" t="s">
        <v>83</v>
      </c>
      <c r="AH4" s="231"/>
      <c r="AI4" s="229" t="s">
        <v>84</v>
      </c>
      <c r="AJ4" s="228"/>
      <c r="AK4" s="229" t="s">
        <v>85</v>
      </c>
      <c r="AL4" s="228"/>
    </row>
    <row r="5" spans="1:38" ht="12" customHeight="1" x14ac:dyDescent="0.2">
      <c r="A5" s="233" t="s">
        <v>86</v>
      </c>
      <c r="B5" s="234"/>
      <c r="C5" s="235" t="s">
        <v>87</v>
      </c>
      <c r="D5" s="236"/>
      <c r="E5" s="233" t="s">
        <v>88</v>
      </c>
      <c r="F5" s="234"/>
      <c r="G5" s="233" t="s">
        <v>89</v>
      </c>
      <c r="H5" s="234"/>
      <c r="I5" s="233" t="s">
        <v>90</v>
      </c>
      <c r="J5" s="234"/>
      <c r="K5" s="233" t="s">
        <v>91</v>
      </c>
      <c r="L5" s="234"/>
      <c r="M5" s="233" t="s">
        <v>92</v>
      </c>
      <c r="N5" s="234"/>
      <c r="O5" s="235" t="s">
        <v>93</v>
      </c>
      <c r="P5" s="234"/>
      <c r="Q5" s="235" t="s">
        <v>94</v>
      </c>
      <c r="R5" s="234"/>
      <c r="S5" s="235" t="s">
        <v>95</v>
      </c>
      <c r="T5" s="236"/>
      <c r="U5" s="233" t="s">
        <v>96</v>
      </c>
      <c r="V5" s="234"/>
      <c r="W5" s="233" t="s">
        <v>97</v>
      </c>
      <c r="X5" s="234"/>
      <c r="Y5" s="233" t="s">
        <v>98</v>
      </c>
      <c r="Z5" s="234"/>
      <c r="AA5" s="244" t="s">
        <v>99</v>
      </c>
      <c r="AB5" s="245"/>
      <c r="AC5" s="243" t="s">
        <v>100</v>
      </c>
      <c r="AD5" s="242"/>
      <c r="AE5" s="241" t="s">
        <v>101</v>
      </c>
      <c r="AF5" s="242"/>
      <c r="AG5" s="243" t="s">
        <v>102</v>
      </c>
      <c r="AH5" s="242"/>
      <c r="AI5" s="235" t="s">
        <v>103</v>
      </c>
      <c r="AJ5" s="234"/>
      <c r="AK5" s="235" t="s">
        <v>104</v>
      </c>
      <c r="AL5" s="234"/>
    </row>
    <row r="6" spans="1:38" s="35" customFormat="1" ht="11.25" x14ac:dyDescent="0.2">
      <c r="A6" s="237" t="s">
        <v>22</v>
      </c>
      <c r="B6" s="1" t="s">
        <v>1</v>
      </c>
      <c r="C6" s="239" t="s">
        <v>22</v>
      </c>
      <c r="D6" s="32" t="s">
        <v>1</v>
      </c>
      <c r="E6" s="237" t="s">
        <v>22</v>
      </c>
      <c r="F6" s="1" t="s">
        <v>1</v>
      </c>
      <c r="G6" s="237" t="s">
        <v>22</v>
      </c>
      <c r="H6" s="1" t="s">
        <v>1</v>
      </c>
      <c r="I6" s="237" t="s">
        <v>22</v>
      </c>
      <c r="J6" s="1" t="s">
        <v>1</v>
      </c>
      <c r="K6" s="237" t="s">
        <v>22</v>
      </c>
      <c r="L6" s="1" t="s">
        <v>1</v>
      </c>
      <c r="M6" s="237" t="s">
        <v>0</v>
      </c>
      <c r="N6" s="1" t="s">
        <v>1</v>
      </c>
      <c r="O6" s="239" t="s">
        <v>0</v>
      </c>
      <c r="P6" s="1" t="s">
        <v>1</v>
      </c>
      <c r="Q6" s="239" t="s">
        <v>0</v>
      </c>
      <c r="R6" s="1" t="s">
        <v>1</v>
      </c>
      <c r="S6" s="237" t="s">
        <v>0</v>
      </c>
      <c r="T6" s="1" t="s">
        <v>1</v>
      </c>
      <c r="U6" s="246" t="s">
        <v>0</v>
      </c>
      <c r="V6" s="1" t="s">
        <v>1</v>
      </c>
      <c r="W6" s="246" t="s">
        <v>0</v>
      </c>
      <c r="X6" s="1" t="s">
        <v>1</v>
      </c>
      <c r="Y6" s="246" t="s">
        <v>0</v>
      </c>
      <c r="Z6" s="1" t="s">
        <v>1</v>
      </c>
      <c r="AA6" s="254" t="s">
        <v>0</v>
      </c>
      <c r="AB6" s="33" t="s">
        <v>1</v>
      </c>
      <c r="AC6" s="252" t="s">
        <v>0</v>
      </c>
      <c r="AD6" s="34" t="s">
        <v>1</v>
      </c>
      <c r="AE6" s="250" t="s">
        <v>0</v>
      </c>
      <c r="AF6" s="34" t="s">
        <v>1</v>
      </c>
      <c r="AG6" s="252" t="s">
        <v>0</v>
      </c>
      <c r="AH6" s="34" t="s">
        <v>1</v>
      </c>
      <c r="AI6" s="248" t="s">
        <v>0</v>
      </c>
      <c r="AJ6" s="1" t="s">
        <v>1</v>
      </c>
      <c r="AK6" s="248" t="s">
        <v>0</v>
      </c>
      <c r="AL6" s="1" t="s">
        <v>1</v>
      </c>
    </row>
    <row r="7" spans="1:38" s="35" customFormat="1" ht="13.5" thickBot="1" x14ac:dyDescent="0.25">
      <c r="A7" s="238"/>
      <c r="B7" s="16" t="s">
        <v>2</v>
      </c>
      <c r="C7" s="240"/>
      <c r="D7" s="36" t="s">
        <v>2</v>
      </c>
      <c r="E7" s="238"/>
      <c r="F7" s="2" t="s">
        <v>2</v>
      </c>
      <c r="G7" s="238"/>
      <c r="H7" s="2" t="s">
        <v>2</v>
      </c>
      <c r="I7" s="238"/>
      <c r="J7" s="2" t="s">
        <v>2</v>
      </c>
      <c r="K7" s="238"/>
      <c r="L7" s="2" t="s">
        <v>2</v>
      </c>
      <c r="M7" s="238"/>
      <c r="N7" s="2" t="s">
        <v>2</v>
      </c>
      <c r="O7" s="240"/>
      <c r="P7" s="2" t="s">
        <v>2</v>
      </c>
      <c r="Q7" s="240"/>
      <c r="R7" s="2" t="s">
        <v>2</v>
      </c>
      <c r="S7" s="238"/>
      <c r="T7" s="2" t="s">
        <v>2</v>
      </c>
      <c r="U7" s="247"/>
      <c r="V7" s="16" t="s">
        <v>2</v>
      </c>
      <c r="W7" s="247"/>
      <c r="X7" s="16" t="s">
        <v>2</v>
      </c>
      <c r="Y7" s="247"/>
      <c r="Z7" s="16" t="s">
        <v>2</v>
      </c>
      <c r="AA7" s="255"/>
      <c r="AB7" s="2" t="s">
        <v>2</v>
      </c>
      <c r="AC7" s="253"/>
      <c r="AD7" s="2" t="s">
        <v>2</v>
      </c>
      <c r="AE7" s="251"/>
      <c r="AF7" s="16" t="s">
        <v>2</v>
      </c>
      <c r="AG7" s="253"/>
      <c r="AH7" s="2" t="s">
        <v>2</v>
      </c>
      <c r="AI7" s="249"/>
      <c r="AJ7" s="2" t="s">
        <v>2</v>
      </c>
      <c r="AK7" s="249"/>
      <c r="AL7" s="2" t="s">
        <v>2</v>
      </c>
    </row>
    <row r="8" spans="1:38" s="42" customFormat="1" x14ac:dyDescent="0.2">
      <c r="A8" s="15"/>
      <c r="B8" s="110"/>
      <c r="C8" s="15"/>
      <c r="D8" s="4"/>
      <c r="E8" s="37"/>
      <c r="F8" s="4"/>
      <c r="G8" s="37"/>
      <c r="H8" s="4"/>
      <c r="I8" s="37"/>
      <c r="J8" s="4"/>
      <c r="K8" s="37"/>
      <c r="L8" s="4"/>
      <c r="M8" s="15">
        <v>2015</v>
      </c>
      <c r="N8" s="4">
        <v>393</v>
      </c>
      <c r="O8" s="3"/>
      <c r="P8" s="4"/>
      <c r="Q8" s="3">
        <v>2015</v>
      </c>
      <c r="R8" s="4">
        <v>75.8</v>
      </c>
      <c r="S8" s="15">
        <v>2015</v>
      </c>
      <c r="T8" s="110"/>
      <c r="U8" s="37"/>
      <c r="V8" s="110"/>
      <c r="W8" s="37"/>
      <c r="X8" s="109"/>
      <c r="Y8" s="37"/>
      <c r="Z8" s="109"/>
      <c r="AA8" s="15"/>
      <c r="AB8" s="39"/>
      <c r="AC8" s="40">
        <v>2015</v>
      </c>
      <c r="AD8" s="41">
        <v>81.7</v>
      </c>
      <c r="AE8" s="177">
        <v>2015</v>
      </c>
      <c r="AF8" s="41">
        <v>45</v>
      </c>
      <c r="AG8" s="40"/>
      <c r="AH8" s="41"/>
      <c r="AI8" s="38"/>
      <c r="AJ8" s="4"/>
      <c r="AK8" s="38"/>
      <c r="AL8" s="4"/>
    </row>
    <row r="9" spans="1:38" s="74" customFormat="1" x14ac:dyDescent="0.2">
      <c r="A9" s="17"/>
      <c r="B9" s="112"/>
      <c r="C9" s="17"/>
      <c r="D9" s="67"/>
      <c r="E9" s="69"/>
      <c r="F9" s="67"/>
      <c r="G9" s="69"/>
      <c r="H9" s="67"/>
      <c r="I9" s="69"/>
      <c r="J9" s="67"/>
      <c r="K9" s="69"/>
      <c r="L9" s="67"/>
      <c r="M9" s="17">
        <v>2014</v>
      </c>
      <c r="N9" s="18">
        <v>336</v>
      </c>
      <c r="O9" s="68"/>
      <c r="P9" s="67"/>
      <c r="Q9" s="68">
        <v>2014</v>
      </c>
      <c r="R9" s="67">
        <v>16.100000000000001</v>
      </c>
      <c r="S9" s="17">
        <v>2014</v>
      </c>
      <c r="T9" s="112">
        <v>59.5</v>
      </c>
      <c r="U9" s="69"/>
      <c r="V9" s="112"/>
      <c r="W9" s="69"/>
      <c r="X9" s="111"/>
      <c r="Y9" s="69"/>
      <c r="Z9" s="111"/>
      <c r="AA9" s="17"/>
      <c r="AB9" s="71"/>
      <c r="AC9" s="72">
        <v>2014</v>
      </c>
      <c r="AD9" s="73">
        <v>46</v>
      </c>
      <c r="AE9" s="178">
        <v>2014</v>
      </c>
      <c r="AF9" s="73">
        <v>7.84</v>
      </c>
      <c r="AG9" s="72"/>
      <c r="AH9" s="73"/>
      <c r="AI9" s="70"/>
      <c r="AJ9" s="67"/>
      <c r="AK9" s="70">
        <v>2014</v>
      </c>
      <c r="AL9" s="67">
        <v>11.8</v>
      </c>
    </row>
    <row r="10" spans="1:38" s="49" customFormat="1" x14ac:dyDescent="0.2">
      <c r="A10" s="5"/>
      <c r="B10" s="114"/>
      <c r="C10" s="5"/>
      <c r="D10" s="43"/>
      <c r="E10" s="45"/>
      <c r="F10" s="43"/>
      <c r="G10" s="45"/>
      <c r="H10" s="43"/>
      <c r="I10" s="45"/>
      <c r="J10" s="43"/>
      <c r="K10" s="45"/>
      <c r="L10" s="43"/>
      <c r="M10" s="5">
        <v>2013</v>
      </c>
      <c r="N10" s="6">
        <v>342</v>
      </c>
      <c r="O10" s="44"/>
      <c r="P10" s="6"/>
      <c r="Q10" s="44">
        <v>2013</v>
      </c>
      <c r="R10" s="6">
        <v>11.1</v>
      </c>
      <c r="S10" s="5">
        <v>2013</v>
      </c>
      <c r="T10" s="114">
        <v>124</v>
      </c>
      <c r="U10" s="45"/>
      <c r="V10" s="114"/>
      <c r="W10" s="45"/>
      <c r="X10" s="113"/>
      <c r="Y10" s="45"/>
      <c r="Z10" s="113"/>
      <c r="AA10" s="5"/>
      <c r="AB10" s="46"/>
      <c r="AC10" s="47">
        <v>2013</v>
      </c>
      <c r="AD10" s="48">
        <v>39.299999999999997</v>
      </c>
      <c r="AE10" s="47">
        <v>2013</v>
      </c>
      <c r="AF10" s="48">
        <v>20.2</v>
      </c>
      <c r="AG10" s="47"/>
      <c r="AH10" s="48"/>
      <c r="AI10" s="47"/>
      <c r="AJ10" s="6"/>
      <c r="AK10" s="47">
        <v>2013</v>
      </c>
      <c r="AL10" s="6">
        <v>10.1</v>
      </c>
    </row>
    <row r="11" spans="1:38" s="49" customFormat="1" x14ac:dyDescent="0.2">
      <c r="A11" s="5"/>
      <c r="B11" s="114"/>
      <c r="C11" s="5"/>
      <c r="D11" s="43"/>
      <c r="E11" s="45"/>
      <c r="F11" s="43"/>
      <c r="G11" s="45"/>
      <c r="H11" s="43"/>
      <c r="I11" s="45"/>
      <c r="J11" s="43"/>
      <c r="K11" s="45"/>
      <c r="L11" s="43"/>
      <c r="M11" s="5">
        <v>2012</v>
      </c>
      <c r="N11" s="6">
        <v>229</v>
      </c>
      <c r="O11" s="44"/>
      <c r="P11" s="6"/>
      <c r="Q11" s="44">
        <v>2012</v>
      </c>
      <c r="R11" s="6">
        <v>33.6</v>
      </c>
      <c r="S11" s="5">
        <v>2012</v>
      </c>
      <c r="T11" s="114">
        <v>41.6</v>
      </c>
      <c r="U11" s="45"/>
      <c r="V11" s="114"/>
      <c r="W11" s="45"/>
      <c r="X11" s="113"/>
      <c r="Y11" s="45"/>
      <c r="Z11" s="113"/>
      <c r="AA11" s="5"/>
      <c r="AB11" s="46"/>
      <c r="AC11" s="47">
        <v>2012</v>
      </c>
      <c r="AD11" s="48">
        <v>47.7</v>
      </c>
      <c r="AE11" s="47">
        <v>2012</v>
      </c>
      <c r="AF11" s="48">
        <v>21.3</v>
      </c>
      <c r="AG11" s="47"/>
      <c r="AH11" s="48"/>
      <c r="AI11" s="47">
        <v>2012</v>
      </c>
      <c r="AJ11" s="6">
        <v>84.8</v>
      </c>
      <c r="AK11" s="47">
        <v>2012</v>
      </c>
      <c r="AL11" s="6">
        <v>10.199999999999999</v>
      </c>
    </row>
    <row r="12" spans="1:38" s="49" customFormat="1" x14ac:dyDescent="0.2">
      <c r="A12" s="5"/>
      <c r="B12" s="114"/>
      <c r="C12" s="5"/>
      <c r="D12" s="43"/>
      <c r="E12" s="45"/>
      <c r="F12" s="43"/>
      <c r="G12" s="45"/>
      <c r="H12" s="43"/>
      <c r="I12" s="45"/>
      <c r="J12" s="43"/>
      <c r="K12" s="45"/>
      <c r="L12" s="43"/>
      <c r="M12" s="5">
        <v>2011</v>
      </c>
      <c r="N12" s="6">
        <v>137</v>
      </c>
      <c r="O12" s="44"/>
      <c r="P12" s="6"/>
      <c r="Q12" s="44">
        <v>2011</v>
      </c>
      <c r="R12" s="6">
        <v>60</v>
      </c>
      <c r="S12" s="5">
        <v>2011</v>
      </c>
      <c r="T12" s="50">
        <v>32.700000000000003</v>
      </c>
      <c r="U12" s="45"/>
      <c r="V12" s="114"/>
      <c r="W12" s="45"/>
      <c r="X12" s="113"/>
      <c r="Y12" s="45"/>
      <c r="Z12" s="113"/>
      <c r="AA12" s="5">
        <v>2011</v>
      </c>
      <c r="AB12" s="46">
        <v>9.0399999999999991</v>
      </c>
      <c r="AC12" s="47">
        <v>2011</v>
      </c>
      <c r="AD12" s="48">
        <v>69.8</v>
      </c>
      <c r="AE12" s="47">
        <v>2011</v>
      </c>
      <c r="AF12" s="48">
        <v>40.799999999999997</v>
      </c>
      <c r="AG12" s="47">
        <v>2011</v>
      </c>
      <c r="AH12" s="48">
        <v>36.799999999999997</v>
      </c>
      <c r="AI12" s="47">
        <v>2011</v>
      </c>
      <c r="AJ12" s="6">
        <v>51.6</v>
      </c>
      <c r="AK12" s="47">
        <v>2011</v>
      </c>
      <c r="AL12" s="6">
        <v>8.74</v>
      </c>
    </row>
    <row r="13" spans="1:38" s="53" customFormat="1" ht="15" customHeight="1" x14ac:dyDescent="0.25">
      <c r="A13" s="5"/>
      <c r="B13" s="50"/>
      <c r="C13" s="5"/>
      <c r="D13" s="6"/>
      <c r="E13" s="5"/>
      <c r="F13" s="6"/>
      <c r="G13" s="5"/>
      <c r="H13" s="6"/>
      <c r="I13" s="5"/>
      <c r="J13" s="6"/>
      <c r="K13" s="5"/>
      <c r="L13" s="6"/>
      <c r="M13" s="5">
        <v>2010</v>
      </c>
      <c r="N13" s="6">
        <v>216</v>
      </c>
      <c r="O13" s="44"/>
      <c r="P13" s="6"/>
      <c r="Q13" s="44">
        <v>2010</v>
      </c>
      <c r="R13" s="6">
        <v>65.8</v>
      </c>
      <c r="S13" s="5">
        <v>2010</v>
      </c>
      <c r="T13" s="50">
        <v>60.5</v>
      </c>
      <c r="U13" s="5"/>
      <c r="V13" s="50"/>
      <c r="W13" s="5"/>
      <c r="X13" s="51"/>
      <c r="Y13" s="5"/>
      <c r="Z13" s="51"/>
      <c r="AA13" s="54">
        <v>2010</v>
      </c>
      <c r="AB13" s="46">
        <v>8.84</v>
      </c>
      <c r="AC13" s="52">
        <v>2010</v>
      </c>
      <c r="AD13" s="48">
        <v>66.7</v>
      </c>
      <c r="AE13" s="47">
        <v>2010</v>
      </c>
      <c r="AF13" s="48"/>
      <c r="AG13" s="52">
        <v>2010</v>
      </c>
      <c r="AH13" s="48">
        <v>64.2</v>
      </c>
      <c r="AI13" s="44">
        <v>2010</v>
      </c>
      <c r="AJ13" s="6">
        <v>97.4</v>
      </c>
      <c r="AK13" s="44">
        <v>2010</v>
      </c>
      <c r="AL13" s="6">
        <v>9.34</v>
      </c>
    </row>
    <row r="14" spans="1:38" x14ac:dyDescent="0.2">
      <c r="A14" s="5"/>
      <c r="B14" s="50"/>
      <c r="C14" s="5"/>
      <c r="D14" s="6"/>
      <c r="E14" s="5"/>
      <c r="F14" s="6"/>
      <c r="G14" s="5"/>
      <c r="H14" s="6"/>
      <c r="I14" s="5"/>
      <c r="J14" s="6"/>
      <c r="K14" s="5"/>
      <c r="L14" s="6"/>
      <c r="M14" s="5">
        <v>2009</v>
      </c>
      <c r="N14" s="6">
        <v>308</v>
      </c>
      <c r="O14" s="44"/>
      <c r="P14" s="6"/>
      <c r="Q14" s="44">
        <v>2009</v>
      </c>
      <c r="R14" s="6"/>
      <c r="S14" s="5">
        <v>2009</v>
      </c>
      <c r="T14" s="50">
        <v>76.7</v>
      </c>
      <c r="U14" s="45"/>
      <c r="V14" s="114"/>
      <c r="W14" s="45"/>
      <c r="X14" s="113"/>
      <c r="Y14" s="45"/>
      <c r="Z14" s="113"/>
      <c r="AA14" s="54">
        <v>2009</v>
      </c>
      <c r="AB14" s="46"/>
      <c r="AC14" s="47">
        <v>2009</v>
      </c>
      <c r="AD14" s="48"/>
      <c r="AE14" s="47">
        <v>2009</v>
      </c>
      <c r="AF14" s="48"/>
      <c r="AG14" s="47">
        <v>2009</v>
      </c>
      <c r="AH14" s="48">
        <v>48.1</v>
      </c>
      <c r="AI14" s="5">
        <v>2009</v>
      </c>
      <c r="AJ14" s="6">
        <v>101</v>
      </c>
      <c r="AK14" s="5">
        <v>2009</v>
      </c>
      <c r="AL14" s="6">
        <v>24.2</v>
      </c>
    </row>
    <row r="15" spans="1:38" x14ac:dyDescent="0.2">
      <c r="A15" s="5">
        <v>2008</v>
      </c>
      <c r="B15" s="50">
        <v>128</v>
      </c>
      <c r="C15" s="5"/>
      <c r="D15" s="6"/>
      <c r="E15" s="5"/>
      <c r="F15" s="6"/>
      <c r="G15" s="5"/>
      <c r="H15" s="6"/>
      <c r="I15" s="5"/>
      <c r="J15" s="6"/>
      <c r="K15" s="5"/>
      <c r="L15" s="6"/>
      <c r="M15" s="5">
        <v>2008</v>
      </c>
      <c r="N15" s="6">
        <v>257</v>
      </c>
      <c r="O15" s="44"/>
      <c r="P15" s="6"/>
      <c r="Q15" s="44">
        <v>2008</v>
      </c>
      <c r="R15" s="6">
        <v>35.6</v>
      </c>
      <c r="S15" s="5">
        <v>2008</v>
      </c>
      <c r="T15" s="50">
        <v>114</v>
      </c>
      <c r="U15" s="45"/>
      <c r="V15" s="114"/>
      <c r="W15" s="45"/>
      <c r="X15" s="113"/>
      <c r="Y15" s="45"/>
      <c r="Z15" s="113"/>
      <c r="AA15" s="54">
        <v>2008</v>
      </c>
      <c r="AB15" s="46">
        <v>2.48</v>
      </c>
      <c r="AC15" s="47">
        <v>2008</v>
      </c>
      <c r="AD15" s="48">
        <v>79.5</v>
      </c>
      <c r="AE15" s="47">
        <v>2008</v>
      </c>
      <c r="AF15" s="48">
        <v>31</v>
      </c>
      <c r="AG15" s="47">
        <v>2008</v>
      </c>
      <c r="AH15" s="48">
        <v>42.7</v>
      </c>
      <c r="AI15" s="5">
        <v>2008</v>
      </c>
      <c r="AJ15" s="6">
        <v>44.4</v>
      </c>
      <c r="AK15" s="5">
        <v>2008</v>
      </c>
      <c r="AL15" s="6">
        <v>19.3</v>
      </c>
    </row>
    <row r="16" spans="1:38" x14ac:dyDescent="0.2">
      <c r="A16" s="5">
        <v>2007</v>
      </c>
      <c r="B16" s="50">
        <v>12.4</v>
      </c>
      <c r="C16" s="5"/>
      <c r="D16" s="6"/>
      <c r="E16" s="5"/>
      <c r="F16" s="6"/>
      <c r="G16" s="5"/>
      <c r="H16" s="6"/>
      <c r="I16" s="5"/>
      <c r="J16" s="6"/>
      <c r="K16" s="5"/>
      <c r="L16" s="6"/>
      <c r="M16" s="5">
        <v>2007</v>
      </c>
      <c r="N16" s="6">
        <v>46.8</v>
      </c>
      <c r="O16" s="44"/>
      <c r="P16" s="6"/>
      <c r="Q16" s="44">
        <v>2007</v>
      </c>
      <c r="R16" s="6">
        <v>79.599999999999994</v>
      </c>
      <c r="S16" s="5">
        <v>2007</v>
      </c>
      <c r="T16" s="50">
        <v>34.299999999999997</v>
      </c>
      <c r="U16" s="45"/>
      <c r="V16" s="114"/>
      <c r="W16" s="45"/>
      <c r="X16" s="113"/>
      <c r="Y16" s="45"/>
      <c r="Z16" s="113"/>
      <c r="AA16" s="54">
        <v>2007</v>
      </c>
      <c r="AB16" s="46">
        <v>13.1</v>
      </c>
      <c r="AC16" s="47">
        <v>2007</v>
      </c>
      <c r="AD16" s="48">
        <v>35.299999999999997</v>
      </c>
      <c r="AE16" s="47">
        <v>2007</v>
      </c>
      <c r="AF16" s="48">
        <v>1.71</v>
      </c>
      <c r="AG16" s="47">
        <v>2007</v>
      </c>
      <c r="AH16" s="48">
        <v>116</v>
      </c>
      <c r="AI16" s="5">
        <v>2007</v>
      </c>
      <c r="AJ16" s="6">
        <v>3.48</v>
      </c>
      <c r="AK16" s="5">
        <v>2007</v>
      </c>
      <c r="AL16" s="6">
        <v>5.2</v>
      </c>
    </row>
    <row r="17" spans="1:38" x14ac:dyDescent="0.2">
      <c r="A17" s="5">
        <v>2006</v>
      </c>
      <c r="B17" s="50">
        <v>164</v>
      </c>
      <c r="C17" s="5"/>
      <c r="D17" s="6"/>
      <c r="E17" s="5"/>
      <c r="F17" s="6"/>
      <c r="G17" s="5"/>
      <c r="H17" s="6"/>
      <c r="I17" s="5"/>
      <c r="J17" s="6"/>
      <c r="K17" s="5"/>
      <c r="L17" s="6"/>
      <c r="M17" s="5">
        <v>2006</v>
      </c>
      <c r="N17" s="6">
        <v>226</v>
      </c>
      <c r="O17" s="44"/>
      <c r="P17" s="6"/>
      <c r="Q17" s="44">
        <v>2006</v>
      </c>
      <c r="R17" s="6">
        <v>103</v>
      </c>
      <c r="S17" s="5">
        <v>2006</v>
      </c>
      <c r="T17" s="50">
        <v>59</v>
      </c>
      <c r="U17" s="45"/>
      <c r="V17" s="114"/>
      <c r="W17" s="45"/>
      <c r="X17" s="113"/>
      <c r="Y17" s="45"/>
      <c r="Z17" s="113"/>
      <c r="AA17" s="54">
        <v>2006</v>
      </c>
      <c r="AB17" s="46">
        <v>12.5</v>
      </c>
      <c r="AC17" s="47">
        <v>2006</v>
      </c>
      <c r="AD17" s="48">
        <v>124</v>
      </c>
      <c r="AE17" s="47">
        <v>2006</v>
      </c>
      <c r="AF17" s="48">
        <v>36.700000000000003</v>
      </c>
      <c r="AG17" s="47">
        <v>2006</v>
      </c>
      <c r="AH17" s="48">
        <v>110</v>
      </c>
      <c r="AI17" s="5">
        <v>2006</v>
      </c>
      <c r="AJ17" s="6">
        <v>140</v>
      </c>
      <c r="AK17" s="5">
        <v>2006</v>
      </c>
      <c r="AL17" s="6">
        <v>12.5</v>
      </c>
    </row>
    <row r="18" spans="1:38" x14ac:dyDescent="0.2">
      <c r="A18" s="5">
        <v>2005</v>
      </c>
      <c r="B18" s="50">
        <v>79.599999999999994</v>
      </c>
      <c r="C18" s="5"/>
      <c r="D18" s="6"/>
      <c r="E18" s="5"/>
      <c r="F18" s="6"/>
      <c r="G18" s="5"/>
      <c r="H18" s="6"/>
      <c r="I18" s="5"/>
      <c r="J18" s="6"/>
      <c r="K18" s="5"/>
      <c r="L18" s="6"/>
      <c r="M18" s="5">
        <v>2005</v>
      </c>
      <c r="N18" s="6">
        <v>147</v>
      </c>
      <c r="O18" s="44"/>
      <c r="P18" s="6"/>
      <c r="Q18" s="44">
        <v>2005</v>
      </c>
      <c r="R18" s="6">
        <v>121</v>
      </c>
      <c r="S18" s="5">
        <v>2005</v>
      </c>
      <c r="T18" s="50">
        <v>35</v>
      </c>
      <c r="U18" s="45"/>
      <c r="V18" s="114"/>
      <c r="W18" s="45"/>
      <c r="X18" s="113"/>
      <c r="Y18" s="45"/>
      <c r="Z18" s="113"/>
      <c r="AA18" s="54">
        <v>2005</v>
      </c>
      <c r="AB18" s="46">
        <v>11.4</v>
      </c>
      <c r="AC18" s="47">
        <v>2005</v>
      </c>
      <c r="AD18" s="48">
        <v>59.9</v>
      </c>
      <c r="AE18" s="47">
        <v>2005</v>
      </c>
      <c r="AF18" s="48">
        <v>42.3</v>
      </c>
      <c r="AG18" s="47">
        <v>2005</v>
      </c>
      <c r="AH18" s="48">
        <v>37.4</v>
      </c>
      <c r="AI18" s="5">
        <v>2005</v>
      </c>
      <c r="AJ18" s="6">
        <v>4.93</v>
      </c>
      <c r="AK18" s="5">
        <v>2005</v>
      </c>
      <c r="AL18" s="6">
        <v>7.5</v>
      </c>
    </row>
    <row r="19" spans="1:38" x14ac:dyDescent="0.2">
      <c r="A19" s="5">
        <v>2004</v>
      </c>
      <c r="B19" s="50">
        <v>82.6</v>
      </c>
      <c r="C19" s="5"/>
      <c r="D19" s="6"/>
      <c r="E19" s="5"/>
      <c r="F19" s="6"/>
      <c r="G19" s="5"/>
      <c r="H19" s="6"/>
      <c r="I19" s="5"/>
      <c r="J19" s="6"/>
      <c r="K19" s="5"/>
      <c r="L19" s="6"/>
      <c r="M19" s="5">
        <v>2004</v>
      </c>
      <c r="N19" s="6">
        <v>169</v>
      </c>
      <c r="O19" s="44"/>
      <c r="P19" s="6"/>
      <c r="Q19" s="44">
        <v>2004</v>
      </c>
      <c r="R19" s="6">
        <v>71.8</v>
      </c>
      <c r="S19" s="5">
        <v>2004</v>
      </c>
      <c r="T19" s="50">
        <v>31.7</v>
      </c>
      <c r="U19" s="45"/>
      <c r="V19" s="114"/>
      <c r="W19" s="45"/>
      <c r="X19" s="113"/>
      <c r="Y19" s="45"/>
      <c r="Z19" s="113"/>
      <c r="AA19" s="54">
        <v>2004</v>
      </c>
      <c r="AB19" s="46">
        <v>12.1</v>
      </c>
      <c r="AC19" s="47">
        <v>2004</v>
      </c>
      <c r="AD19" s="48">
        <v>77.3</v>
      </c>
      <c r="AE19" s="47">
        <v>2004</v>
      </c>
      <c r="AF19" s="48">
        <v>16.899999999999999</v>
      </c>
      <c r="AG19" s="47">
        <v>2004</v>
      </c>
      <c r="AH19" s="48">
        <v>32.1</v>
      </c>
      <c r="AI19" s="5">
        <v>2004</v>
      </c>
      <c r="AJ19" s="6">
        <v>46.4</v>
      </c>
      <c r="AK19" s="5">
        <v>2004</v>
      </c>
      <c r="AL19" s="6">
        <v>7.1</v>
      </c>
    </row>
    <row r="20" spans="1:38" x14ac:dyDescent="0.2">
      <c r="A20" s="5">
        <v>2003</v>
      </c>
      <c r="B20" s="50">
        <v>101</v>
      </c>
      <c r="C20" s="5"/>
      <c r="D20" s="6"/>
      <c r="E20" s="5"/>
      <c r="F20" s="6"/>
      <c r="G20" s="5"/>
      <c r="H20" s="6"/>
      <c r="I20" s="5"/>
      <c r="J20" s="6"/>
      <c r="K20" s="5"/>
      <c r="L20" s="6"/>
      <c r="M20" s="5">
        <v>2003</v>
      </c>
      <c r="N20" s="6">
        <v>182</v>
      </c>
      <c r="O20" s="44"/>
      <c r="P20" s="6"/>
      <c r="Q20" s="44">
        <v>2003</v>
      </c>
      <c r="R20" s="6">
        <v>34.799999999999997</v>
      </c>
      <c r="S20" s="5">
        <v>2003</v>
      </c>
      <c r="T20" s="50">
        <v>140</v>
      </c>
      <c r="U20" s="45"/>
      <c r="V20" s="114"/>
      <c r="W20" s="45"/>
      <c r="X20" s="113"/>
      <c r="Y20" s="45"/>
      <c r="Z20" s="113"/>
      <c r="AA20" s="54">
        <v>2003</v>
      </c>
      <c r="AB20" s="46">
        <v>4.5199999999999996</v>
      </c>
      <c r="AC20" s="47">
        <v>2003</v>
      </c>
      <c r="AD20" s="48">
        <v>57.2</v>
      </c>
      <c r="AE20" s="47">
        <v>2003</v>
      </c>
      <c r="AF20" s="48">
        <v>18.100000000000001</v>
      </c>
      <c r="AG20" s="47">
        <v>2003</v>
      </c>
      <c r="AH20" s="48">
        <v>26.4</v>
      </c>
      <c r="AI20" s="5">
        <v>2003</v>
      </c>
      <c r="AJ20" s="6">
        <v>74.8</v>
      </c>
      <c r="AK20" s="5">
        <v>2003</v>
      </c>
      <c r="AL20" s="6">
        <v>8.5</v>
      </c>
    </row>
    <row r="21" spans="1:38" x14ac:dyDescent="0.2">
      <c r="A21" s="5">
        <v>2002</v>
      </c>
      <c r="B21" s="50">
        <v>161</v>
      </c>
      <c r="C21" s="5"/>
      <c r="D21" s="6"/>
      <c r="E21" s="5"/>
      <c r="F21" s="6"/>
      <c r="G21" s="5"/>
      <c r="H21" s="6"/>
      <c r="I21" s="5"/>
      <c r="J21" s="6"/>
      <c r="K21" s="5"/>
      <c r="L21" s="6"/>
      <c r="M21" s="5">
        <v>2002</v>
      </c>
      <c r="N21" s="6">
        <v>283</v>
      </c>
      <c r="O21" s="44"/>
      <c r="P21" s="6"/>
      <c r="Q21" s="44">
        <v>2002</v>
      </c>
      <c r="R21" s="6">
        <v>108</v>
      </c>
      <c r="S21" s="5">
        <v>2002</v>
      </c>
      <c r="T21" s="50">
        <v>20.5</v>
      </c>
      <c r="U21" s="45"/>
      <c r="V21" s="114"/>
      <c r="W21" s="45"/>
      <c r="X21" s="113"/>
      <c r="Y21" s="45"/>
      <c r="Z21" s="113"/>
      <c r="AA21" s="54">
        <v>2002</v>
      </c>
      <c r="AB21" s="46">
        <v>12.2</v>
      </c>
      <c r="AC21" s="47">
        <v>2002</v>
      </c>
      <c r="AD21" s="48">
        <v>159</v>
      </c>
      <c r="AE21" s="47">
        <v>2002</v>
      </c>
      <c r="AF21" s="48">
        <v>44.1</v>
      </c>
      <c r="AG21" s="47">
        <v>2002</v>
      </c>
      <c r="AH21" s="48">
        <v>75.2</v>
      </c>
      <c r="AI21" s="5">
        <v>2002</v>
      </c>
      <c r="AJ21" s="6"/>
      <c r="AK21" s="5">
        <v>2002</v>
      </c>
      <c r="AL21" s="6">
        <v>4.96</v>
      </c>
    </row>
    <row r="22" spans="1:38" x14ac:dyDescent="0.2">
      <c r="A22" s="5">
        <v>2001</v>
      </c>
      <c r="B22" s="50">
        <v>31.2</v>
      </c>
      <c r="C22" s="5"/>
      <c r="D22" s="6"/>
      <c r="E22" s="5"/>
      <c r="F22" s="6"/>
      <c r="G22" s="5"/>
      <c r="H22" s="6"/>
      <c r="I22" s="5"/>
      <c r="J22" s="6"/>
      <c r="K22" s="5"/>
      <c r="L22" s="6"/>
      <c r="M22" s="5">
        <v>2001</v>
      </c>
      <c r="N22" s="6">
        <v>258</v>
      </c>
      <c r="O22" s="44"/>
      <c r="P22" s="6"/>
      <c r="Q22" s="44">
        <v>2001</v>
      </c>
      <c r="R22" s="6">
        <v>19.5</v>
      </c>
      <c r="S22" s="5">
        <v>2001</v>
      </c>
      <c r="T22" s="50">
        <v>29.1</v>
      </c>
      <c r="U22" s="45"/>
      <c r="V22" s="114"/>
      <c r="W22" s="45"/>
      <c r="X22" s="113"/>
      <c r="Y22" s="45"/>
      <c r="Z22" s="113"/>
      <c r="AA22" s="54">
        <v>2001</v>
      </c>
      <c r="AB22" s="46">
        <v>6.72</v>
      </c>
      <c r="AC22" s="47">
        <v>2001</v>
      </c>
      <c r="AD22" s="48">
        <v>23.9</v>
      </c>
      <c r="AE22" s="47">
        <v>2001</v>
      </c>
      <c r="AF22" s="48">
        <v>4.92</v>
      </c>
      <c r="AG22" s="47">
        <v>2001</v>
      </c>
      <c r="AH22" s="48">
        <v>75.2</v>
      </c>
      <c r="AI22" s="5">
        <v>2001</v>
      </c>
      <c r="AJ22" s="6">
        <v>12.7</v>
      </c>
      <c r="AK22" s="5">
        <v>2001</v>
      </c>
      <c r="AL22" s="6">
        <v>5.6</v>
      </c>
    </row>
    <row r="23" spans="1:38" x14ac:dyDescent="0.2">
      <c r="A23" s="5">
        <v>2000</v>
      </c>
      <c r="B23" s="50">
        <v>39</v>
      </c>
      <c r="C23" s="5"/>
      <c r="D23" s="6"/>
      <c r="E23" s="5"/>
      <c r="F23" s="6"/>
      <c r="G23" s="5"/>
      <c r="H23" s="6"/>
      <c r="I23" s="5"/>
      <c r="J23" s="6"/>
      <c r="K23" s="5"/>
      <c r="L23" s="6"/>
      <c r="M23" s="5">
        <v>2000</v>
      </c>
      <c r="N23" s="6">
        <v>85.8</v>
      </c>
      <c r="O23" s="44"/>
      <c r="P23" s="6"/>
      <c r="Q23" s="44">
        <v>2000</v>
      </c>
      <c r="R23" s="6">
        <v>64.8</v>
      </c>
      <c r="S23" s="5">
        <v>2000</v>
      </c>
      <c r="T23" s="50">
        <v>19.5</v>
      </c>
      <c r="U23" s="5"/>
      <c r="V23" s="50"/>
      <c r="W23" s="5"/>
      <c r="X23" s="51"/>
      <c r="Y23" s="5"/>
      <c r="Z23" s="51"/>
      <c r="AA23" s="54">
        <v>2000</v>
      </c>
      <c r="AB23" s="46">
        <v>8.1999999999999993</v>
      </c>
      <c r="AC23" s="47">
        <v>2000</v>
      </c>
      <c r="AD23" s="48">
        <v>15</v>
      </c>
      <c r="AE23" s="47">
        <v>2000</v>
      </c>
      <c r="AF23" s="48">
        <v>10.4</v>
      </c>
      <c r="AG23" s="47">
        <v>2000</v>
      </c>
      <c r="AH23" s="48">
        <v>63.8</v>
      </c>
      <c r="AI23" s="5">
        <v>2000</v>
      </c>
      <c r="AJ23" s="6">
        <v>28.5</v>
      </c>
      <c r="AK23" s="5">
        <v>2000</v>
      </c>
      <c r="AL23" s="6">
        <v>12.4</v>
      </c>
    </row>
    <row r="24" spans="1:38" x14ac:dyDescent="0.2">
      <c r="A24" s="5">
        <v>1999</v>
      </c>
      <c r="B24" s="50">
        <v>38</v>
      </c>
      <c r="C24" s="5"/>
      <c r="D24" s="6"/>
      <c r="E24" s="5"/>
      <c r="F24" s="6"/>
      <c r="G24" s="5"/>
      <c r="H24" s="6"/>
      <c r="I24" s="5"/>
      <c r="J24" s="6"/>
      <c r="K24" s="5"/>
      <c r="L24" s="6"/>
      <c r="M24" s="5">
        <v>1999</v>
      </c>
      <c r="N24" s="6">
        <v>244</v>
      </c>
      <c r="O24" s="44"/>
      <c r="P24" s="6"/>
      <c r="Q24" s="44">
        <v>1999</v>
      </c>
      <c r="R24" s="6">
        <v>74.8</v>
      </c>
      <c r="S24" s="5">
        <v>1999</v>
      </c>
      <c r="T24" s="50">
        <v>38.799999999999997</v>
      </c>
      <c r="U24" s="5"/>
      <c r="V24" s="50"/>
      <c r="W24" s="5"/>
      <c r="X24" s="51"/>
      <c r="Y24" s="5"/>
      <c r="Z24" s="51"/>
      <c r="AA24" s="54">
        <v>1999</v>
      </c>
      <c r="AB24" s="46">
        <v>10.9</v>
      </c>
      <c r="AC24" s="52">
        <v>1999</v>
      </c>
      <c r="AD24" s="48">
        <v>29.6</v>
      </c>
      <c r="AE24" s="47">
        <v>1999</v>
      </c>
      <c r="AF24" s="48">
        <v>8.1999999999999993</v>
      </c>
      <c r="AG24" s="52">
        <v>1999</v>
      </c>
      <c r="AH24" s="48">
        <v>99.8</v>
      </c>
      <c r="AI24" s="44">
        <v>1999</v>
      </c>
      <c r="AJ24" s="6">
        <v>42.7</v>
      </c>
      <c r="AK24" s="44">
        <v>1999</v>
      </c>
      <c r="AL24" s="6">
        <v>8.5</v>
      </c>
    </row>
    <row r="25" spans="1:38" x14ac:dyDescent="0.2">
      <c r="A25" s="5">
        <v>1998</v>
      </c>
      <c r="B25" s="50">
        <v>138</v>
      </c>
      <c r="C25" s="5"/>
      <c r="D25" s="6"/>
      <c r="E25" s="5"/>
      <c r="F25" s="6"/>
      <c r="G25" s="5"/>
      <c r="H25" s="6"/>
      <c r="I25" s="5"/>
      <c r="J25" s="6"/>
      <c r="K25" s="5"/>
      <c r="L25" s="6"/>
      <c r="M25" s="5">
        <v>1998</v>
      </c>
      <c r="N25" s="6">
        <v>291</v>
      </c>
      <c r="O25" s="44"/>
      <c r="P25" s="6"/>
      <c r="Q25" s="44">
        <v>1998</v>
      </c>
      <c r="R25" s="6">
        <v>109</v>
      </c>
      <c r="S25" s="5">
        <v>1998</v>
      </c>
      <c r="T25" s="50">
        <v>53.9</v>
      </c>
      <c r="U25" s="5"/>
      <c r="V25" s="50"/>
      <c r="W25" s="5"/>
      <c r="X25" s="51"/>
      <c r="Y25" s="5"/>
      <c r="Z25" s="51"/>
      <c r="AA25" s="54">
        <v>1998</v>
      </c>
      <c r="AB25" s="46">
        <v>11</v>
      </c>
      <c r="AC25" s="52">
        <v>1998</v>
      </c>
      <c r="AD25" s="48">
        <v>66.400000000000006</v>
      </c>
      <c r="AE25" s="47">
        <v>1998</v>
      </c>
      <c r="AF25" s="48">
        <v>8.8800000000000008</v>
      </c>
      <c r="AG25" s="52">
        <v>1998</v>
      </c>
      <c r="AH25" s="48">
        <v>119</v>
      </c>
      <c r="AI25" s="5">
        <v>1998</v>
      </c>
      <c r="AJ25" s="6">
        <v>96.5</v>
      </c>
      <c r="AK25" s="5">
        <v>1998</v>
      </c>
      <c r="AL25" s="6">
        <v>8.3000000000000007</v>
      </c>
    </row>
    <row r="26" spans="1:38" x14ac:dyDescent="0.2">
      <c r="A26" s="5">
        <v>1997</v>
      </c>
      <c r="B26" s="50">
        <v>54.8</v>
      </c>
      <c r="C26" s="5"/>
      <c r="D26" s="6"/>
      <c r="E26" s="5"/>
      <c r="F26" s="6"/>
      <c r="G26" s="5"/>
      <c r="H26" s="6"/>
      <c r="I26" s="5"/>
      <c r="J26" s="6"/>
      <c r="K26" s="5"/>
      <c r="L26" s="6"/>
      <c r="M26" s="5">
        <v>1997</v>
      </c>
      <c r="N26" s="6">
        <v>151</v>
      </c>
      <c r="O26" s="44"/>
      <c r="P26" s="6"/>
      <c r="Q26" s="44">
        <v>1997</v>
      </c>
      <c r="R26" s="6">
        <v>58.8</v>
      </c>
      <c r="S26" s="5">
        <v>1997</v>
      </c>
      <c r="T26" s="50">
        <v>57</v>
      </c>
      <c r="U26" s="5"/>
      <c r="V26" s="50"/>
      <c r="W26" s="5"/>
      <c r="X26" s="51"/>
      <c r="Y26" s="5"/>
      <c r="Z26" s="51"/>
      <c r="AA26" s="54">
        <v>1997</v>
      </c>
      <c r="AB26" s="46">
        <v>12.3</v>
      </c>
      <c r="AC26" s="52">
        <v>1997</v>
      </c>
      <c r="AD26" s="48">
        <v>32.299999999999997</v>
      </c>
      <c r="AE26" s="47">
        <v>1997</v>
      </c>
      <c r="AF26" s="48"/>
      <c r="AG26" s="52"/>
      <c r="AH26" s="48"/>
      <c r="AI26" s="44">
        <v>1997</v>
      </c>
      <c r="AJ26" s="6">
        <v>83.2</v>
      </c>
      <c r="AK26" s="44">
        <v>1997</v>
      </c>
      <c r="AL26" s="6">
        <v>11.4</v>
      </c>
    </row>
    <row r="27" spans="1:38" x14ac:dyDescent="0.2">
      <c r="A27" s="5">
        <v>1996</v>
      </c>
      <c r="B27" s="50">
        <v>44.7</v>
      </c>
      <c r="C27" s="5"/>
      <c r="D27" s="6"/>
      <c r="E27" s="5"/>
      <c r="F27" s="6"/>
      <c r="G27" s="5"/>
      <c r="H27" s="6"/>
      <c r="I27" s="5"/>
      <c r="J27" s="6"/>
      <c r="K27" s="5"/>
      <c r="L27" s="6"/>
      <c r="M27" s="5">
        <v>1996</v>
      </c>
      <c r="N27" s="6">
        <v>83.4</v>
      </c>
      <c r="O27" s="44"/>
      <c r="P27" s="6"/>
      <c r="Q27" s="44">
        <v>1996</v>
      </c>
      <c r="R27" s="6">
        <v>54</v>
      </c>
      <c r="S27" s="5">
        <v>1996</v>
      </c>
      <c r="T27" s="50">
        <v>44.7</v>
      </c>
      <c r="U27" s="5"/>
      <c r="V27" s="50"/>
      <c r="W27" s="5"/>
      <c r="X27" s="51"/>
      <c r="Y27" s="5"/>
      <c r="Z27" s="51"/>
      <c r="AA27" s="54">
        <v>1996</v>
      </c>
      <c r="AB27" s="46">
        <v>9.17</v>
      </c>
      <c r="AC27" s="52">
        <v>1996</v>
      </c>
      <c r="AD27" s="48">
        <v>34.1</v>
      </c>
      <c r="AE27" s="47">
        <v>1996</v>
      </c>
      <c r="AF27" s="48">
        <v>7.83</v>
      </c>
      <c r="AG27" s="52"/>
      <c r="AH27" s="48"/>
      <c r="AI27" s="5">
        <v>1996</v>
      </c>
      <c r="AJ27" s="6">
        <v>14.8</v>
      </c>
      <c r="AK27" s="5">
        <v>1996</v>
      </c>
      <c r="AL27" s="6">
        <v>4.62</v>
      </c>
    </row>
    <row r="28" spans="1:38" x14ac:dyDescent="0.2">
      <c r="A28" s="5">
        <v>1995</v>
      </c>
      <c r="B28" s="50">
        <v>42.5</v>
      </c>
      <c r="C28" s="5"/>
      <c r="D28" s="6"/>
      <c r="E28" s="5"/>
      <c r="F28" s="6"/>
      <c r="G28" s="5"/>
      <c r="H28" s="6"/>
      <c r="I28" s="5"/>
      <c r="J28" s="6"/>
      <c r="K28" s="5"/>
      <c r="L28" s="6"/>
      <c r="M28" s="5">
        <v>1995</v>
      </c>
      <c r="N28" s="6">
        <v>155</v>
      </c>
      <c r="O28" s="44"/>
      <c r="P28" s="6"/>
      <c r="Q28" s="44">
        <v>1995</v>
      </c>
      <c r="R28" s="6">
        <v>43.6</v>
      </c>
      <c r="S28" s="5">
        <v>1995</v>
      </c>
      <c r="T28" s="50">
        <v>38.1</v>
      </c>
      <c r="U28" s="5"/>
      <c r="V28" s="50"/>
      <c r="W28" s="5"/>
      <c r="X28" s="51"/>
      <c r="Y28" s="5"/>
      <c r="Z28" s="51"/>
      <c r="AA28" s="54">
        <v>1995</v>
      </c>
      <c r="AB28" s="46">
        <v>6.43</v>
      </c>
      <c r="AC28" s="52">
        <v>1995</v>
      </c>
      <c r="AD28" s="48">
        <v>41.4</v>
      </c>
      <c r="AE28" s="47">
        <v>1995</v>
      </c>
      <c r="AF28" s="48">
        <v>9.57</v>
      </c>
      <c r="AG28" s="52"/>
      <c r="AH28" s="48"/>
      <c r="AI28" s="44">
        <v>1995</v>
      </c>
      <c r="AJ28" s="6">
        <v>97.4</v>
      </c>
      <c r="AK28" s="44">
        <v>1995</v>
      </c>
      <c r="AL28" s="6">
        <v>14.8</v>
      </c>
    </row>
    <row r="29" spans="1:38" x14ac:dyDescent="0.2">
      <c r="A29" s="5">
        <v>1994</v>
      </c>
      <c r="B29" s="50">
        <v>12</v>
      </c>
      <c r="C29" s="5"/>
      <c r="D29" s="6"/>
      <c r="E29" s="5"/>
      <c r="F29" s="6"/>
      <c r="G29" s="5"/>
      <c r="H29" s="6"/>
      <c r="I29" s="5"/>
      <c r="J29" s="6"/>
      <c r="K29" s="5"/>
      <c r="L29" s="6"/>
      <c r="M29" s="5">
        <v>1994</v>
      </c>
      <c r="N29" s="6">
        <v>69.2</v>
      </c>
      <c r="O29" s="44"/>
      <c r="P29" s="6"/>
      <c r="Q29" s="44">
        <v>1994</v>
      </c>
      <c r="R29" s="6">
        <v>8.14</v>
      </c>
      <c r="S29" s="5">
        <v>1994</v>
      </c>
      <c r="T29" s="50">
        <v>54.9</v>
      </c>
      <c r="U29" s="5">
        <v>1994</v>
      </c>
      <c r="V29" s="50">
        <v>8.9600000000000009</v>
      </c>
      <c r="W29" s="5"/>
      <c r="X29" s="51"/>
      <c r="Y29" s="5">
        <v>1994</v>
      </c>
      <c r="Z29" s="51">
        <v>8.1999999999999993</v>
      </c>
      <c r="AA29" s="54">
        <v>1994</v>
      </c>
      <c r="AB29" s="46">
        <v>4.45</v>
      </c>
      <c r="AC29" s="52"/>
      <c r="AD29" s="48"/>
      <c r="AE29" s="47"/>
      <c r="AF29" s="48"/>
      <c r="AG29" s="52"/>
      <c r="AH29" s="48"/>
      <c r="AI29" s="5">
        <v>1994</v>
      </c>
      <c r="AJ29" s="6">
        <v>20.8</v>
      </c>
      <c r="AK29" s="5">
        <v>1994</v>
      </c>
      <c r="AL29" s="6">
        <v>2.9</v>
      </c>
    </row>
    <row r="30" spans="1:38" x14ac:dyDescent="0.2">
      <c r="A30" s="5">
        <v>1993</v>
      </c>
      <c r="B30" s="50">
        <v>28.4</v>
      </c>
      <c r="C30" s="5"/>
      <c r="D30" s="6"/>
      <c r="E30" s="5"/>
      <c r="F30" s="6"/>
      <c r="G30" s="5"/>
      <c r="H30" s="6"/>
      <c r="I30" s="5"/>
      <c r="J30" s="6"/>
      <c r="K30" s="5"/>
      <c r="L30" s="6"/>
      <c r="M30" s="5">
        <v>1993</v>
      </c>
      <c r="N30" s="6">
        <v>50</v>
      </c>
      <c r="O30" s="44"/>
      <c r="P30" s="6"/>
      <c r="Q30" s="44">
        <v>1993</v>
      </c>
      <c r="R30" s="6">
        <v>13.8</v>
      </c>
      <c r="S30" s="5">
        <v>1993</v>
      </c>
      <c r="T30" s="50">
        <v>8.8000000000000007</v>
      </c>
      <c r="U30" s="5">
        <v>1993</v>
      </c>
      <c r="V30" s="50">
        <v>2.2000000000000002</v>
      </c>
      <c r="W30" s="5">
        <v>1993</v>
      </c>
      <c r="X30" s="51">
        <v>36.5</v>
      </c>
      <c r="Y30" s="5">
        <v>1993</v>
      </c>
      <c r="Z30" s="51">
        <v>2.48</v>
      </c>
      <c r="AA30" s="54">
        <v>1993</v>
      </c>
      <c r="AB30" s="46">
        <v>3.06</v>
      </c>
      <c r="AC30" s="52"/>
      <c r="AD30" s="48"/>
      <c r="AE30" s="47"/>
      <c r="AF30" s="48"/>
      <c r="AG30" s="52"/>
      <c r="AH30" s="48"/>
      <c r="AI30" s="44">
        <v>1993</v>
      </c>
      <c r="AJ30" s="6">
        <v>22.8</v>
      </c>
      <c r="AK30" s="44">
        <v>1993</v>
      </c>
      <c r="AL30" s="6">
        <v>5.48</v>
      </c>
    </row>
    <row r="31" spans="1:38" x14ac:dyDescent="0.2">
      <c r="A31" s="5">
        <v>1992</v>
      </c>
      <c r="B31" s="50">
        <v>285</v>
      </c>
      <c r="C31" s="5"/>
      <c r="D31" s="6"/>
      <c r="E31" s="5"/>
      <c r="F31" s="6"/>
      <c r="G31" s="5"/>
      <c r="H31" s="6"/>
      <c r="I31" s="5">
        <v>1992</v>
      </c>
      <c r="J31" s="6">
        <v>29</v>
      </c>
      <c r="K31" s="5"/>
      <c r="L31" s="6"/>
      <c r="M31" s="5">
        <v>1992</v>
      </c>
      <c r="N31" s="6">
        <v>276</v>
      </c>
      <c r="O31" s="44"/>
      <c r="P31" s="6"/>
      <c r="Q31" s="44">
        <v>1992</v>
      </c>
      <c r="R31" s="6">
        <v>122</v>
      </c>
      <c r="S31" s="5">
        <v>1992</v>
      </c>
      <c r="T31" s="50">
        <v>5.5</v>
      </c>
      <c r="U31" s="5">
        <v>1992</v>
      </c>
      <c r="V31" s="50">
        <v>12.1</v>
      </c>
      <c r="W31" s="5">
        <v>1992</v>
      </c>
      <c r="X31" s="51">
        <v>120</v>
      </c>
      <c r="Y31" s="5">
        <v>1992</v>
      </c>
      <c r="Z31" s="51">
        <v>19.5</v>
      </c>
      <c r="AA31" s="54">
        <v>1992</v>
      </c>
      <c r="AB31" s="46">
        <v>6.35</v>
      </c>
      <c r="AC31" s="52"/>
      <c r="AD31" s="48"/>
      <c r="AE31" s="47"/>
      <c r="AF31" s="48"/>
      <c r="AG31" s="52"/>
      <c r="AH31" s="48"/>
      <c r="AI31" s="5">
        <v>1992</v>
      </c>
      <c r="AJ31" s="6"/>
      <c r="AK31" s="5">
        <v>1992</v>
      </c>
      <c r="AL31" s="6">
        <v>9.6999999999999993</v>
      </c>
    </row>
    <row r="32" spans="1:38" x14ac:dyDescent="0.2">
      <c r="A32" s="5">
        <v>1991</v>
      </c>
      <c r="B32" s="50">
        <v>76</v>
      </c>
      <c r="C32" s="5"/>
      <c r="D32" s="6"/>
      <c r="E32" s="5"/>
      <c r="F32" s="6"/>
      <c r="G32" s="5"/>
      <c r="H32" s="6"/>
      <c r="I32" s="5">
        <v>1991</v>
      </c>
      <c r="J32" s="6">
        <v>33</v>
      </c>
      <c r="K32" s="5"/>
      <c r="L32" s="6"/>
      <c r="M32" s="5">
        <v>1991</v>
      </c>
      <c r="N32" s="6">
        <v>223</v>
      </c>
      <c r="O32" s="44"/>
      <c r="P32" s="6"/>
      <c r="Q32" s="44">
        <v>1991</v>
      </c>
      <c r="R32" s="6">
        <v>96.2</v>
      </c>
      <c r="S32" s="5">
        <v>1991</v>
      </c>
      <c r="T32" s="50">
        <v>31.4</v>
      </c>
      <c r="U32" s="5">
        <v>1991</v>
      </c>
      <c r="V32" s="50">
        <v>75.8</v>
      </c>
      <c r="W32" s="5">
        <v>1991</v>
      </c>
      <c r="X32" s="51">
        <v>150</v>
      </c>
      <c r="Y32" s="5">
        <v>1991</v>
      </c>
      <c r="Z32" s="51">
        <v>35</v>
      </c>
      <c r="AA32" s="54">
        <v>1991</v>
      </c>
      <c r="AB32" s="46">
        <v>9.7799999999999994</v>
      </c>
      <c r="AC32" s="52"/>
      <c r="AD32" s="48"/>
      <c r="AE32" s="47"/>
      <c r="AF32" s="48"/>
      <c r="AG32" s="52"/>
      <c r="AH32" s="48"/>
      <c r="AI32" s="44">
        <v>1991</v>
      </c>
      <c r="AJ32" s="6"/>
      <c r="AK32" s="44">
        <v>1991</v>
      </c>
      <c r="AL32" s="6">
        <v>6.5</v>
      </c>
    </row>
    <row r="33" spans="1:38" x14ac:dyDescent="0.2">
      <c r="A33" s="5">
        <v>1990</v>
      </c>
      <c r="B33" s="50">
        <v>5.68</v>
      </c>
      <c r="C33" s="5"/>
      <c r="D33" s="6"/>
      <c r="E33" s="5"/>
      <c r="F33" s="6"/>
      <c r="G33" s="5"/>
      <c r="H33" s="6"/>
      <c r="I33" s="5">
        <v>1990</v>
      </c>
      <c r="J33" s="6">
        <v>0.2</v>
      </c>
      <c r="K33" s="5"/>
      <c r="L33" s="6"/>
      <c r="M33" s="5">
        <v>1990</v>
      </c>
      <c r="N33" s="6">
        <v>33.5</v>
      </c>
      <c r="O33" s="44"/>
      <c r="P33" s="6"/>
      <c r="Q33" s="44">
        <v>1990</v>
      </c>
      <c r="R33" s="6">
        <v>10.8</v>
      </c>
      <c r="S33" s="5">
        <v>1990</v>
      </c>
      <c r="T33" s="50">
        <v>22.5</v>
      </c>
      <c r="U33" s="5">
        <v>1990</v>
      </c>
      <c r="V33" s="50">
        <v>1.1499999999999999</v>
      </c>
      <c r="W33" s="5">
        <v>1990</v>
      </c>
      <c r="X33" s="51"/>
      <c r="Y33" s="5">
        <v>1990</v>
      </c>
      <c r="Z33" s="51">
        <v>1.8</v>
      </c>
      <c r="AA33" s="54">
        <v>1990</v>
      </c>
      <c r="AB33" s="46">
        <v>1.99</v>
      </c>
      <c r="AC33" s="52"/>
      <c r="AD33" s="48"/>
      <c r="AE33" s="47"/>
      <c r="AF33" s="48"/>
      <c r="AG33" s="52"/>
      <c r="AH33" s="48"/>
      <c r="AI33" s="5">
        <v>1990</v>
      </c>
      <c r="AJ33" s="6"/>
      <c r="AK33" s="5">
        <v>1990</v>
      </c>
      <c r="AL33" s="6">
        <v>2.09</v>
      </c>
    </row>
    <row r="34" spans="1:38" x14ac:dyDescent="0.2">
      <c r="A34" s="5">
        <v>1989</v>
      </c>
      <c r="B34" s="50">
        <v>15.3</v>
      </c>
      <c r="C34" s="5"/>
      <c r="D34" s="6"/>
      <c r="E34" s="5"/>
      <c r="F34" s="6"/>
      <c r="G34" s="5"/>
      <c r="H34" s="6"/>
      <c r="I34" s="5">
        <v>1989</v>
      </c>
      <c r="J34" s="6">
        <v>1.34</v>
      </c>
      <c r="K34" s="5"/>
      <c r="L34" s="6"/>
      <c r="M34" s="5">
        <v>1989</v>
      </c>
      <c r="N34" s="6">
        <v>128</v>
      </c>
      <c r="O34" s="44"/>
      <c r="P34" s="6"/>
      <c r="Q34" s="44">
        <v>1989</v>
      </c>
      <c r="R34" s="6">
        <v>41.6</v>
      </c>
      <c r="S34" s="5">
        <v>1989</v>
      </c>
      <c r="T34" s="50">
        <v>46</v>
      </c>
      <c r="U34" s="5">
        <v>1989</v>
      </c>
      <c r="V34" s="50">
        <v>7.1</v>
      </c>
      <c r="W34" s="5">
        <v>1989</v>
      </c>
      <c r="X34" s="51">
        <v>49</v>
      </c>
      <c r="Y34" s="5">
        <v>1989</v>
      </c>
      <c r="Z34" s="51">
        <v>8.1999999999999993</v>
      </c>
      <c r="AA34" s="54"/>
      <c r="AB34" s="46"/>
      <c r="AC34" s="52"/>
      <c r="AD34" s="48"/>
      <c r="AE34" s="47"/>
      <c r="AF34" s="48"/>
      <c r="AG34" s="52"/>
      <c r="AH34" s="48"/>
      <c r="AI34" s="44">
        <v>1989</v>
      </c>
      <c r="AJ34" s="6">
        <v>96.3</v>
      </c>
      <c r="AK34" s="44">
        <v>1989</v>
      </c>
      <c r="AL34" s="6">
        <v>35.5</v>
      </c>
    </row>
    <row r="35" spans="1:38" x14ac:dyDescent="0.2">
      <c r="A35" s="5">
        <v>1988</v>
      </c>
      <c r="B35" s="50"/>
      <c r="C35" s="5"/>
      <c r="D35" s="6"/>
      <c r="E35" s="5"/>
      <c r="F35" s="6"/>
      <c r="G35" s="5"/>
      <c r="H35" s="6"/>
      <c r="I35" s="5">
        <v>1988</v>
      </c>
      <c r="J35" s="6"/>
      <c r="K35" s="5"/>
      <c r="L35" s="6"/>
      <c r="M35" s="5">
        <v>1988</v>
      </c>
      <c r="N35" s="6">
        <v>40</v>
      </c>
      <c r="O35" s="44"/>
      <c r="P35" s="6"/>
      <c r="Q35" s="44">
        <v>1988</v>
      </c>
      <c r="R35" s="6">
        <v>44</v>
      </c>
      <c r="S35" s="5">
        <v>1988</v>
      </c>
      <c r="T35" s="50">
        <v>11.5</v>
      </c>
      <c r="U35" s="5">
        <v>1988</v>
      </c>
      <c r="V35" s="50">
        <v>7.1</v>
      </c>
      <c r="W35" s="5">
        <v>1988</v>
      </c>
      <c r="X35" s="51">
        <v>9</v>
      </c>
      <c r="Y35" s="5">
        <v>1988</v>
      </c>
      <c r="Z35" s="51">
        <v>4.3</v>
      </c>
      <c r="AA35" s="54"/>
      <c r="AB35" s="46"/>
      <c r="AC35" s="52"/>
      <c r="AD35" s="48"/>
      <c r="AE35" s="47"/>
      <c r="AF35" s="48"/>
      <c r="AG35" s="52"/>
      <c r="AH35" s="48"/>
      <c r="AI35" s="5">
        <v>1988</v>
      </c>
      <c r="AJ35" s="6">
        <v>25</v>
      </c>
      <c r="AK35" s="5">
        <v>1988</v>
      </c>
      <c r="AL35" s="6">
        <v>11</v>
      </c>
    </row>
    <row r="36" spans="1:38" x14ac:dyDescent="0.2">
      <c r="A36" s="5">
        <v>1987</v>
      </c>
      <c r="B36" s="50">
        <v>51</v>
      </c>
      <c r="C36" s="5">
        <v>1987</v>
      </c>
      <c r="D36" s="6">
        <v>4.0999999999999996</v>
      </c>
      <c r="E36" s="5"/>
      <c r="F36" s="6"/>
      <c r="G36" s="5"/>
      <c r="H36" s="6"/>
      <c r="I36" s="5">
        <v>1987</v>
      </c>
      <c r="J36" s="6">
        <v>5.4</v>
      </c>
      <c r="K36" s="5"/>
      <c r="L36" s="6"/>
      <c r="M36" s="5">
        <v>1987</v>
      </c>
      <c r="N36" s="6">
        <v>110</v>
      </c>
      <c r="O36" s="44">
        <v>1987</v>
      </c>
      <c r="P36" s="6">
        <v>9.6999999999999993</v>
      </c>
      <c r="Q36" s="44">
        <v>1987</v>
      </c>
      <c r="R36" s="6"/>
      <c r="S36" s="5">
        <v>1987</v>
      </c>
      <c r="T36" s="50">
        <v>20</v>
      </c>
      <c r="U36" s="5">
        <v>1987</v>
      </c>
      <c r="V36" s="50">
        <v>4.5</v>
      </c>
      <c r="W36" s="5">
        <v>1987</v>
      </c>
      <c r="X36" s="51">
        <v>19</v>
      </c>
      <c r="Y36" s="5">
        <v>1987</v>
      </c>
      <c r="Z36" s="51">
        <v>5.6</v>
      </c>
      <c r="AA36" s="54"/>
      <c r="AB36" s="46"/>
      <c r="AC36" s="52"/>
      <c r="AD36" s="48"/>
      <c r="AE36" s="47"/>
      <c r="AF36" s="48"/>
      <c r="AG36" s="52"/>
      <c r="AH36" s="48"/>
      <c r="AI36" s="5">
        <v>1987</v>
      </c>
      <c r="AJ36" s="6">
        <v>60</v>
      </c>
      <c r="AK36" s="44"/>
      <c r="AL36" s="6"/>
    </row>
    <row r="37" spans="1:38" x14ac:dyDescent="0.2">
      <c r="A37" s="5">
        <v>1986</v>
      </c>
      <c r="B37" s="50"/>
      <c r="C37" s="5">
        <v>1986</v>
      </c>
      <c r="D37" s="6">
        <v>52</v>
      </c>
      <c r="E37" s="5"/>
      <c r="F37" s="6"/>
      <c r="G37" s="5"/>
      <c r="H37" s="6"/>
      <c r="I37" s="5">
        <v>1986</v>
      </c>
      <c r="J37" s="6">
        <v>6</v>
      </c>
      <c r="K37" s="5"/>
      <c r="L37" s="6"/>
      <c r="M37" s="5">
        <v>1986</v>
      </c>
      <c r="N37" s="6">
        <v>115</v>
      </c>
      <c r="O37" s="44">
        <v>1986</v>
      </c>
      <c r="P37" s="6">
        <v>84</v>
      </c>
      <c r="Q37" s="44">
        <v>1986</v>
      </c>
      <c r="R37" s="6">
        <v>47</v>
      </c>
      <c r="S37" s="5">
        <v>1986</v>
      </c>
      <c r="T37" s="50">
        <v>26</v>
      </c>
      <c r="U37" s="5"/>
      <c r="V37" s="50"/>
      <c r="W37" s="5"/>
      <c r="X37" s="51"/>
      <c r="Y37" s="5"/>
      <c r="Z37" s="51"/>
      <c r="AA37" s="54"/>
      <c r="AB37" s="46"/>
      <c r="AC37" s="52"/>
      <c r="AD37" s="48"/>
      <c r="AE37" s="47"/>
      <c r="AF37" s="48"/>
      <c r="AG37" s="52"/>
      <c r="AH37" s="48"/>
      <c r="AI37" s="44">
        <v>1986</v>
      </c>
      <c r="AJ37" s="6">
        <v>140</v>
      </c>
      <c r="AK37" s="44"/>
      <c r="AL37" s="6"/>
    </row>
    <row r="38" spans="1:38" x14ac:dyDescent="0.2">
      <c r="A38" s="5">
        <v>1985</v>
      </c>
      <c r="B38" s="50">
        <v>7.6</v>
      </c>
      <c r="C38" s="5">
        <v>1985</v>
      </c>
      <c r="D38" s="6">
        <v>0.98</v>
      </c>
      <c r="E38" s="5"/>
      <c r="F38" s="6"/>
      <c r="G38" s="5"/>
      <c r="H38" s="6"/>
      <c r="I38" s="5">
        <v>1985</v>
      </c>
      <c r="J38" s="6">
        <v>1.85</v>
      </c>
      <c r="K38" s="5">
        <v>1985</v>
      </c>
      <c r="L38" s="6">
        <v>5</v>
      </c>
      <c r="M38" s="5">
        <v>1985</v>
      </c>
      <c r="N38" s="6">
        <v>46</v>
      </c>
      <c r="O38" s="44">
        <v>1985</v>
      </c>
      <c r="P38" s="6">
        <v>3.7</v>
      </c>
      <c r="Q38" s="44">
        <v>1985</v>
      </c>
      <c r="R38" s="6">
        <v>27</v>
      </c>
      <c r="S38" s="5">
        <v>1985</v>
      </c>
      <c r="T38" s="50">
        <v>18.5</v>
      </c>
      <c r="U38" s="5"/>
      <c r="V38" s="50"/>
      <c r="W38" s="5"/>
      <c r="X38" s="51"/>
      <c r="Y38" s="5"/>
      <c r="Z38" s="51"/>
      <c r="AA38" s="54"/>
      <c r="AB38" s="46"/>
      <c r="AC38" s="52"/>
      <c r="AD38" s="48"/>
      <c r="AE38" s="47"/>
      <c r="AF38" s="48"/>
      <c r="AG38" s="52"/>
      <c r="AH38" s="48"/>
      <c r="AI38" s="5">
        <v>1985</v>
      </c>
      <c r="AJ38" s="6">
        <v>10.5</v>
      </c>
      <c r="AK38" s="44"/>
      <c r="AL38" s="6"/>
    </row>
    <row r="39" spans="1:38" x14ac:dyDescent="0.2">
      <c r="A39" s="5">
        <v>1984</v>
      </c>
      <c r="B39" s="50">
        <v>40</v>
      </c>
      <c r="C39" s="5">
        <v>1984</v>
      </c>
      <c r="D39" s="6">
        <v>7.8</v>
      </c>
      <c r="E39" s="5"/>
      <c r="F39" s="6"/>
      <c r="G39" s="5"/>
      <c r="H39" s="6"/>
      <c r="I39" s="5">
        <v>1984</v>
      </c>
      <c r="J39" s="6">
        <v>3.2</v>
      </c>
      <c r="K39" s="5">
        <v>1984</v>
      </c>
      <c r="L39" s="6">
        <v>6.2</v>
      </c>
      <c r="M39" s="5">
        <v>1984</v>
      </c>
      <c r="N39" s="6">
        <v>90</v>
      </c>
      <c r="O39" s="44">
        <v>1984</v>
      </c>
      <c r="P39" s="6">
        <v>40</v>
      </c>
      <c r="Q39" s="44">
        <v>1984</v>
      </c>
      <c r="R39" s="6">
        <v>36</v>
      </c>
      <c r="S39" s="5">
        <v>1984</v>
      </c>
      <c r="T39" s="50">
        <v>190</v>
      </c>
      <c r="U39" s="5"/>
      <c r="V39" s="50"/>
      <c r="W39" s="5"/>
      <c r="X39" s="51"/>
      <c r="Y39" s="5"/>
      <c r="Z39" s="51"/>
      <c r="AA39" s="54"/>
      <c r="AB39" s="46"/>
      <c r="AC39" s="52"/>
      <c r="AD39" s="48"/>
      <c r="AE39" s="47"/>
      <c r="AF39" s="48"/>
      <c r="AG39" s="52"/>
      <c r="AH39" s="48"/>
      <c r="AI39" s="5">
        <v>1984</v>
      </c>
      <c r="AJ39" s="6">
        <v>72</v>
      </c>
      <c r="AK39" s="44"/>
      <c r="AL39" s="6"/>
    </row>
    <row r="40" spans="1:38" x14ac:dyDescent="0.2">
      <c r="A40" s="5">
        <v>1983</v>
      </c>
      <c r="B40" s="50">
        <v>42</v>
      </c>
      <c r="C40" s="5">
        <v>1983</v>
      </c>
      <c r="D40" s="6">
        <v>14.5</v>
      </c>
      <c r="E40" s="5"/>
      <c r="F40" s="6"/>
      <c r="G40" s="5"/>
      <c r="H40" s="6"/>
      <c r="I40" s="5">
        <v>1983</v>
      </c>
      <c r="J40" s="6">
        <v>7.4</v>
      </c>
      <c r="K40" s="5">
        <v>1983</v>
      </c>
      <c r="L40" s="6">
        <v>7.8</v>
      </c>
      <c r="M40" s="5">
        <v>1983</v>
      </c>
      <c r="N40" s="6">
        <v>76</v>
      </c>
      <c r="O40" s="44">
        <v>1983</v>
      </c>
      <c r="P40" s="6">
        <v>8.4</v>
      </c>
      <c r="Q40" s="44">
        <v>1983</v>
      </c>
      <c r="R40" s="6">
        <v>37</v>
      </c>
      <c r="S40" s="5">
        <v>1983</v>
      </c>
      <c r="T40" s="50">
        <v>36</v>
      </c>
      <c r="U40" s="5"/>
      <c r="V40" s="50"/>
      <c r="W40" s="5"/>
      <c r="X40" s="51"/>
      <c r="Y40" s="5"/>
      <c r="Z40" s="51"/>
      <c r="AA40" s="54"/>
      <c r="AB40" s="46"/>
      <c r="AC40" s="52"/>
      <c r="AD40" s="48"/>
      <c r="AE40" s="47"/>
      <c r="AF40" s="48"/>
      <c r="AG40" s="52"/>
      <c r="AH40" s="48"/>
      <c r="AI40" s="44">
        <v>1983</v>
      </c>
      <c r="AJ40" s="6">
        <v>32</v>
      </c>
      <c r="AK40" s="44"/>
      <c r="AL40" s="6"/>
    </row>
    <row r="41" spans="1:38" x14ac:dyDescent="0.2">
      <c r="A41" s="5">
        <v>1982</v>
      </c>
      <c r="B41" s="50">
        <v>59</v>
      </c>
      <c r="C41" s="5">
        <v>1982</v>
      </c>
      <c r="D41" s="6">
        <v>30</v>
      </c>
      <c r="E41" s="5"/>
      <c r="F41" s="6"/>
      <c r="G41" s="5"/>
      <c r="H41" s="6"/>
      <c r="I41" s="5">
        <v>1982</v>
      </c>
      <c r="J41" s="6">
        <v>8.5</v>
      </c>
      <c r="K41" s="5">
        <v>1982</v>
      </c>
      <c r="L41" s="6">
        <v>37</v>
      </c>
      <c r="M41" s="5">
        <v>1982</v>
      </c>
      <c r="N41" s="6">
        <v>120</v>
      </c>
      <c r="O41" s="44">
        <v>1982</v>
      </c>
      <c r="P41" s="6">
        <v>38</v>
      </c>
      <c r="Q41" s="44">
        <v>1982</v>
      </c>
      <c r="R41" s="6">
        <v>46</v>
      </c>
      <c r="S41" s="5">
        <v>1982</v>
      </c>
      <c r="T41" s="50">
        <v>19.5</v>
      </c>
      <c r="U41" s="5"/>
      <c r="V41" s="50"/>
      <c r="W41" s="5"/>
      <c r="X41" s="51"/>
      <c r="Y41" s="5"/>
      <c r="Z41" s="51"/>
      <c r="AA41" s="54"/>
      <c r="AB41" s="46"/>
      <c r="AC41" s="52"/>
      <c r="AD41" s="48"/>
      <c r="AE41" s="47"/>
      <c r="AF41" s="48"/>
      <c r="AG41" s="52"/>
      <c r="AH41" s="48"/>
      <c r="AI41" s="5">
        <v>1982</v>
      </c>
      <c r="AJ41" s="6">
        <v>260</v>
      </c>
      <c r="AK41" s="44"/>
      <c r="AL41" s="6"/>
    </row>
    <row r="42" spans="1:38" x14ac:dyDescent="0.2">
      <c r="A42" s="5">
        <v>1981</v>
      </c>
      <c r="B42" s="50">
        <v>350</v>
      </c>
      <c r="C42" s="5">
        <v>1981</v>
      </c>
      <c r="D42" s="6">
        <v>64</v>
      </c>
      <c r="E42" s="5"/>
      <c r="F42" s="6"/>
      <c r="G42" s="5"/>
      <c r="H42" s="6"/>
      <c r="I42" s="5">
        <v>1981</v>
      </c>
      <c r="J42" s="6">
        <v>9.9</v>
      </c>
      <c r="K42" s="5">
        <v>1981</v>
      </c>
      <c r="L42" s="6">
        <v>41</v>
      </c>
      <c r="M42" s="5">
        <v>1981</v>
      </c>
      <c r="N42" s="6">
        <v>200</v>
      </c>
      <c r="O42" s="44">
        <v>1981</v>
      </c>
      <c r="P42" s="6"/>
      <c r="Q42" s="44">
        <v>1981</v>
      </c>
      <c r="R42" s="6">
        <v>135</v>
      </c>
      <c r="S42" s="5">
        <v>1981</v>
      </c>
      <c r="T42" s="50"/>
      <c r="U42" s="5"/>
      <c r="V42" s="50"/>
      <c r="W42" s="5"/>
      <c r="X42" s="51"/>
      <c r="Y42" s="5"/>
      <c r="Z42" s="51"/>
      <c r="AA42" s="54"/>
      <c r="AB42" s="46"/>
      <c r="AC42" s="52"/>
      <c r="AD42" s="48"/>
      <c r="AE42" s="47"/>
      <c r="AF42" s="48"/>
      <c r="AG42" s="52"/>
      <c r="AH42" s="48"/>
      <c r="AI42" s="5">
        <v>1981</v>
      </c>
      <c r="AJ42" s="6">
        <v>105</v>
      </c>
      <c r="AK42" s="44"/>
      <c r="AL42" s="6"/>
    </row>
    <row r="43" spans="1:38" ht="12" customHeight="1" x14ac:dyDescent="0.2">
      <c r="A43" s="5">
        <v>1980</v>
      </c>
      <c r="B43" s="50"/>
      <c r="C43" s="5">
        <v>1980</v>
      </c>
      <c r="D43" s="6"/>
      <c r="E43" s="5"/>
      <c r="F43" s="6"/>
      <c r="G43" s="256" t="s">
        <v>105</v>
      </c>
      <c r="H43" s="257"/>
      <c r="I43" s="5">
        <v>1980</v>
      </c>
      <c r="J43" s="6">
        <v>6.6</v>
      </c>
      <c r="K43" s="5">
        <v>1980</v>
      </c>
      <c r="L43" s="6">
        <v>22</v>
      </c>
      <c r="M43" s="5">
        <v>1980</v>
      </c>
      <c r="N43" s="6">
        <v>92</v>
      </c>
      <c r="O43" s="44">
        <v>1980</v>
      </c>
      <c r="P43" s="6"/>
      <c r="Q43" s="44">
        <v>1980</v>
      </c>
      <c r="R43" s="6"/>
      <c r="S43" s="5">
        <v>1980</v>
      </c>
      <c r="T43" s="50">
        <v>80</v>
      </c>
      <c r="U43" s="5"/>
      <c r="V43" s="50"/>
      <c r="W43" s="5"/>
      <c r="X43" s="51"/>
      <c r="Y43" s="5"/>
      <c r="Z43" s="51"/>
      <c r="AA43" s="54"/>
      <c r="AB43" s="46"/>
      <c r="AC43" s="52"/>
      <c r="AD43" s="48"/>
      <c r="AE43" s="47"/>
      <c r="AF43" s="48"/>
      <c r="AG43" s="52"/>
      <c r="AH43" s="48"/>
      <c r="AI43" s="44">
        <v>1980</v>
      </c>
      <c r="AJ43" s="6">
        <v>28</v>
      </c>
      <c r="AK43" s="44"/>
      <c r="AL43" s="6"/>
    </row>
    <row r="44" spans="1:38" ht="12" customHeight="1" x14ac:dyDescent="0.2">
      <c r="A44" s="5">
        <v>1979</v>
      </c>
      <c r="B44" s="50"/>
      <c r="C44" s="5">
        <v>1979</v>
      </c>
      <c r="D44" s="6">
        <v>6.2</v>
      </c>
      <c r="E44" s="5"/>
      <c r="F44" s="6"/>
      <c r="G44" s="258"/>
      <c r="H44" s="259"/>
      <c r="I44" s="5">
        <v>1979</v>
      </c>
      <c r="J44" s="6">
        <v>3.2</v>
      </c>
      <c r="K44" s="5">
        <v>1979</v>
      </c>
      <c r="L44" s="6">
        <v>10</v>
      </c>
      <c r="M44" s="5">
        <v>1979</v>
      </c>
      <c r="N44" s="6">
        <v>260</v>
      </c>
      <c r="O44" s="44">
        <v>1979</v>
      </c>
      <c r="P44" s="6">
        <v>11</v>
      </c>
      <c r="Q44" s="44">
        <v>1979</v>
      </c>
      <c r="R44" s="6">
        <v>74</v>
      </c>
      <c r="S44" s="5">
        <v>1979</v>
      </c>
      <c r="T44" s="50">
        <v>5.2</v>
      </c>
      <c r="U44" s="5"/>
      <c r="V44" s="50"/>
      <c r="W44" s="5"/>
      <c r="X44" s="51"/>
      <c r="Y44" s="5"/>
      <c r="Z44" s="51"/>
      <c r="AA44" s="54"/>
      <c r="AB44" s="46"/>
      <c r="AC44" s="52"/>
      <c r="AD44" s="48"/>
      <c r="AE44" s="47"/>
      <c r="AF44" s="48"/>
      <c r="AG44" s="52"/>
      <c r="AH44" s="48"/>
      <c r="AI44" s="5">
        <v>1979</v>
      </c>
      <c r="AJ44" s="6">
        <v>450</v>
      </c>
      <c r="AK44" s="44"/>
      <c r="AL44" s="6"/>
    </row>
    <row r="45" spans="1:38" x14ac:dyDescent="0.2">
      <c r="A45" s="5">
        <v>1978</v>
      </c>
      <c r="B45" s="50">
        <v>29</v>
      </c>
      <c r="C45" s="5">
        <v>1978</v>
      </c>
      <c r="D45" s="6">
        <v>7.8</v>
      </c>
      <c r="E45" s="5"/>
      <c r="F45" s="6"/>
      <c r="G45" s="5">
        <v>1978</v>
      </c>
      <c r="H45" s="6">
        <v>11</v>
      </c>
      <c r="I45" s="5">
        <v>1978</v>
      </c>
      <c r="J45" s="6">
        <v>8.5</v>
      </c>
      <c r="K45" s="5">
        <v>1978</v>
      </c>
      <c r="L45" s="6">
        <v>16</v>
      </c>
      <c r="M45" s="5">
        <v>1978</v>
      </c>
      <c r="N45" s="6">
        <v>46</v>
      </c>
      <c r="O45" s="44">
        <v>1978</v>
      </c>
      <c r="P45" s="6"/>
      <c r="Q45" s="44">
        <v>1978</v>
      </c>
      <c r="R45" s="6">
        <v>34</v>
      </c>
      <c r="S45" s="5"/>
      <c r="T45" s="50"/>
      <c r="U45" s="5"/>
      <c r="V45" s="50"/>
      <c r="W45" s="5"/>
      <c r="X45" s="51"/>
      <c r="Y45" s="5"/>
      <c r="Z45" s="51"/>
      <c r="AA45" s="54"/>
      <c r="AB45" s="46"/>
      <c r="AC45" s="52"/>
      <c r="AD45" s="48"/>
      <c r="AE45" s="47"/>
      <c r="AF45" s="48"/>
      <c r="AG45" s="52"/>
      <c r="AH45" s="48"/>
      <c r="AI45" s="5">
        <v>1978</v>
      </c>
      <c r="AJ45" s="6">
        <v>26</v>
      </c>
      <c r="AK45" s="44"/>
      <c r="AL45" s="6"/>
    </row>
    <row r="46" spans="1:38" x14ac:dyDescent="0.2">
      <c r="A46" s="5">
        <v>1977</v>
      </c>
      <c r="B46" s="50">
        <v>146</v>
      </c>
      <c r="C46" s="5">
        <v>1977</v>
      </c>
      <c r="D46" s="6">
        <v>54</v>
      </c>
      <c r="E46" s="5"/>
      <c r="F46" s="6"/>
      <c r="G46" s="5">
        <v>1977</v>
      </c>
      <c r="H46" s="6">
        <v>26</v>
      </c>
      <c r="I46" s="5">
        <v>1977</v>
      </c>
      <c r="J46" s="6">
        <v>12</v>
      </c>
      <c r="K46" s="5">
        <v>1977</v>
      </c>
      <c r="L46" s="6">
        <v>9.9</v>
      </c>
      <c r="M46" s="5">
        <v>1977</v>
      </c>
      <c r="N46" s="6">
        <v>130</v>
      </c>
      <c r="O46" s="44">
        <v>1977</v>
      </c>
      <c r="P46" s="6"/>
      <c r="Q46" s="44">
        <v>1977</v>
      </c>
      <c r="R46" s="6">
        <v>165</v>
      </c>
      <c r="S46" s="5"/>
      <c r="T46" s="50"/>
      <c r="U46" s="5"/>
      <c r="V46" s="50"/>
      <c r="W46" s="5"/>
      <c r="X46" s="51"/>
      <c r="Y46" s="5"/>
      <c r="Z46" s="51"/>
      <c r="AA46" s="54"/>
      <c r="AB46" s="46"/>
      <c r="AC46" s="52"/>
      <c r="AD46" s="48"/>
      <c r="AE46" s="47"/>
      <c r="AF46" s="48"/>
      <c r="AG46" s="52"/>
      <c r="AH46" s="48"/>
      <c r="AI46" s="44">
        <v>1977</v>
      </c>
      <c r="AJ46" s="6">
        <v>17</v>
      </c>
      <c r="AK46" s="44"/>
      <c r="AL46" s="6"/>
    </row>
    <row r="47" spans="1:38" x14ac:dyDescent="0.2">
      <c r="A47" s="5">
        <v>1976</v>
      </c>
      <c r="B47" s="50">
        <v>125</v>
      </c>
      <c r="C47" s="5">
        <v>1976</v>
      </c>
      <c r="D47" s="6">
        <v>23</v>
      </c>
      <c r="E47" s="5"/>
      <c r="F47" s="6"/>
      <c r="G47" s="5">
        <v>1976</v>
      </c>
      <c r="H47" s="6">
        <v>21</v>
      </c>
      <c r="I47" s="5">
        <v>1976</v>
      </c>
      <c r="J47" s="6">
        <v>7.4</v>
      </c>
      <c r="K47" s="5">
        <v>1976</v>
      </c>
      <c r="L47" s="6">
        <v>21</v>
      </c>
      <c r="M47" s="5">
        <v>1976</v>
      </c>
      <c r="N47" s="6">
        <v>185</v>
      </c>
      <c r="O47" s="44">
        <v>1976</v>
      </c>
      <c r="P47" s="6"/>
      <c r="Q47" s="44">
        <v>1976</v>
      </c>
      <c r="R47" s="6">
        <v>49</v>
      </c>
      <c r="S47" s="5"/>
      <c r="T47" s="50"/>
      <c r="U47" s="5"/>
      <c r="V47" s="50"/>
      <c r="W47" s="5"/>
      <c r="X47" s="51"/>
      <c r="Y47" s="5"/>
      <c r="Z47" s="51"/>
      <c r="AA47" s="54"/>
      <c r="AB47" s="46"/>
      <c r="AC47" s="52"/>
      <c r="AD47" s="48"/>
      <c r="AE47" s="47"/>
      <c r="AF47" s="48"/>
      <c r="AG47" s="52"/>
      <c r="AH47" s="48"/>
      <c r="AI47" s="5"/>
      <c r="AJ47" s="6"/>
      <c r="AK47" s="44"/>
      <c r="AL47" s="6"/>
    </row>
    <row r="48" spans="1:38" x14ac:dyDescent="0.2">
      <c r="A48" s="5">
        <v>1975</v>
      </c>
      <c r="B48" s="50">
        <v>57</v>
      </c>
      <c r="C48" s="5">
        <v>1975</v>
      </c>
      <c r="D48" s="6">
        <v>9.5</v>
      </c>
      <c r="E48" s="5"/>
      <c r="F48" s="6"/>
      <c r="G48" s="5">
        <v>1975</v>
      </c>
      <c r="H48" s="6">
        <v>130</v>
      </c>
      <c r="I48" s="5">
        <v>1975</v>
      </c>
      <c r="J48" s="6" t="s">
        <v>106</v>
      </c>
      <c r="K48" s="5">
        <v>1975</v>
      </c>
      <c r="L48" s="6">
        <v>16.5</v>
      </c>
      <c r="M48" s="5">
        <v>1975</v>
      </c>
      <c r="N48" s="6">
        <v>86</v>
      </c>
      <c r="O48" s="44">
        <v>1975</v>
      </c>
      <c r="P48" s="6">
        <v>40</v>
      </c>
      <c r="Q48" s="44">
        <v>1975</v>
      </c>
      <c r="R48" s="6">
        <v>45</v>
      </c>
      <c r="S48" s="5"/>
      <c r="T48" s="50"/>
      <c r="U48" s="5"/>
      <c r="V48" s="50"/>
      <c r="W48" s="5"/>
      <c r="X48" s="51"/>
      <c r="Y48" s="5"/>
      <c r="Z48" s="51"/>
      <c r="AA48" s="54"/>
      <c r="AB48" s="46"/>
      <c r="AC48" s="52"/>
      <c r="AD48" s="48"/>
      <c r="AE48" s="47"/>
      <c r="AF48" s="48"/>
      <c r="AG48" s="52"/>
      <c r="AH48" s="48"/>
      <c r="AI48" s="44"/>
      <c r="AJ48" s="6"/>
      <c r="AK48" s="44"/>
      <c r="AL48" s="6"/>
    </row>
    <row r="49" spans="1:38" x14ac:dyDescent="0.2">
      <c r="A49" s="5">
        <v>1974</v>
      </c>
      <c r="B49" s="50">
        <v>43</v>
      </c>
      <c r="C49" s="5">
        <v>1974</v>
      </c>
      <c r="D49" s="6">
        <v>1.3</v>
      </c>
      <c r="E49" s="5"/>
      <c r="F49" s="6"/>
      <c r="G49" s="5">
        <v>1974</v>
      </c>
      <c r="H49" s="6">
        <v>68</v>
      </c>
      <c r="I49" s="5">
        <v>1974</v>
      </c>
      <c r="J49" s="6"/>
      <c r="K49" s="5">
        <v>1974</v>
      </c>
      <c r="L49" s="6">
        <v>12.5</v>
      </c>
      <c r="M49" s="5">
        <v>1974</v>
      </c>
      <c r="N49" s="6">
        <v>290</v>
      </c>
      <c r="O49" s="44">
        <v>1974</v>
      </c>
      <c r="P49" s="6">
        <v>3.2</v>
      </c>
      <c r="Q49" s="44">
        <v>1974</v>
      </c>
      <c r="R49" s="6">
        <v>150</v>
      </c>
      <c r="S49" s="5"/>
      <c r="T49" s="50"/>
      <c r="U49" s="5"/>
      <c r="V49" s="50"/>
      <c r="W49" s="5"/>
      <c r="X49" s="51"/>
      <c r="Y49" s="5"/>
      <c r="Z49" s="51"/>
      <c r="AA49" s="54"/>
      <c r="AB49" s="46"/>
      <c r="AC49" s="52"/>
      <c r="AD49" s="48"/>
      <c r="AE49" s="47"/>
      <c r="AF49" s="48"/>
      <c r="AG49" s="52"/>
      <c r="AH49" s="48"/>
      <c r="AI49" s="44"/>
      <c r="AJ49" s="6"/>
      <c r="AK49" s="44"/>
      <c r="AL49" s="6"/>
    </row>
    <row r="50" spans="1:38" x14ac:dyDescent="0.2">
      <c r="A50" s="5">
        <v>1973</v>
      </c>
      <c r="B50" s="50">
        <v>88</v>
      </c>
      <c r="C50" s="5">
        <v>1973</v>
      </c>
      <c r="D50" s="6">
        <v>26</v>
      </c>
      <c r="E50" s="5"/>
      <c r="F50" s="6"/>
      <c r="G50" s="5">
        <v>1973</v>
      </c>
      <c r="H50" s="6">
        <v>22</v>
      </c>
      <c r="I50" s="5">
        <v>1973</v>
      </c>
      <c r="J50" s="6">
        <v>8.1999999999999993</v>
      </c>
      <c r="K50" s="5">
        <v>1973</v>
      </c>
      <c r="L50" s="6">
        <v>22</v>
      </c>
      <c r="M50" s="5">
        <v>1973</v>
      </c>
      <c r="N50" s="6">
        <v>68</v>
      </c>
      <c r="O50" s="44">
        <v>1973</v>
      </c>
      <c r="P50" s="6">
        <v>24</v>
      </c>
      <c r="Q50" s="44">
        <v>1973</v>
      </c>
      <c r="R50" s="6">
        <v>75</v>
      </c>
      <c r="S50" s="5"/>
      <c r="T50" s="50"/>
      <c r="U50" s="5"/>
      <c r="V50" s="50"/>
      <c r="W50" s="5"/>
      <c r="X50" s="51"/>
      <c r="Y50" s="5"/>
      <c r="Z50" s="51"/>
      <c r="AA50" s="54"/>
      <c r="AB50" s="46"/>
      <c r="AC50" s="52"/>
      <c r="AD50" s="48"/>
      <c r="AE50" s="47"/>
      <c r="AF50" s="48"/>
      <c r="AG50" s="52"/>
      <c r="AH50" s="48"/>
      <c r="AI50" s="44"/>
      <c r="AJ50" s="6"/>
      <c r="AK50" s="44"/>
      <c r="AL50" s="6"/>
    </row>
    <row r="51" spans="1:38" x14ac:dyDescent="0.2">
      <c r="A51" s="5">
        <v>1972</v>
      </c>
      <c r="B51" s="50">
        <v>13</v>
      </c>
      <c r="C51" s="5">
        <v>1972</v>
      </c>
      <c r="D51" s="6">
        <v>1.75</v>
      </c>
      <c r="E51" s="5">
        <v>1972</v>
      </c>
      <c r="F51" s="6">
        <v>91</v>
      </c>
      <c r="G51" s="5">
        <v>1972</v>
      </c>
      <c r="H51" s="6">
        <v>10</v>
      </c>
      <c r="I51" s="5">
        <v>1972</v>
      </c>
      <c r="J51" s="6">
        <v>2.2000000000000002</v>
      </c>
      <c r="K51" s="5">
        <v>1972</v>
      </c>
      <c r="L51" s="6">
        <v>6.8</v>
      </c>
      <c r="M51" s="5">
        <v>1972</v>
      </c>
      <c r="N51" s="6">
        <v>78</v>
      </c>
      <c r="O51" s="44">
        <v>1972</v>
      </c>
      <c r="P51" s="6">
        <v>2</v>
      </c>
      <c r="Q51" s="44">
        <v>1972</v>
      </c>
      <c r="R51" s="6">
        <v>40</v>
      </c>
      <c r="S51" s="5"/>
      <c r="T51" s="50"/>
      <c r="U51" s="5"/>
      <c r="V51" s="50"/>
      <c r="W51" s="5"/>
      <c r="X51" s="51"/>
      <c r="Y51" s="5"/>
      <c r="Z51" s="51"/>
      <c r="AA51" s="54"/>
      <c r="AB51" s="46"/>
      <c r="AC51" s="52"/>
      <c r="AD51" s="48"/>
      <c r="AE51" s="47"/>
      <c r="AF51" s="48"/>
      <c r="AG51" s="52"/>
      <c r="AH51" s="48"/>
      <c r="AI51" s="44"/>
      <c r="AJ51" s="6"/>
      <c r="AK51" s="44"/>
      <c r="AL51" s="6"/>
    </row>
    <row r="52" spans="1:38" x14ac:dyDescent="0.2">
      <c r="A52" s="5">
        <v>1971</v>
      </c>
      <c r="B52" s="50">
        <v>160</v>
      </c>
      <c r="C52" s="5">
        <v>1971</v>
      </c>
      <c r="D52" s="6">
        <v>26</v>
      </c>
      <c r="E52" s="5">
        <v>1971</v>
      </c>
      <c r="F52" s="6">
        <v>71</v>
      </c>
      <c r="G52" s="5">
        <v>1971</v>
      </c>
      <c r="H52" s="6">
        <v>64</v>
      </c>
      <c r="I52" s="5">
        <v>1971</v>
      </c>
      <c r="J52" s="6">
        <v>11</v>
      </c>
      <c r="K52" s="5">
        <v>1971</v>
      </c>
      <c r="L52" s="6">
        <v>22</v>
      </c>
      <c r="M52" s="5">
        <v>1971</v>
      </c>
      <c r="N52" s="6">
        <v>240</v>
      </c>
      <c r="O52" s="44">
        <v>1971</v>
      </c>
      <c r="P52" s="6">
        <v>23</v>
      </c>
      <c r="Q52" s="44">
        <v>1971</v>
      </c>
      <c r="R52" s="6">
        <v>40</v>
      </c>
      <c r="S52" s="5"/>
      <c r="T52" s="50"/>
      <c r="U52" s="5"/>
      <c r="V52" s="50"/>
      <c r="W52" s="5"/>
      <c r="X52" s="51"/>
      <c r="Y52" s="5"/>
      <c r="Z52" s="51"/>
      <c r="AA52" s="54"/>
      <c r="AB52" s="46"/>
      <c r="AC52" s="52"/>
      <c r="AD52" s="48"/>
      <c r="AE52" s="47"/>
      <c r="AF52" s="48"/>
      <c r="AG52" s="52"/>
      <c r="AH52" s="48"/>
      <c r="AI52" s="44"/>
      <c r="AJ52" s="6"/>
      <c r="AK52" s="44"/>
      <c r="AL52" s="6"/>
    </row>
    <row r="53" spans="1:38" x14ac:dyDescent="0.2">
      <c r="A53" s="5">
        <v>1970</v>
      </c>
      <c r="B53" s="50">
        <v>88</v>
      </c>
      <c r="C53" s="5">
        <v>1970</v>
      </c>
      <c r="D53" s="6">
        <v>23</v>
      </c>
      <c r="E53" s="5">
        <v>1970</v>
      </c>
      <c r="F53" s="6">
        <v>74</v>
      </c>
      <c r="G53" s="5">
        <v>1970</v>
      </c>
      <c r="H53" s="6">
        <v>36</v>
      </c>
      <c r="I53" s="5">
        <v>1970</v>
      </c>
      <c r="J53" s="6">
        <v>34</v>
      </c>
      <c r="K53" s="5">
        <v>1970</v>
      </c>
      <c r="L53" s="6">
        <v>36</v>
      </c>
      <c r="M53" s="5">
        <v>1970</v>
      </c>
      <c r="N53" s="6">
        <v>90</v>
      </c>
      <c r="O53" s="44">
        <v>1970</v>
      </c>
      <c r="P53" s="6">
        <v>14</v>
      </c>
      <c r="Q53" s="44">
        <v>1970</v>
      </c>
      <c r="R53" s="6">
        <v>73</v>
      </c>
      <c r="S53" s="5"/>
      <c r="T53" s="50"/>
      <c r="U53" s="5"/>
      <c r="V53" s="50"/>
      <c r="W53" s="5"/>
      <c r="X53" s="51"/>
      <c r="Y53" s="5"/>
      <c r="Z53" s="51"/>
      <c r="AA53" s="54"/>
      <c r="AB53" s="46"/>
      <c r="AC53" s="52"/>
      <c r="AD53" s="48"/>
      <c r="AE53" s="47"/>
      <c r="AF53" s="48"/>
      <c r="AG53" s="52"/>
      <c r="AH53" s="48"/>
      <c r="AI53" s="44"/>
      <c r="AJ53" s="6"/>
      <c r="AK53" s="44"/>
      <c r="AL53" s="6"/>
    </row>
    <row r="54" spans="1:38" x14ac:dyDescent="0.2">
      <c r="A54" s="5">
        <v>1969</v>
      </c>
      <c r="B54" s="50">
        <v>165</v>
      </c>
      <c r="C54" s="5">
        <v>1969</v>
      </c>
      <c r="D54" s="6">
        <v>26</v>
      </c>
      <c r="E54" s="5">
        <v>1969</v>
      </c>
      <c r="F54" s="6">
        <v>82</v>
      </c>
      <c r="G54" s="5">
        <v>1969</v>
      </c>
      <c r="H54" s="6">
        <v>23</v>
      </c>
      <c r="I54" s="5">
        <v>1969</v>
      </c>
      <c r="J54" s="6">
        <v>11</v>
      </c>
      <c r="K54" s="5">
        <v>1969</v>
      </c>
      <c r="L54" s="6">
        <v>32</v>
      </c>
      <c r="M54" s="5">
        <v>1969</v>
      </c>
      <c r="N54" s="6">
        <v>150</v>
      </c>
      <c r="O54" s="44">
        <v>1969</v>
      </c>
      <c r="P54" s="6">
        <v>46</v>
      </c>
      <c r="Q54" s="44">
        <v>1969</v>
      </c>
      <c r="R54" s="6">
        <v>47</v>
      </c>
      <c r="S54" s="5"/>
      <c r="T54" s="50"/>
      <c r="U54" s="5"/>
      <c r="V54" s="50"/>
      <c r="W54" s="5"/>
      <c r="X54" s="51"/>
      <c r="Y54" s="5"/>
      <c r="Z54" s="51"/>
      <c r="AA54" s="54"/>
      <c r="AB54" s="46"/>
      <c r="AC54" s="52"/>
      <c r="AD54" s="48"/>
      <c r="AE54" s="47"/>
      <c r="AF54" s="48"/>
      <c r="AG54" s="52"/>
      <c r="AH54" s="48"/>
      <c r="AI54" s="44"/>
      <c r="AJ54" s="6"/>
      <c r="AK54" s="44"/>
      <c r="AL54" s="6"/>
    </row>
    <row r="55" spans="1:38" x14ac:dyDescent="0.2">
      <c r="A55" s="5">
        <v>1968</v>
      </c>
      <c r="B55" s="50">
        <v>130</v>
      </c>
      <c r="C55" s="5">
        <v>1968</v>
      </c>
      <c r="D55" s="6">
        <v>100</v>
      </c>
      <c r="E55" s="5">
        <v>1968</v>
      </c>
      <c r="F55" s="6">
        <v>36</v>
      </c>
      <c r="G55" s="5">
        <v>1968</v>
      </c>
      <c r="H55" s="6">
        <v>19</v>
      </c>
      <c r="I55" s="5">
        <v>1968</v>
      </c>
      <c r="J55" s="6">
        <v>29</v>
      </c>
      <c r="K55" s="5">
        <v>1968</v>
      </c>
      <c r="L55" s="6">
        <v>39</v>
      </c>
      <c r="M55" s="5">
        <v>1968</v>
      </c>
      <c r="N55" s="6">
        <v>133</v>
      </c>
      <c r="O55" s="44"/>
      <c r="P55" s="6"/>
      <c r="Q55" s="44"/>
      <c r="R55" s="6"/>
      <c r="S55" s="5"/>
      <c r="T55" s="50"/>
      <c r="U55" s="5"/>
      <c r="V55" s="50"/>
      <c r="W55" s="5"/>
      <c r="X55" s="51"/>
      <c r="Y55" s="5"/>
      <c r="Z55" s="51"/>
      <c r="AA55" s="54"/>
      <c r="AB55" s="46"/>
      <c r="AC55" s="52"/>
      <c r="AD55" s="48"/>
      <c r="AE55" s="47"/>
      <c r="AF55" s="48"/>
      <c r="AG55" s="52"/>
      <c r="AH55" s="48"/>
      <c r="AI55" s="44"/>
      <c r="AJ55" s="6"/>
      <c r="AK55" s="44"/>
      <c r="AL55" s="6"/>
    </row>
    <row r="56" spans="1:38" x14ac:dyDescent="0.2">
      <c r="A56" s="5">
        <v>1967</v>
      </c>
      <c r="B56" s="50">
        <v>115</v>
      </c>
      <c r="C56" s="5"/>
      <c r="D56" s="6"/>
      <c r="E56" s="5">
        <v>1967</v>
      </c>
      <c r="F56" s="6">
        <v>72</v>
      </c>
      <c r="G56" s="5">
        <v>1967</v>
      </c>
      <c r="H56" s="6">
        <v>20</v>
      </c>
      <c r="I56" s="5">
        <v>1967</v>
      </c>
      <c r="J56" s="6">
        <v>18</v>
      </c>
      <c r="K56" s="5">
        <v>1967</v>
      </c>
      <c r="L56" s="6">
        <v>31</v>
      </c>
      <c r="M56" s="5">
        <v>1967</v>
      </c>
      <c r="N56" s="6">
        <v>88</v>
      </c>
      <c r="O56" s="44"/>
      <c r="P56" s="6"/>
      <c r="Q56" s="44"/>
      <c r="R56" s="6"/>
      <c r="S56" s="5"/>
      <c r="T56" s="50"/>
      <c r="U56" s="5"/>
      <c r="V56" s="50"/>
      <c r="W56" s="5"/>
      <c r="X56" s="51"/>
      <c r="Y56" s="5"/>
      <c r="Z56" s="51"/>
      <c r="AA56" s="54"/>
      <c r="AB56" s="46"/>
      <c r="AC56" s="52"/>
      <c r="AD56" s="48"/>
      <c r="AE56" s="47"/>
      <c r="AF56" s="48"/>
      <c r="AG56" s="52"/>
      <c r="AH56" s="48"/>
      <c r="AI56" s="44"/>
      <c r="AJ56" s="6"/>
      <c r="AK56" s="44"/>
      <c r="AL56" s="6"/>
    </row>
    <row r="57" spans="1:38" x14ac:dyDescent="0.2">
      <c r="A57" s="5">
        <v>1966</v>
      </c>
      <c r="B57" s="50">
        <v>230</v>
      </c>
      <c r="C57" s="5"/>
      <c r="D57" s="6"/>
      <c r="E57" s="5"/>
      <c r="F57" s="6"/>
      <c r="G57" s="5"/>
      <c r="H57" s="6"/>
      <c r="I57" s="5"/>
      <c r="J57" s="6"/>
      <c r="K57" s="5"/>
      <c r="L57" s="6"/>
      <c r="M57" s="5"/>
      <c r="N57" s="6"/>
      <c r="O57" s="44"/>
      <c r="P57" s="6"/>
      <c r="Q57" s="44"/>
      <c r="R57" s="6"/>
      <c r="S57" s="5"/>
      <c r="T57" s="50"/>
      <c r="U57" s="5"/>
      <c r="V57" s="50"/>
      <c r="W57" s="5"/>
      <c r="X57" s="51"/>
      <c r="Y57" s="5"/>
      <c r="Z57" s="51"/>
      <c r="AA57" s="54"/>
      <c r="AB57" s="46"/>
      <c r="AC57" s="52"/>
      <c r="AD57" s="48"/>
      <c r="AE57" s="47"/>
      <c r="AF57" s="48"/>
      <c r="AG57" s="52"/>
      <c r="AH57" s="48"/>
      <c r="AI57" s="44"/>
      <c r="AJ57" s="6"/>
      <c r="AK57" s="44"/>
      <c r="AL57" s="6"/>
    </row>
    <row r="58" spans="1:38" x14ac:dyDescent="0.2">
      <c r="A58" s="5">
        <v>1965</v>
      </c>
      <c r="B58" s="50"/>
      <c r="C58" s="5"/>
      <c r="D58" s="6"/>
      <c r="E58" s="5"/>
      <c r="F58" s="6"/>
      <c r="G58" s="5"/>
      <c r="H58" s="6"/>
      <c r="I58" s="5"/>
      <c r="J58" s="6"/>
      <c r="K58" s="5"/>
      <c r="L58" s="6"/>
      <c r="M58" s="5"/>
      <c r="N58" s="6"/>
      <c r="O58" s="44"/>
      <c r="P58" s="6"/>
      <c r="Q58" s="44"/>
      <c r="R58" s="6"/>
      <c r="S58" s="5"/>
      <c r="T58" s="50"/>
      <c r="U58" s="5"/>
      <c r="V58" s="50"/>
      <c r="W58" s="5"/>
      <c r="X58" s="51"/>
      <c r="Y58" s="5"/>
      <c r="Z58" s="51"/>
      <c r="AA58" s="54"/>
      <c r="AB58" s="46"/>
      <c r="AC58" s="52"/>
      <c r="AD58" s="48"/>
      <c r="AE58" s="47"/>
      <c r="AF58" s="48"/>
      <c r="AG58" s="52"/>
      <c r="AH58" s="48"/>
      <c r="AI58" s="44"/>
      <c r="AJ58" s="6"/>
      <c r="AK58" s="44"/>
      <c r="AL58" s="6"/>
    </row>
    <row r="59" spans="1:38" x14ac:dyDescent="0.2">
      <c r="A59" s="5">
        <v>1964</v>
      </c>
      <c r="B59" s="50"/>
      <c r="C59" s="5"/>
      <c r="D59" s="6"/>
      <c r="E59" s="5"/>
      <c r="F59" s="6"/>
      <c r="G59" s="5"/>
      <c r="H59" s="6"/>
      <c r="I59" s="5"/>
      <c r="J59" s="6"/>
      <c r="K59" s="5"/>
      <c r="L59" s="6"/>
      <c r="M59" s="5"/>
      <c r="N59" s="6"/>
      <c r="O59" s="44"/>
      <c r="P59" s="6"/>
      <c r="Q59" s="44"/>
      <c r="R59" s="6"/>
      <c r="S59" s="5"/>
      <c r="T59" s="50"/>
      <c r="U59" s="5"/>
      <c r="V59" s="50"/>
      <c r="W59" s="5"/>
      <c r="X59" s="51"/>
      <c r="Y59" s="5"/>
      <c r="Z59" s="51"/>
      <c r="AA59" s="54"/>
      <c r="AB59" s="46"/>
      <c r="AC59" s="52"/>
      <c r="AD59" s="48"/>
      <c r="AE59" s="47"/>
      <c r="AF59" s="48"/>
      <c r="AG59" s="52"/>
      <c r="AH59" s="48"/>
      <c r="AI59" s="44"/>
      <c r="AJ59" s="6"/>
      <c r="AK59" s="44"/>
      <c r="AL59" s="6"/>
    </row>
    <row r="60" spans="1:38" x14ac:dyDescent="0.2">
      <c r="A60" s="5">
        <v>1963</v>
      </c>
      <c r="B60" s="50"/>
      <c r="C60" s="5"/>
      <c r="D60" s="6"/>
      <c r="E60" s="5"/>
      <c r="F60" s="6"/>
      <c r="G60" s="5"/>
      <c r="H60" s="6"/>
      <c r="I60" s="5"/>
      <c r="J60" s="6"/>
      <c r="K60" s="5"/>
      <c r="L60" s="6"/>
      <c r="M60" s="5"/>
      <c r="N60" s="6"/>
      <c r="O60" s="44"/>
      <c r="P60" s="6"/>
      <c r="Q60" s="44"/>
      <c r="R60" s="6"/>
      <c r="S60" s="5"/>
      <c r="T60" s="50"/>
      <c r="U60" s="5"/>
      <c r="V60" s="50"/>
      <c r="W60" s="5"/>
      <c r="X60" s="51"/>
      <c r="Y60" s="5"/>
      <c r="Z60" s="51"/>
      <c r="AA60" s="54"/>
      <c r="AB60" s="46"/>
      <c r="AC60" s="52"/>
      <c r="AD60" s="48"/>
      <c r="AE60" s="47"/>
      <c r="AF60" s="48"/>
      <c r="AG60" s="52"/>
      <c r="AH60" s="48"/>
      <c r="AI60" s="44"/>
      <c r="AJ60" s="6"/>
      <c r="AK60" s="44"/>
      <c r="AL60" s="6"/>
    </row>
    <row r="61" spans="1:38" x14ac:dyDescent="0.2">
      <c r="A61" s="5">
        <v>1962</v>
      </c>
      <c r="B61" s="50"/>
      <c r="C61" s="5"/>
      <c r="D61" s="6"/>
      <c r="E61" s="5"/>
      <c r="F61" s="6"/>
      <c r="G61" s="5"/>
      <c r="H61" s="6"/>
      <c r="I61" s="5"/>
      <c r="J61" s="6"/>
      <c r="K61" s="5"/>
      <c r="L61" s="6"/>
      <c r="M61" s="5"/>
      <c r="N61" s="6"/>
      <c r="O61" s="44"/>
      <c r="P61" s="6"/>
      <c r="Q61" s="44"/>
      <c r="R61" s="6"/>
      <c r="S61" s="5"/>
      <c r="T61" s="50"/>
      <c r="U61" s="5"/>
      <c r="V61" s="50"/>
      <c r="W61" s="5"/>
      <c r="X61" s="51"/>
      <c r="Y61" s="5"/>
      <c r="Z61" s="51"/>
      <c r="AA61" s="54"/>
      <c r="AB61" s="46"/>
      <c r="AC61" s="52"/>
      <c r="AD61" s="48"/>
      <c r="AE61" s="47"/>
      <c r="AF61" s="48"/>
      <c r="AG61" s="52"/>
      <c r="AH61" s="48"/>
      <c r="AI61" s="44"/>
      <c r="AJ61" s="6"/>
      <c r="AK61" s="44"/>
      <c r="AL61" s="6"/>
    </row>
    <row r="62" spans="1:38" x14ac:dyDescent="0.2">
      <c r="A62" s="55">
        <v>1961</v>
      </c>
      <c r="B62" s="116"/>
      <c r="C62" s="55"/>
      <c r="D62" s="56"/>
      <c r="E62" s="55"/>
      <c r="F62" s="56"/>
      <c r="G62" s="55"/>
      <c r="H62" s="56"/>
      <c r="I62" s="55"/>
      <c r="J62" s="56"/>
      <c r="K62" s="55"/>
      <c r="L62" s="56"/>
      <c r="M62" s="55"/>
      <c r="N62" s="56"/>
      <c r="O62" s="57"/>
      <c r="P62" s="56"/>
      <c r="Q62" s="57"/>
      <c r="R62" s="56"/>
      <c r="S62" s="55"/>
      <c r="T62" s="116"/>
      <c r="U62" s="55"/>
      <c r="V62" s="116"/>
      <c r="W62" s="55"/>
      <c r="X62" s="115"/>
      <c r="Y62" s="55"/>
      <c r="Z62" s="115"/>
      <c r="AA62" s="133"/>
      <c r="AB62" s="58"/>
      <c r="AC62" s="59"/>
      <c r="AD62" s="60"/>
      <c r="AE62" s="179"/>
      <c r="AF62" s="60"/>
      <c r="AG62" s="59"/>
      <c r="AH62" s="60"/>
      <c r="AI62" s="57"/>
      <c r="AJ62" s="56"/>
      <c r="AK62" s="57"/>
      <c r="AL62" s="56"/>
    </row>
    <row r="63" spans="1:38" ht="12.75" thickBot="1" x14ac:dyDescent="0.25">
      <c r="A63" s="61"/>
      <c r="B63" s="118"/>
      <c r="C63" s="61"/>
      <c r="D63" s="62"/>
      <c r="E63" s="61"/>
      <c r="F63" s="62"/>
      <c r="G63" s="61"/>
      <c r="H63" s="62"/>
      <c r="I63" s="61"/>
      <c r="J63" s="62"/>
      <c r="K63" s="61"/>
      <c r="L63" s="62"/>
      <c r="M63" s="61"/>
      <c r="N63" s="62"/>
      <c r="O63" s="63"/>
      <c r="P63" s="62"/>
      <c r="Q63" s="63"/>
      <c r="R63" s="62"/>
      <c r="S63" s="61"/>
      <c r="T63" s="118"/>
      <c r="U63" s="61"/>
      <c r="V63" s="118"/>
      <c r="W63" s="61"/>
      <c r="X63" s="117"/>
      <c r="Y63" s="61"/>
      <c r="Z63" s="117"/>
      <c r="AA63" s="134"/>
      <c r="AB63" s="64"/>
      <c r="AC63" s="65"/>
      <c r="AD63" s="66"/>
      <c r="AE63" s="180"/>
      <c r="AF63" s="66"/>
      <c r="AG63" s="65"/>
      <c r="AH63" s="66"/>
      <c r="AI63" s="63"/>
      <c r="AJ63" s="62"/>
      <c r="AK63" s="63"/>
      <c r="AL63" s="62"/>
    </row>
    <row r="64" spans="1:38" ht="12.75" thickBot="1" x14ac:dyDescent="0.25">
      <c r="A64" s="135" t="s">
        <v>113</v>
      </c>
      <c r="B64" s="176">
        <f>+COUNT(B8:B62)</f>
        <v>39</v>
      </c>
      <c r="C64" s="135" t="s">
        <v>113</v>
      </c>
      <c r="D64" s="136">
        <f t="shared" ref="D64" si="0">+COUNT(D8:D62)</f>
        <v>19</v>
      </c>
      <c r="E64" s="135" t="s">
        <v>113</v>
      </c>
      <c r="F64" s="136">
        <f t="shared" ref="F64" si="1">+COUNT(F8:F62)</f>
        <v>6</v>
      </c>
      <c r="G64" s="135" t="s">
        <v>113</v>
      </c>
      <c r="H64" s="136">
        <f t="shared" ref="H64" si="2">+COUNT(H8:H62)</f>
        <v>12</v>
      </c>
      <c r="I64" s="135" t="s">
        <v>113</v>
      </c>
      <c r="J64" s="136">
        <f t="shared" ref="J64" si="3">+COUNT(J8:J62)</f>
        <v>23</v>
      </c>
      <c r="K64" s="135" t="s">
        <v>113</v>
      </c>
      <c r="L64" s="136">
        <f t="shared" ref="L64" si="4">+COUNT(L8:L62)</f>
        <v>19</v>
      </c>
      <c r="M64" s="135" t="s">
        <v>113</v>
      </c>
      <c r="N64" s="136">
        <f t="shared" ref="N64" si="5">+COUNT(N8:N62)</f>
        <v>49</v>
      </c>
      <c r="O64" s="135" t="s">
        <v>113</v>
      </c>
      <c r="P64" s="136">
        <f t="shared" ref="P64" si="6">+COUNT(P8:P62)</f>
        <v>14</v>
      </c>
      <c r="Q64" s="135" t="s">
        <v>113</v>
      </c>
      <c r="R64" s="136">
        <f t="shared" ref="R64" si="7">+COUNT(R8:R62)</f>
        <v>44</v>
      </c>
      <c r="S64" s="135" t="s">
        <v>113</v>
      </c>
      <c r="T64" s="136">
        <f t="shared" ref="T64" si="8">+COUNT(T8:T62)</f>
        <v>35</v>
      </c>
      <c r="U64" s="135" t="s">
        <v>113</v>
      </c>
      <c r="V64" s="176">
        <f t="shared" ref="V64" si="9">+COUNT(V8:V62)</f>
        <v>8</v>
      </c>
      <c r="W64" s="135" t="s">
        <v>113</v>
      </c>
      <c r="X64" s="136">
        <f t="shared" ref="X64" si="10">+COUNT(X8:X62)</f>
        <v>6</v>
      </c>
      <c r="Y64" s="135" t="s">
        <v>113</v>
      </c>
      <c r="Z64" s="136">
        <f t="shared" ref="Z64" si="11">+COUNT(Z8:Z62)</f>
        <v>8</v>
      </c>
      <c r="AA64" s="135" t="s">
        <v>113</v>
      </c>
      <c r="AB64" s="136">
        <f t="shared" ref="AB64" si="12">+COUNT(AB8:AB62)</f>
        <v>21</v>
      </c>
      <c r="AC64" s="135" t="s">
        <v>113</v>
      </c>
      <c r="AD64" s="136">
        <f t="shared" ref="AD64" si="13">+COUNT(AD8:AD62)</f>
        <v>20</v>
      </c>
      <c r="AE64" s="135" t="s">
        <v>113</v>
      </c>
      <c r="AF64" s="136">
        <f t="shared" ref="AF64" si="14">+COUNT(AF8:AF62)</f>
        <v>18</v>
      </c>
      <c r="AG64" s="135" t="s">
        <v>113</v>
      </c>
      <c r="AH64" s="136">
        <f t="shared" ref="AH64" si="15">+COUNT(AH8:AH62)</f>
        <v>14</v>
      </c>
      <c r="AI64" s="135" t="s">
        <v>113</v>
      </c>
      <c r="AJ64" s="136">
        <f t="shared" ref="AJ64" si="16">+COUNT(AJ8:AJ62)</f>
        <v>32</v>
      </c>
      <c r="AK64" s="137" t="s">
        <v>113</v>
      </c>
      <c r="AL64" s="138">
        <f t="shared" ref="AL64" si="17">+COUNT(AL8:AL62)</f>
        <v>27</v>
      </c>
    </row>
    <row r="65" spans="1:38" s="31" customFormat="1" ht="12.75" thickBot="1" x14ac:dyDescent="0.25">
      <c r="A65" s="7" t="s">
        <v>3</v>
      </c>
      <c r="B65" s="8" t="s">
        <v>5</v>
      </c>
      <c r="C65" s="7" t="s">
        <v>3</v>
      </c>
      <c r="D65" s="120" t="s">
        <v>109</v>
      </c>
      <c r="E65" s="7" t="s">
        <v>3</v>
      </c>
      <c r="F65" s="119" t="s">
        <v>4</v>
      </c>
      <c r="G65" s="7" t="s">
        <v>3</v>
      </c>
      <c r="H65" s="8" t="s">
        <v>5</v>
      </c>
      <c r="I65" s="7" t="s">
        <v>3</v>
      </c>
      <c r="J65" s="119" t="s">
        <v>23</v>
      </c>
      <c r="K65" s="7" t="s">
        <v>3</v>
      </c>
      <c r="L65" s="119" t="s">
        <v>110</v>
      </c>
      <c r="M65" s="7" t="s">
        <v>3</v>
      </c>
      <c r="N65" s="8" t="s">
        <v>5</v>
      </c>
      <c r="O65" s="7" t="s">
        <v>3</v>
      </c>
      <c r="P65" s="8" t="s">
        <v>4</v>
      </c>
      <c r="Q65" s="7" t="s">
        <v>3</v>
      </c>
      <c r="R65" s="119" t="s">
        <v>4</v>
      </c>
      <c r="S65" s="7" t="s">
        <v>3</v>
      </c>
      <c r="T65" s="121" t="s">
        <v>23</v>
      </c>
      <c r="U65" s="7" t="s">
        <v>3</v>
      </c>
      <c r="V65" s="121" t="s">
        <v>5</v>
      </c>
      <c r="W65" s="7" t="s">
        <v>3</v>
      </c>
      <c r="X65" s="120" t="s">
        <v>110</v>
      </c>
      <c r="Y65" s="7" t="s">
        <v>3</v>
      </c>
      <c r="Z65" s="120" t="s">
        <v>5</v>
      </c>
      <c r="AA65" s="7" t="s">
        <v>3</v>
      </c>
      <c r="AB65" s="8" t="s">
        <v>5</v>
      </c>
      <c r="AC65" s="7" t="s">
        <v>3</v>
      </c>
      <c r="AD65" s="8" t="s">
        <v>5</v>
      </c>
      <c r="AE65" s="7" t="s">
        <v>3</v>
      </c>
      <c r="AF65" s="8" t="s">
        <v>5</v>
      </c>
      <c r="AG65" s="7" t="s">
        <v>3</v>
      </c>
      <c r="AH65" s="8" t="s">
        <v>110</v>
      </c>
      <c r="AI65" s="7" t="s">
        <v>3</v>
      </c>
      <c r="AJ65" s="8" t="s">
        <v>4</v>
      </c>
      <c r="AK65" s="7" t="s">
        <v>3</v>
      </c>
      <c r="AL65" s="8" t="s">
        <v>23</v>
      </c>
    </row>
    <row r="66" spans="1:38" s="75" customFormat="1" x14ac:dyDescent="0.2">
      <c r="A66" s="9">
        <v>2</v>
      </c>
      <c r="B66" s="122">
        <v>65.087447021999239</v>
      </c>
      <c r="C66" s="9">
        <v>2</v>
      </c>
      <c r="D66" s="123">
        <v>20.023534191458886</v>
      </c>
      <c r="E66" s="9">
        <v>2</v>
      </c>
      <c r="F66" s="124">
        <v>75.570387601743462</v>
      </c>
      <c r="G66" s="9">
        <v>2</v>
      </c>
      <c r="H66" s="124">
        <v>25.627247346035475</v>
      </c>
      <c r="I66" s="9">
        <v>2</v>
      </c>
      <c r="J66" s="124">
        <v>8.1897208121003899</v>
      </c>
      <c r="K66" s="9">
        <v>2</v>
      </c>
      <c r="L66" s="124">
        <v>18.940268672135286</v>
      </c>
      <c r="M66" s="9">
        <v>2</v>
      </c>
      <c r="N66" s="10">
        <v>142.39667775875682</v>
      </c>
      <c r="O66" s="9">
        <v>2</v>
      </c>
      <c r="P66" s="10">
        <v>19.738962734077411</v>
      </c>
      <c r="Q66" s="9">
        <v>2</v>
      </c>
      <c r="R66" s="124">
        <v>55.462479072991812</v>
      </c>
      <c r="S66" s="9">
        <v>2</v>
      </c>
      <c r="T66" s="125">
        <v>37.027259226443213</v>
      </c>
      <c r="U66" s="9">
        <v>2</v>
      </c>
      <c r="V66" s="125">
        <v>5.9201047390652226</v>
      </c>
      <c r="W66" s="9">
        <v>2</v>
      </c>
      <c r="X66" s="123">
        <v>56.881885805355857</v>
      </c>
      <c r="Y66" s="9">
        <v>2</v>
      </c>
      <c r="Z66" s="123">
        <v>6.459024478100833</v>
      </c>
      <c r="AA66" s="9">
        <v>2</v>
      </c>
      <c r="AB66" s="10">
        <v>8.2572849397824726</v>
      </c>
      <c r="AC66" s="9">
        <v>2</v>
      </c>
      <c r="AD66" s="10">
        <v>51.602474450812984</v>
      </c>
      <c r="AE66" s="9">
        <v>2</v>
      </c>
      <c r="AF66" s="10">
        <v>16.818050947917065</v>
      </c>
      <c r="AG66" s="9">
        <v>2</v>
      </c>
      <c r="AH66" s="10">
        <v>62.992366407707074</v>
      </c>
      <c r="AI66" s="9">
        <v>2</v>
      </c>
      <c r="AJ66" s="10">
        <v>48.319180474113352</v>
      </c>
      <c r="AK66" s="9">
        <v>2</v>
      </c>
      <c r="AL66" s="10">
        <v>8.5562667171763014</v>
      </c>
    </row>
    <row r="67" spans="1:38" s="75" customFormat="1" x14ac:dyDescent="0.2">
      <c r="A67" s="11">
        <v>5</v>
      </c>
      <c r="B67" s="126">
        <v>139.70635260905988</v>
      </c>
      <c r="C67" s="11">
        <v>5</v>
      </c>
      <c r="D67" s="127">
        <v>42.93531797737338</v>
      </c>
      <c r="E67" s="11">
        <v>5</v>
      </c>
      <c r="F67" s="126">
        <v>86.419225400249431</v>
      </c>
      <c r="G67" s="11">
        <v>5</v>
      </c>
      <c r="H67" s="126">
        <v>50.834809685979828</v>
      </c>
      <c r="I67" s="11">
        <v>5</v>
      </c>
      <c r="J67" s="126">
        <v>15.741428351207491</v>
      </c>
      <c r="K67" s="11">
        <v>5</v>
      </c>
      <c r="L67" s="126">
        <v>31.942338929687516</v>
      </c>
      <c r="M67" s="11">
        <v>5</v>
      </c>
      <c r="N67" s="12">
        <v>237.26450226481469</v>
      </c>
      <c r="O67" s="11">
        <v>5</v>
      </c>
      <c r="P67" s="12">
        <v>41.04827831876743</v>
      </c>
      <c r="Q67" s="11">
        <v>5</v>
      </c>
      <c r="R67" s="126">
        <v>90.437583184879145</v>
      </c>
      <c r="S67" s="11">
        <v>5</v>
      </c>
      <c r="T67" s="128">
        <v>68.199467064463676</v>
      </c>
      <c r="U67" s="11">
        <v>5</v>
      </c>
      <c r="V67" s="128">
        <v>18.254550944741759</v>
      </c>
      <c r="W67" s="11">
        <v>5</v>
      </c>
      <c r="X67" s="127">
        <v>134.65692862794162</v>
      </c>
      <c r="Y67" s="11">
        <v>5</v>
      </c>
      <c r="Z67" s="127">
        <v>15.465138628536499</v>
      </c>
      <c r="AA67" s="11">
        <v>5</v>
      </c>
      <c r="AB67" s="12">
        <v>11.959931159036229</v>
      </c>
      <c r="AC67" s="11">
        <v>5</v>
      </c>
      <c r="AD67" s="12">
        <v>82.204973871758298</v>
      </c>
      <c r="AE67" s="11">
        <v>5</v>
      </c>
      <c r="AF67" s="12">
        <v>32.948561403876326</v>
      </c>
      <c r="AG67" s="11">
        <v>5</v>
      </c>
      <c r="AH67" s="12">
        <v>99.546637268476942</v>
      </c>
      <c r="AI67" s="11">
        <v>5</v>
      </c>
      <c r="AJ67" s="12">
        <v>113.26542256438555</v>
      </c>
      <c r="AK67" s="11">
        <v>5</v>
      </c>
      <c r="AL67" s="12">
        <v>14.294834157005116</v>
      </c>
    </row>
    <row r="68" spans="1:38" s="75" customFormat="1" x14ac:dyDescent="0.2">
      <c r="A68" s="11">
        <v>10</v>
      </c>
      <c r="B68" s="126">
        <v>198.98404934138571</v>
      </c>
      <c r="C68" s="11">
        <v>10</v>
      </c>
      <c r="D68" s="127">
        <v>58.689556145655899</v>
      </c>
      <c r="E68" s="11">
        <v>10</v>
      </c>
      <c r="F68" s="126">
        <v>89.953014166582761</v>
      </c>
      <c r="G68" s="11">
        <v>10</v>
      </c>
      <c r="H68" s="126">
        <v>76.728130443998154</v>
      </c>
      <c r="I68" s="11">
        <v>10</v>
      </c>
      <c r="J68" s="126">
        <v>22.15162610056263</v>
      </c>
      <c r="K68" s="11">
        <v>10</v>
      </c>
      <c r="L68" s="126">
        <v>40.550840787650237</v>
      </c>
      <c r="M68" s="11">
        <v>10</v>
      </c>
      <c r="N68" s="12">
        <v>303.05179933940394</v>
      </c>
      <c r="O68" s="11">
        <v>10</v>
      </c>
      <c r="P68" s="12">
        <v>55.44604589616862</v>
      </c>
      <c r="Q68" s="11">
        <v>10</v>
      </c>
      <c r="R68" s="126">
        <v>112.29113780473259</v>
      </c>
      <c r="S68" s="11">
        <v>10</v>
      </c>
      <c r="T68" s="128">
        <v>93.856041577129361</v>
      </c>
      <c r="U68" s="11">
        <v>10</v>
      </c>
      <c r="V68" s="128">
        <v>35.80751575696172</v>
      </c>
      <c r="W68" s="11">
        <v>10</v>
      </c>
      <c r="X68" s="127">
        <v>186.15077440626806</v>
      </c>
      <c r="Y68" s="11">
        <v>10</v>
      </c>
      <c r="Z68" s="127">
        <v>25.312038165619185</v>
      </c>
      <c r="AA68" s="11">
        <v>10</v>
      </c>
      <c r="AB68" s="12">
        <v>13.775364910647509</v>
      </c>
      <c r="AC68" s="11">
        <v>10</v>
      </c>
      <c r="AD68" s="12">
        <v>104.42970942971276</v>
      </c>
      <c r="AE68" s="11">
        <v>10</v>
      </c>
      <c r="AF68" s="12">
        <v>44.408148971466524</v>
      </c>
      <c r="AG68" s="11">
        <v>10</v>
      </c>
      <c r="AH68" s="12">
        <v>123.74874527036455</v>
      </c>
      <c r="AI68" s="11">
        <v>10</v>
      </c>
      <c r="AJ68" s="12">
        <v>170.65658767354327</v>
      </c>
      <c r="AK68" s="11">
        <v>10</v>
      </c>
      <c r="AL68" s="12">
        <v>18.694402001385232</v>
      </c>
    </row>
    <row r="69" spans="1:38" s="75" customFormat="1" x14ac:dyDescent="0.2">
      <c r="A69" s="11">
        <v>25</v>
      </c>
      <c r="B69" s="126">
        <v>280.55130288409237</v>
      </c>
      <c r="C69" s="11">
        <v>25</v>
      </c>
      <c r="D69" s="127">
        <v>79.1708590171406</v>
      </c>
      <c r="E69" s="11">
        <v>25</v>
      </c>
      <c r="F69" s="126">
        <v>92.469631624681483</v>
      </c>
      <c r="G69" s="11">
        <v>25</v>
      </c>
      <c r="H69" s="126">
        <v>124.20520133288764</v>
      </c>
      <c r="I69" s="11">
        <v>25</v>
      </c>
      <c r="J69" s="126">
        <v>31.894371622681437</v>
      </c>
      <c r="K69" s="11">
        <v>25</v>
      </c>
      <c r="L69" s="126">
        <v>51.42770570588214</v>
      </c>
      <c r="M69" s="11">
        <v>25</v>
      </c>
      <c r="N69" s="12">
        <v>387.24327978598973</v>
      </c>
      <c r="O69" s="11">
        <v>25</v>
      </c>
      <c r="P69" s="12">
        <v>73.41460498813781</v>
      </c>
      <c r="Q69" s="11">
        <v>25</v>
      </c>
      <c r="R69" s="126">
        <v>138.44737231446661</v>
      </c>
      <c r="S69" s="11">
        <v>25</v>
      </c>
      <c r="T69" s="128">
        <v>131.95973479958448</v>
      </c>
      <c r="U69" s="11">
        <v>25</v>
      </c>
      <c r="V69" s="128">
        <v>78.588842385382776</v>
      </c>
      <c r="W69" s="11">
        <v>25</v>
      </c>
      <c r="X69" s="127">
        <v>251.21338505472221</v>
      </c>
      <c r="Y69" s="11">
        <v>25</v>
      </c>
      <c r="Z69" s="127">
        <v>43.970359197524068</v>
      </c>
      <c r="AA69" s="11">
        <v>25</v>
      </c>
      <c r="AB69" s="12">
        <v>15.4816962151854</v>
      </c>
      <c r="AC69" s="11">
        <v>25</v>
      </c>
      <c r="AD69" s="12">
        <v>134.42153856471191</v>
      </c>
      <c r="AE69" s="11">
        <v>25</v>
      </c>
      <c r="AF69" s="12">
        <v>58.828085721632284</v>
      </c>
      <c r="AG69" s="11">
        <v>25</v>
      </c>
      <c r="AH69" s="12">
        <v>154.32817288929402</v>
      </c>
      <c r="AI69" s="11">
        <v>25</v>
      </c>
      <c r="AJ69" s="12">
        <v>257.61293927767468</v>
      </c>
      <c r="AK69" s="11">
        <v>25</v>
      </c>
      <c r="AL69" s="12">
        <v>24.891840254023101</v>
      </c>
    </row>
    <row r="70" spans="1:38" s="75" customFormat="1" x14ac:dyDescent="0.2">
      <c r="A70" s="11">
        <v>50</v>
      </c>
      <c r="B70" s="126">
        <v>344.26975950221214</v>
      </c>
      <c r="C70" s="11">
        <v>50</v>
      </c>
      <c r="D70" s="127">
        <v>94.768053228082607</v>
      </c>
      <c r="E70" s="11">
        <v>50</v>
      </c>
      <c r="F70" s="126">
        <v>93.542117046452944</v>
      </c>
      <c r="G70" s="11">
        <v>50</v>
      </c>
      <c r="H70" s="126">
        <v>173.59478688813238</v>
      </c>
      <c r="I70" s="11">
        <v>50</v>
      </c>
      <c r="J70" s="126">
        <v>40.344097201012751</v>
      </c>
      <c r="K70" s="11">
        <v>50</v>
      </c>
      <c r="L70" s="126">
        <v>59.496785451331633</v>
      </c>
      <c r="M70" s="11">
        <v>50</v>
      </c>
      <c r="N70" s="12">
        <v>449.82900442504882</v>
      </c>
      <c r="O70" s="11">
        <v>50</v>
      </c>
      <c r="P70" s="12">
        <v>86.515690776972576</v>
      </c>
      <c r="Q70" s="11">
        <v>50</v>
      </c>
      <c r="R70" s="126">
        <v>156.96370456940767</v>
      </c>
      <c r="S70" s="11">
        <v>50</v>
      </c>
      <c r="T70" s="128">
        <v>164.37956705809069</v>
      </c>
      <c r="U70" s="11">
        <v>50</v>
      </c>
      <c r="V70" s="128">
        <v>135.54991466905813</v>
      </c>
      <c r="W70" s="11">
        <v>50</v>
      </c>
      <c r="X70" s="127">
        <v>299.4805463844088</v>
      </c>
      <c r="Y70" s="11">
        <v>50</v>
      </c>
      <c r="Z70" s="127">
        <v>63.831963276424382</v>
      </c>
      <c r="AA70" s="11">
        <v>50</v>
      </c>
      <c r="AB70" s="12">
        <v>16.421768187664071</v>
      </c>
      <c r="AC70" s="11">
        <v>50</v>
      </c>
      <c r="AD70" s="12">
        <v>157.94936874151338</v>
      </c>
      <c r="AE70" s="11">
        <v>50</v>
      </c>
      <c r="AF70" s="12">
        <v>69.20033998140282</v>
      </c>
      <c r="AG70" s="11">
        <v>50</v>
      </c>
      <c r="AH70" s="12">
        <v>177.01373916986279</v>
      </c>
      <c r="AI70" s="11">
        <v>50</v>
      </c>
      <c r="AJ70" s="12">
        <v>331.60852412876312</v>
      </c>
      <c r="AK70" s="11">
        <v>50</v>
      </c>
      <c r="AL70" s="12">
        <v>29.938224321882256</v>
      </c>
    </row>
    <row r="71" spans="1:38" s="75" customFormat="1" ht="12.75" thickBot="1" x14ac:dyDescent="0.25">
      <c r="A71" s="13">
        <v>100</v>
      </c>
      <c r="B71" s="129">
        <v>409.25909983795299</v>
      </c>
      <c r="C71" s="13">
        <v>100</v>
      </c>
      <c r="D71" s="130">
        <v>110.67918867216528</v>
      </c>
      <c r="E71" s="13">
        <v>100</v>
      </c>
      <c r="F71" s="129">
        <v>94.231442406308346</v>
      </c>
      <c r="G71" s="13">
        <v>100</v>
      </c>
      <c r="H71" s="129">
        <v>238.47632481896025</v>
      </c>
      <c r="I71" s="13">
        <v>100</v>
      </c>
      <c r="J71" s="129">
        <v>49.853617719067906</v>
      </c>
      <c r="K71" s="13">
        <v>100</v>
      </c>
      <c r="L71" s="129">
        <v>67.506284378550987</v>
      </c>
      <c r="M71" s="13">
        <v>100</v>
      </c>
      <c r="N71" s="14">
        <v>511.53544436268533</v>
      </c>
      <c r="O71" s="13">
        <v>100</v>
      </c>
      <c r="P71" s="14">
        <v>99.318801427822393</v>
      </c>
      <c r="Q71" s="13">
        <v>100</v>
      </c>
      <c r="R71" s="129">
        <v>174.70602376133039</v>
      </c>
      <c r="S71" s="13">
        <v>100</v>
      </c>
      <c r="T71" s="131">
        <v>200.33977055281321</v>
      </c>
      <c r="U71" s="13">
        <v>100</v>
      </c>
      <c r="V71" s="131">
        <v>227.17908153547629</v>
      </c>
      <c r="W71" s="13">
        <v>100</v>
      </c>
      <c r="X71" s="130">
        <v>347.39131057137416</v>
      </c>
      <c r="Y71" s="13">
        <v>100</v>
      </c>
      <c r="Z71" s="130">
        <v>90.16361367641737</v>
      </c>
      <c r="AA71" s="13">
        <v>100</v>
      </c>
      <c r="AB71" s="14">
        <v>17.151362528315214</v>
      </c>
      <c r="AC71" s="13">
        <v>100</v>
      </c>
      <c r="AD71" s="14">
        <v>182.32249465866818</v>
      </c>
      <c r="AE71" s="13">
        <v>100</v>
      </c>
      <c r="AF71" s="14">
        <v>79.087284431874593</v>
      </c>
      <c r="AG71" s="13">
        <v>100</v>
      </c>
      <c r="AH71" s="14">
        <v>199.53179878998833</v>
      </c>
      <c r="AI71" s="13">
        <v>100</v>
      </c>
      <c r="AJ71" s="14">
        <v>412.01857623903061</v>
      </c>
      <c r="AK71" s="13">
        <v>100</v>
      </c>
      <c r="AL71" s="14">
        <v>35.352749155268256</v>
      </c>
    </row>
    <row r="72" spans="1:38" x14ac:dyDescent="0.2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60"/>
      <c r="AD72" s="260"/>
      <c r="AE72" s="260"/>
      <c r="AF72" s="260"/>
      <c r="AG72" s="260"/>
      <c r="AH72" s="260"/>
      <c r="AI72" s="260"/>
      <c r="AJ72" s="260"/>
      <c r="AK72" s="260"/>
      <c r="AL72" s="260"/>
    </row>
  </sheetData>
  <mergeCells count="96">
    <mergeCell ref="AI72:AJ72"/>
    <mergeCell ref="AK72:AL72"/>
    <mergeCell ref="AG72:AH72"/>
    <mergeCell ref="AA72:AB72"/>
    <mergeCell ref="AC72:AD72"/>
    <mergeCell ref="AE72:AF72"/>
    <mergeCell ref="W72:X72"/>
    <mergeCell ref="Y72:Z72"/>
    <mergeCell ref="S72:T72"/>
    <mergeCell ref="U72:V72"/>
    <mergeCell ref="I72:J72"/>
    <mergeCell ref="K72:L72"/>
    <mergeCell ref="M72:N72"/>
    <mergeCell ref="O72:P72"/>
    <mergeCell ref="Q72:R72"/>
    <mergeCell ref="G43:H44"/>
    <mergeCell ref="A72:B72"/>
    <mergeCell ref="C72:D72"/>
    <mergeCell ref="E72:F72"/>
    <mergeCell ref="G72:H72"/>
    <mergeCell ref="AI6:AI7"/>
    <mergeCell ref="AK6:AK7"/>
    <mergeCell ref="AE6:AE7"/>
    <mergeCell ref="AG6:AG7"/>
    <mergeCell ref="AA6:AA7"/>
    <mergeCell ref="AC6:AC7"/>
    <mergeCell ref="U6:U7"/>
    <mergeCell ref="W6:W7"/>
    <mergeCell ref="Y6:Y7"/>
    <mergeCell ref="Q6:Q7"/>
    <mergeCell ref="S6:S7"/>
    <mergeCell ref="G6:G7"/>
    <mergeCell ref="I6:I7"/>
    <mergeCell ref="K6:K7"/>
    <mergeCell ref="M6:M7"/>
    <mergeCell ref="O6:O7"/>
    <mergeCell ref="A6:A7"/>
    <mergeCell ref="C6:C7"/>
    <mergeCell ref="E6:E7"/>
    <mergeCell ref="AI5:AJ5"/>
    <mergeCell ref="AK5:AL5"/>
    <mergeCell ref="AE5:AF5"/>
    <mergeCell ref="AG5:AH5"/>
    <mergeCell ref="AA5:AB5"/>
    <mergeCell ref="AC5:AD5"/>
    <mergeCell ref="U5:V5"/>
    <mergeCell ref="W5:X5"/>
    <mergeCell ref="Y5:Z5"/>
    <mergeCell ref="Q5:R5"/>
    <mergeCell ref="S5:T5"/>
    <mergeCell ref="G5:H5"/>
    <mergeCell ref="I5:J5"/>
    <mergeCell ref="K5:L5"/>
    <mergeCell ref="M5:N5"/>
    <mergeCell ref="O5:P5"/>
    <mergeCell ref="A5:B5"/>
    <mergeCell ref="C5:D5"/>
    <mergeCell ref="E5:F5"/>
    <mergeCell ref="AI4:AJ4"/>
    <mergeCell ref="AK4:AL4"/>
    <mergeCell ref="AE4:AF4"/>
    <mergeCell ref="AG4:AH4"/>
    <mergeCell ref="AA4:AB4"/>
    <mergeCell ref="AC4:AD4"/>
    <mergeCell ref="U4:V4"/>
    <mergeCell ref="W4:X4"/>
    <mergeCell ref="Y4:Z4"/>
    <mergeCell ref="Q4:R4"/>
    <mergeCell ref="S4:T4"/>
    <mergeCell ref="G4:H4"/>
    <mergeCell ref="I4:J4"/>
    <mergeCell ref="K4:L4"/>
    <mergeCell ref="M4:N4"/>
    <mergeCell ref="O4:P4"/>
    <mergeCell ref="A4:B4"/>
    <mergeCell ref="C4:D4"/>
    <mergeCell ref="E4:F4"/>
    <mergeCell ref="AI3:AJ3"/>
    <mergeCell ref="AK3:AL3"/>
    <mergeCell ref="AE3:AF3"/>
    <mergeCell ref="AG3:AH3"/>
    <mergeCell ref="AA3:AB3"/>
    <mergeCell ref="AC3:AD3"/>
    <mergeCell ref="U3:V3"/>
    <mergeCell ref="W3:X3"/>
    <mergeCell ref="Y3:Z3"/>
    <mergeCell ref="Q3:R3"/>
    <mergeCell ref="S3:T3"/>
    <mergeCell ref="G3:H3"/>
    <mergeCell ref="I3:J3"/>
    <mergeCell ref="K3:L3"/>
    <mergeCell ref="M3:N3"/>
    <mergeCell ref="O3:P3"/>
    <mergeCell ref="A3:B3"/>
    <mergeCell ref="C3:D3"/>
    <mergeCell ref="E3:F3"/>
  </mergeCells>
  <conditionalFormatting sqref="B8:B43 D8:D63 B45:B63">
    <cfRule type="expression" dxfId="1" priority="2">
      <formula>maks($B$8:$B$62)</formula>
    </cfRule>
  </conditionalFormatting>
  <conditionalFormatting sqref="B8:B43 B45:B62">
    <cfRule type="cellIs" dxfId="0" priority="1" operator="equal">
      <formula>maks($B$8:$B$62)</formula>
    </cfRule>
  </conditionalFormatting>
  <printOptions horizontalCentered="1"/>
  <pageMargins left="0.51181102362204722" right="0.51181102362204722" top="0.55118110236220474" bottom="0.55118110236220474" header="0.31496062992125984" footer="0.31496062992125984"/>
  <pageSetup paperSize="9" scale="85" orientation="portrait" r:id="rId1"/>
  <colBreaks count="3" manualBreakCount="3">
    <brk id="12" max="70" man="1"/>
    <brk id="22" max="70" man="1"/>
    <brk id="30" max="7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7"/>
  <sheetViews>
    <sheetView view="pageBreakPreview" zoomScale="85" zoomScaleNormal="85" zoomScaleSheetLayoutView="85" workbookViewId="0">
      <selection activeCell="A2" sqref="A2"/>
    </sheetView>
  </sheetViews>
  <sheetFormatPr defaultRowHeight="15" x14ac:dyDescent="0.25"/>
  <cols>
    <col min="1" max="1" width="5" style="21" customWidth="1"/>
    <col min="2" max="2" width="14.5703125" style="21" customWidth="1"/>
    <col min="3" max="3" width="25.85546875" style="21" customWidth="1"/>
    <col min="4" max="12" width="9.42578125" style="21" customWidth="1"/>
    <col min="13" max="13" width="12" style="21" customWidth="1"/>
    <col min="14" max="19" width="9.140625" style="21"/>
    <col min="20" max="20" width="10" style="21" customWidth="1"/>
    <col min="21" max="24" width="9.140625" style="21"/>
    <col min="25" max="25" width="9.7109375" style="21" customWidth="1"/>
    <col min="26" max="31" width="9.140625" style="21"/>
    <col min="32" max="32" width="14.5703125" style="21" customWidth="1"/>
    <col min="33" max="16384" width="9.140625" style="21"/>
  </cols>
  <sheetData>
    <row r="1" spans="1:28" ht="15.75" x14ac:dyDescent="0.25">
      <c r="A1" s="175" t="s">
        <v>184</v>
      </c>
      <c r="B1" s="22"/>
    </row>
    <row r="3" spans="1:28" s="22" customFormat="1" ht="21" customHeight="1" x14ac:dyDescent="0.25">
      <c r="A3" s="191" t="s">
        <v>7</v>
      </c>
      <c r="B3" s="191" t="s">
        <v>178</v>
      </c>
      <c r="C3" s="191" t="s">
        <v>178</v>
      </c>
      <c r="D3" s="191" t="s">
        <v>8</v>
      </c>
      <c r="E3" s="191" t="s">
        <v>9</v>
      </c>
      <c r="F3" s="267" t="s">
        <v>3</v>
      </c>
      <c r="G3" s="268" t="s">
        <v>10</v>
      </c>
      <c r="H3" s="268" t="s">
        <v>11</v>
      </c>
      <c r="I3" s="268" t="s">
        <v>12</v>
      </c>
      <c r="J3" s="268" t="s">
        <v>13</v>
      </c>
      <c r="K3" s="268" t="s">
        <v>14</v>
      </c>
      <c r="L3" s="268" t="s">
        <v>15</v>
      </c>
      <c r="M3" s="272" t="s">
        <v>21</v>
      </c>
      <c r="N3" s="261" t="s">
        <v>16</v>
      </c>
      <c r="O3" s="262"/>
      <c r="P3" s="262"/>
      <c r="Q3" s="262"/>
      <c r="R3" s="262"/>
      <c r="S3" s="263"/>
    </row>
    <row r="4" spans="1:28" s="22" customFormat="1" ht="22.5" customHeight="1" x14ac:dyDescent="0.25">
      <c r="A4" s="192" t="s">
        <v>17</v>
      </c>
      <c r="B4" s="192" t="s">
        <v>17</v>
      </c>
      <c r="C4" s="192" t="s">
        <v>107</v>
      </c>
      <c r="D4" s="192" t="s">
        <v>18</v>
      </c>
      <c r="E4" s="192" t="s">
        <v>19</v>
      </c>
      <c r="F4" s="267"/>
      <c r="G4" s="268"/>
      <c r="H4" s="268"/>
      <c r="I4" s="268"/>
      <c r="J4" s="268"/>
      <c r="K4" s="268"/>
      <c r="L4" s="268"/>
      <c r="M4" s="272"/>
      <c r="N4" s="190">
        <v>2</v>
      </c>
      <c r="O4" s="190">
        <v>5</v>
      </c>
      <c r="P4" s="190">
        <v>10</v>
      </c>
      <c r="Q4" s="190">
        <v>25</v>
      </c>
      <c r="R4" s="190">
        <v>50</v>
      </c>
      <c r="S4" s="190">
        <v>100</v>
      </c>
      <c r="Y4" s="22" t="s">
        <v>114</v>
      </c>
      <c r="Z4" s="22" t="s">
        <v>115</v>
      </c>
      <c r="AB4" s="22" t="s">
        <v>116</v>
      </c>
    </row>
    <row r="5" spans="1:28" ht="20.25" customHeight="1" x14ac:dyDescent="0.25">
      <c r="A5" s="23">
        <v>1</v>
      </c>
      <c r="B5" s="23" t="s">
        <v>67</v>
      </c>
      <c r="C5" s="76" t="s">
        <v>49</v>
      </c>
      <c r="D5" s="77">
        <v>174.9</v>
      </c>
      <c r="E5" s="77">
        <v>39</v>
      </c>
      <c r="F5" s="77" t="s">
        <v>5</v>
      </c>
      <c r="G5" s="78">
        <v>65.087447021999239</v>
      </c>
      <c r="H5" s="78">
        <v>139.70635260905988</v>
      </c>
      <c r="I5" s="78">
        <v>198.98404934138571</v>
      </c>
      <c r="J5" s="78">
        <v>280.55130288409237</v>
      </c>
      <c r="K5" s="78">
        <v>344.26975950221214</v>
      </c>
      <c r="L5" s="78">
        <v>409.25909983795299</v>
      </c>
      <c r="M5" s="77">
        <v>350</v>
      </c>
      <c r="N5" s="24">
        <f>G5/$G$5</f>
        <v>1</v>
      </c>
      <c r="O5" s="25">
        <f>H5/$G$5</f>
        <v>2.146440811572158</v>
      </c>
      <c r="P5" s="25">
        <f t="shared" ref="P5:S5" si="0">I5/$G$5</f>
        <v>3.0571801237515137</v>
      </c>
      <c r="Q5" s="25">
        <f t="shared" si="0"/>
        <v>4.3103749758270196</v>
      </c>
      <c r="R5" s="25">
        <f t="shared" si="0"/>
        <v>5.2893418816358038</v>
      </c>
      <c r="S5" s="25">
        <f t="shared" si="0"/>
        <v>6.2878345758380325</v>
      </c>
      <c r="V5" s="21">
        <v>1</v>
      </c>
      <c r="W5" s="21">
        <v>1</v>
      </c>
      <c r="X5" s="77">
        <v>174.9</v>
      </c>
      <c r="Y5" s="78">
        <v>65.087447021999239</v>
      </c>
      <c r="Z5" s="78">
        <v>409.25909983795299</v>
      </c>
      <c r="AA5" s="78"/>
      <c r="AB5" s="77">
        <v>350</v>
      </c>
    </row>
    <row r="6" spans="1:28" ht="20.25" customHeight="1" x14ac:dyDescent="0.25">
      <c r="A6" s="23">
        <v>2</v>
      </c>
      <c r="B6" s="23" t="s">
        <v>69</v>
      </c>
      <c r="C6" s="76" t="s">
        <v>51</v>
      </c>
      <c r="D6" s="77">
        <v>143</v>
      </c>
      <c r="E6" s="77">
        <v>6</v>
      </c>
      <c r="F6" s="77" t="s">
        <v>4</v>
      </c>
      <c r="G6" s="78">
        <v>75.570387601743462</v>
      </c>
      <c r="H6" s="78">
        <v>86.419225400249431</v>
      </c>
      <c r="I6" s="78">
        <v>89.953014166582761</v>
      </c>
      <c r="J6" s="78">
        <v>92.469631624681483</v>
      </c>
      <c r="K6" s="78">
        <v>93.542117046452944</v>
      </c>
      <c r="L6" s="78">
        <v>94.231442406308346</v>
      </c>
      <c r="M6" s="77">
        <v>91</v>
      </c>
      <c r="N6" s="79">
        <f>G6/$G$6</f>
        <v>1</v>
      </c>
      <c r="O6" s="25">
        <f t="shared" ref="O6:S6" si="1">H6/$G$6</f>
        <v>1.1435593774598514</v>
      </c>
      <c r="P6" s="25">
        <f t="shared" si="1"/>
        <v>1.1903209315351915</v>
      </c>
      <c r="Q6" s="25">
        <f t="shared" si="1"/>
        <v>1.2236225664475504</v>
      </c>
      <c r="R6" s="25">
        <f t="shared" si="1"/>
        <v>1.2378144404845537</v>
      </c>
      <c r="S6" s="25">
        <f t="shared" si="1"/>
        <v>1.2469360737291542</v>
      </c>
      <c r="V6" s="21">
        <v>600</v>
      </c>
      <c r="W6" s="21">
        <v>310</v>
      </c>
      <c r="X6" s="77">
        <v>143</v>
      </c>
      <c r="Y6" s="78">
        <v>75.570387601743462</v>
      </c>
      <c r="Z6" s="78">
        <v>94.231442406308346</v>
      </c>
      <c r="AA6" s="78"/>
      <c r="AB6" s="77">
        <v>91</v>
      </c>
    </row>
    <row r="7" spans="1:28" ht="20.25" customHeight="1" x14ac:dyDescent="0.25">
      <c r="A7" s="23">
        <v>3</v>
      </c>
      <c r="B7" s="23" t="s">
        <v>70</v>
      </c>
      <c r="C7" s="76" t="s">
        <v>52</v>
      </c>
      <c r="D7" s="77">
        <v>84</v>
      </c>
      <c r="E7" s="77">
        <v>12</v>
      </c>
      <c r="F7" s="77" t="s">
        <v>5</v>
      </c>
      <c r="G7" s="78">
        <v>25.627247346035475</v>
      </c>
      <c r="H7" s="78">
        <v>50.834809685979828</v>
      </c>
      <c r="I7" s="78">
        <v>76.728130443998154</v>
      </c>
      <c r="J7" s="78">
        <v>124.20520133288764</v>
      </c>
      <c r="K7" s="78">
        <v>173.59478688813238</v>
      </c>
      <c r="L7" s="78">
        <v>238.47632481896025</v>
      </c>
      <c r="M7" s="77">
        <v>130</v>
      </c>
      <c r="N7" s="79">
        <f>G7/$G$7</f>
        <v>1</v>
      </c>
      <c r="O7" s="25">
        <f t="shared" ref="O7:S7" si="2">H7/$G$7</f>
        <v>1.9836234847846019</v>
      </c>
      <c r="P7" s="25">
        <f t="shared" si="2"/>
        <v>2.9940059268935868</v>
      </c>
      <c r="Q7" s="25">
        <f t="shared" si="2"/>
        <v>4.8466071933434609</v>
      </c>
      <c r="R7" s="25">
        <f t="shared" si="2"/>
        <v>6.7738366334918689</v>
      </c>
      <c r="S7" s="25">
        <f t="shared" si="2"/>
        <v>9.3055770523810253</v>
      </c>
      <c r="X7" s="77">
        <v>84</v>
      </c>
      <c r="Y7" s="78">
        <v>25.627247346035475</v>
      </c>
      <c r="Z7" s="78">
        <v>238.47632481896025</v>
      </c>
      <c r="AA7" s="78"/>
      <c r="AB7" s="77">
        <v>130</v>
      </c>
    </row>
    <row r="8" spans="1:28" ht="20.25" customHeight="1" x14ac:dyDescent="0.25">
      <c r="A8" s="23">
        <v>4</v>
      </c>
      <c r="B8" s="23" t="s">
        <v>71</v>
      </c>
      <c r="C8" s="76" t="s">
        <v>53</v>
      </c>
      <c r="D8" s="77">
        <v>43.75</v>
      </c>
      <c r="E8" s="77">
        <v>26</v>
      </c>
      <c r="F8" s="77" t="s">
        <v>23</v>
      </c>
      <c r="G8" s="78">
        <v>8.1897208121003899</v>
      </c>
      <c r="H8" s="78">
        <v>15.741428351207491</v>
      </c>
      <c r="I8" s="78">
        <v>22.15162610056263</v>
      </c>
      <c r="J8" s="78">
        <v>31.894371622681437</v>
      </c>
      <c r="K8" s="78">
        <v>40.344097201012751</v>
      </c>
      <c r="L8" s="78">
        <v>49.853617719067906</v>
      </c>
      <c r="M8" s="77">
        <v>34</v>
      </c>
      <c r="N8" s="79">
        <f>G8/$G$8</f>
        <v>1</v>
      </c>
      <c r="O8" s="25">
        <f t="shared" ref="O8:S8" si="3">H8/$G$8</f>
        <v>1.9220958458009192</v>
      </c>
      <c r="P8" s="25">
        <f t="shared" si="3"/>
        <v>2.7048084554766989</v>
      </c>
      <c r="Q8" s="25">
        <f t="shared" si="3"/>
        <v>3.894439426501231</v>
      </c>
      <c r="R8" s="25">
        <f t="shared" si="3"/>
        <v>4.9261871224479306</v>
      </c>
      <c r="S8" s="25">
        <f t="shared" si="3"/>
        <v>6.0873403212242243</v>
      </c>
      <c r="V8" s="21">
        <v>1</v>
      </c>
      <c r="W8" s="21">
        <v>1</v>
      </c>
      <c r="X8" s="77">
        <v>43.75</v>
      </c>
      <c r="Y8" s="78">
        <v>8.1897208121003899</v>
      </c>
      <c r="Z8" s="78">
        <v>49.853617719067906</v>
      </c>
      <c r="AA8" s="77"/>
      <c r="AB8" s="77">
        <v>34</v>
      </c>
    </row>
    <row r="9" spans="1:28" ht="20.25" customHeight="1" x14ac:dyDescent="0.25">
      <c r="A9" s="23">
        <v>5</v>
      </c>
      <c r="B9" s="23" t="s">
        <v>72</v>
      </c>
      <c r="C9" s="76" t="s">
        <v>54</v>
      </c>
      <c r="D9" s="77">
        <v>95.75</v>
      </c>
      <c r="E9" s="77">
        <v>19</v>
      </c>
      <c r="F9" s="77" t="s">
        <v>110</v>
      </c>
      <c r="G9" s="78">
        <v>18.940268672135286</v>
      </c>
      <c r="H9" s="78">
        <v>31.942338929687516</v>
      </c>
      <c r="I9" s="78">
        <v>40.550840787650237</v>
      </c>
      <c r="J9" s="78">
        <v>51.42770570588214</v>
      </c>
      <c r="K9" s="78">
        <v>59.496785451331633</v>
      </c>
      <c r="L9" s="78">
        <v>67.506284378550987</v>
      </c>
      <c r="M9" s="77">
        <v>41</v>
      </c>
      <c r="N9" s="79">
        <f>G9/$G$9</f>
        <v>1</v>
      </c>
      <c r="O9" s="25">
        <f t="shared" ref="O9:S9" si="4">H9/$G$9</f>
        <v>1.6864776040205138</v>
      </c>
      <c r="P9" s="25">
        <f t="shared" si="4"/>
        <v>2.1409855102693545</v>
      </c>
      <c r="Q9" s="25">
        <f t="shared" si="4"/>
        <v>2.7152574546918657</v>
      </c>
      <c r="R9" s="25">
        <f t="shared" si="4"/>
        <v>3.1412851887820707</v>
      </c>
      <c r="S9" s="25">
        <f t="shared" si="4"/>
        <v>3.5641672009576868</v>
      </c>
      <c r="V9" s="21">
        <v>500</v>
      </c>
      <c r="W9" s="21">
        <v>2500</v>
      </c>
      <c r="X9" s="77">
        <v>95.75</v>
      </c>
      <c r="Y9" s="78">
        <v>18.940268672135286</v>
      </c>
      <c r="Z9" s="78">
        <v>67.506284378550987</v>
      </c>
      <c r="AA9" s="77"/>
      <c r="AB9" s="77">
        <v>41</v>
      </c>
    </row>
    <row r="10" spans="1:28" ht="20.25" customHeight="1" x14ac:dyDescent="0.25">
      <c r="A10" s="23">
        <v>6</v>
      </c>
      <c r="B10" s="23" t="s">
        <v>73</v>
      </c>
      <c r="C10" s="76" t="s">
        <v>55</v>
      </c>
      <c r="D10" s="77">
        <v>287.10000000000002</v>
      </c>
      <c r="E10" s="77">
        <v>49</v>
      </c>
      <c r="F10" s="77" t="s">
        <v>5</v>
      </c>
      <c r="G10" s="78">
        <v>142.39667775875682</v>
      </c>
      <c r="H10" s="78">
        <v>237.26450226481469</v>
      </c>
      <c r="I10" s="78">
        <v>303.05179933940394</v>
      </c>
      <c r="J10" s="78">
        <v>387.24327978598973</v>
      </c>
      <c r="K10" s="78">
        <v>449.82900442504882</v>
      </c>
      <c r="L10" s="78">
        <v>511.53544436268533</v>
      </c>
      <c r="M10" s="77">
        <v>393</v>
      </c>
      <c r="N10" s="24">
        <f>G10/$G$10</f>
        <v>1</v>
      </c>
      <c r="O10" s="25">
        <f t="shared" ref="O10:S10" si="5">H10/$G$10</f>
        <v>1.666222175961011</v>
      </c>
      <c r="P10" s="25">
        <f t="shared" si="5"/>
        <v>2.1282224003345296</v>
      </c>
      <c r="Q10" s="25">
        <f t="shared" si="5"/>
        <v>2.7194685008174346</v>
      </c>
      <c r="R10" s="25">
        <f t="shared" si="5"/>
        <v>3.158985248146958</v>
      </c>
      <c r="S10" s="25">
        <f t="shared" si="5"/>
        <v>3.5923270992972864</v>
      </c>
      <c r="X10" s="77">
        <v>287.10000000000002</v>
      </c>
      <c r="Y10" s="78">
        <v>142.39667775875682</v>
      </c>
      <c r="Z10" s="78">
        <v>511.53544436268533</v>
      </c>
      <c r="AA10" s="77"/>
      <c r="AB10" s="77">
        <v>393</v>
      </c>
    </row>
    <row r="11" spans="1:28" ht="20.25" customHeight="1" x14ac:dyDescent="0.25">
      <c r="A11" s="23">
        <v>7</v>
      </c>
      <c r="B11" s="23" t="s">
        <v>74</v>
      </c>
      <c r="C11" s="76" t="s">
        <v>56</v>
      </c>
      <c r="D11" s="77">
        <v>54.2</v>
      </c>
      <c r="E11" s="77">
        <v>19</v>
      </c>
      <c r="F11" s="77" t="s">
        <v>4</v>
      </c>
      <c r="G11" s="78">
        <v>19.738962734077411</v>
      </c>
      <c r="H11" s="78">
        <v>41.04827831876743</v>
      </c>
      <c r="I11" s="78">
        <v>55.44604589616862</v>
      </c>
      <c r="J11" s="78">
        <v>73.41460498813781</v>
      </c>
      <c r="K11" s="78">
        <v>86.515690776972576</v>
      </c>
      <c r="L11" s="78">
        <v>99.318801427822393</v>
      </c>
      <c r="M11" s="77">
        <v>84</v>
      </c>
      <c r="N11" s="24">
        <f>G11/$G$11</f>
        <v>1</v>
      </c>
      <c r="O11" s="25">
        <f t="shared" ref="O11:S11" si="6">H11/$G$11</f>
        <v>2.0795559965216177</v>
      </c>
      <c r="P11" s="25">
        <f t="shared" si="6"/>
        <v>2.8089645156706426</v>
      </c>
      <c r="Q11" s="25">
        <f t="shared" si="6"/>
        <v>3.7192737013173742</v>
      </c>
      <c r="R11" s="25">
        <f t="shared" si="6"/>
        <v>4.3829907347467456</v>
      </c>
      <c r="S11" s="25">
        <f t="shared" si="6"/>
        <v>5.0316119831544182</v>
      </c>
      <c r="V11" s="21">
        <v>1</v>
      </c>
      <c r="W11" s="21">
        <v>1</v>
      </c>
      <c r="X11" s="77">
        <v>54.2</v>
      </c>
      <c r="Y11" s="78">
        <v>19.738962734077411</v>
      </c>
      <c r="Z11" s="78">
        <v>99.318801427822393</v>
      </c>
      <c r="AA11" s="77"/>
      <c r="AB11" s="77">
        <v>84</v>
      </c>
    </row>
    <row r="12" spans="1:28" ht="20.25" customHeight="1" x14ac:dyDescent="0.25">
      <c r="A12" s="23">
        <v>8</v>
      </c>
      <c r="B12" s="23" t="s">
        <v>75</v>
      </c>
      <c r="C12" s="76" t="s">
        <v>57</v>
      </c>
      <c r="D12" s="77">
        <v>111.8</v>
      </c>
      <c r="E12" s="77">
        <v>47</v>
      </c>
      <c r="F12" s="77" t="s">
        <v>4</v>
      </c>
      <c r="G12" s="78">
        <v>55.462479072991812</v>
      </c>
      <c r="H12" s="78">
        <v>90.437583184879145</v>
      </c>
      <c r="I12" s="78">
        <v>112.29113780473259</v>
      </c>
      <c r="J12" s="78">
        <v>138.44737231446661</v>
      </c>
      <c r="K12" s="78">
        <v>156.96370456940767</v>
      </c>
      <c r="L12" s="78">
        <v>174.70602376133039</v>
      </c>
      <c r="M12" s="78">
        <v>165</v>
      </c>
      <c r="N12" s="24">
        <f>G12/$G$12</f>
        <v>1</v>
      </c>
      <c r="O12" s="25">
        <f t="shared" ref="O12:S12" si="7">H12/$G$12</f>
        <v>1.6306083805929066</v>
      </c>
      <c r="P12" s="25">
        <f t="shared" si="7"/>
        <v>2.0246325025780219</v>
      </c>
      <c r="Q12" s="25">
        <f t="shared" si="7"/>
        <v>2.4962348353066206</v>
      </c>
      <c r="R12" s="25">
        <f t="shared" si="7"/>
        <v>2.8300881459488028</v>
      </c>
      <c r="S12" s="25">
        <f t="shared" si="7"/>
        <v>3.1499858405428869</v>
      </c>
      <c r="V12" s="21">
        <v>500</v>
      </c>
      <c r="W12" s="21">
        <v>2750</v>
      </c>
      <c r="X12" s="77">
        <v>111.8</v>
      </c>
      <c r="Y12" s="78">
        <v>55.462479072991812</v>
      </c>
      <c r="Z12" s="78">
        <v>174.70602376133039</v>
      </c>
      <c r="AA12" s="77"/>
      <c r="AB12" s="77">
        <v>165</v>
      </c>
    </row>
    <row r="13" spans="1:28" ht="20.25" customHeight="1" x14ac:dyDescent="0.25">
      <c r="A13" s="23">
        <v>9</v>
      </c>
      <c r="B13" s="23" t="s">
        <v>76</v>
      </c>
      <c r="C13" s="76" t="s">
        <v>58</v>
      </c>
      <c r="D13" s="77">
        <v>83.5</v>
      </c>
      <c r="E13" s="77">
        <v>36</v>
      </c>
      <c r="F13" s="77" t="s">
        <v>23</v>
      </c>
      <c r="G13" s="78">
        <v>37.027259226443213</v>
      </c>
      <c r="H13" s="78">
        <v>68.199467064463676</v>
      </c>
      <c r="I13" s="78">
        <v>93.856041577129361</v>
      </c>
      <c r="J13" s="78">
        <v>131.95973479958448</v>
      </c>
      <c r="K13" s="78">
        <v>164.37956705809069</v>
      </c>
      <c r="L13" s="78">
        <v>200.33977055281321</v>
      </c>
      <c r="M13" s="77">
        <v>190</v>
      </c>
      <c r="N13" s="24">
        <f>G13/$G$13</f>
        <v>1</v>
      </c>
      <c r="O13" s="25">
        <f t="shared" ref="O13:S13" si="8">H13/$G$13</f>
        <v>1.8418718665452469</v>
      </c>
      <c r="P13" s="25">
        <f t="shared" si="8"/>
        <v>2.5347823073575366</v>
      </c>
      <c r="Q13" s="25">
        <f t="shared" si="8"/>
        <v>3.5638537001233064</v>
      </c>
      <c r="R13" s="25">
        <f t="shared" si="8"/>
        <v>4.4394203214667893</v>
      </c>
      <c r="S13" s="25">
        <f t="shared" si="8"/>
        <v>5.4106022087030272</v>
      </c>
      <c r="X13" s="77">
        <v>83.5</v>
      </c>
      <c r="Y13" s="78">
        <v>37.027259226443213</v>
      </c>
      <c r="Z13" s="78">
        <v>200.33977055281321</v>
      </c>
      <c r="AA13" s="77"/>
      <c r="AB13" s="77">
        <v>190</v>
      </c>
    </row>
    <row r="14" spans="1:28" ht="20.25" customHeight="1" x14ac:dyDescent="0.25">
      <c r="A14" s="23">
        <v>10</v>
      </c>
      <c r="B14" s="165" t="s">
        <v>77</v>
      </c>
      <c r="C14" s="76" t="s">
        <v>59</v>
      </c>
      <c r="D14" s="77">
        <v>35</v>
      </c>
      <c r="E14" s="77">
        <v>8</v>
      </c>
      <c r="F14" s="77" t="s">
        <v>5</v>
      </c>
      <c r="G14" s="78">
        <v>5.9201047390652226</v>
      </c>
      <c r="H14" s="78">
        <v>18.254550944741759</v>
      </c>
      <c r="I14" s="78">
        <v>35.80751575696172</v>
      </c>
      <c r="J14" s="78">
        <v>78.588842385382776</v>
      </c>
      <c r="K14" s="78">
        <v>135.54991466905813</v>
      </c>
      <c r="L14" s="78">
        <v>227.17908153547629</v>
      </c>
      <c r="M14" s="77">
        <v>75.8</v>
      </c>
      <c r="N14" s="24">
        <v>1</v>
      </c>
      <c r="O14" s="24"/>
      <c r="P14" s="24"/>
      <c r="Q14" s="24"/>
      <c r="R14" s="24"/>
      <c r="S14" s="24"/>
      <c r="X14" s="77"/>
      <c r="Y14" s="78"/>
      <c r="Z14" s="78"/>
      <c r="AA14" s="77"/>
      <c r="AB14" s="77"/>
    </row>
    <row r="15" spans="1:28" ht="20.25" customHeight="1" x14ac:dyDescent="0.25">
      <c r="A15" s="23">
        <v>11</v>
      </c>
      <c r="B15" s="165" t="s">
        <v>78</v>
      </c>
      <c r="C15" s="76" t="s">
        <v>60</v>
      </c>
      <c r="D15" s="77">
        <v>83</v>
      </c>
      <c r="E15" s="77">
        <v>7</v>
      </c>
      <c r="F15" s="77" t="s">
        <v>110</v>
      </c>
      <c r="G15" s="78">
        <v>56.881885805355857</v>
      </c>
      <c r="H15" s="78">
        <v>134.65692862794162</v>
      </c>
      <c r="I15" s="78">
        <v>186.15077440626806</v>
      </c>
      <c r="J15" s="78">
        <v>251.21338505472221</v>
      </c>
      <c r="K15" s="78">
        <v>299.4805463844088</v>
      </c>
      <c r="L15" s="78">
        <v>347.39131057137416</v>
      </c>
      <c r="M15" s="77">
        <v>150</v>
      </c>
      <c r="N15" s="24">
        <f>G15/$G$15</f>
        <v>1</v>
      </c>
      <c r="O15" s="24"/>
      <c r="P15" s="24"/>
      <c r="Q15" s="24"/>
      <c r="R15" s="24"/>
      <c r="S15" s="24"/>
      <c r="V15" s="139"/>
      <c r="X15" s="77"/>
      <c r="Y15" s="78"/>
      <c r="Z15" s="78"/>
      <c r="AA15" s="88"/>
      <c r="AB15" s="77"/>
    </row>
    <row r="16" spans="1:28" ht="20.25" customHeight="1" x14ac:dyDescent="0.25">
      <c r="A16" s="23">
        <v>12</v>
      </c>
      <c r="B16" s="165" t="s">
        <v>79</v>
      </c>
      <c r="C16" s="76" t="s">
        <v>61</v>
      </c>
      <c r="D16" s="77">
        <v>10</v>
      </c>
      <c r="E16" s="77">
        <v>8</v>
      </c>
      <c r="F16" s="77" t="s">
        <v>5</v>
      </c>
      <c r="G16" s="78">
        <v>6.459024478100833</v>
      </c>
      <c r="H16" s="78">
        <v>15.465138628536499</v>
      </c>
      <c r="I16" s="78">
        <v>25.312038165619185</v>
      </c>
      <c r="J16" s="78">
        <v>43.970359197524068</v>
      </c>
      <c r="K16" s="78">
        <v>63.831963276424382</v>
      </c>
      <c r="L16" s="78">
        <v>90.16361367641737</v>
      </c>
      <c r="M16" s="77">
        <v>35</v>
      </c>
      <c r="N16" s="24">
        <f>G16/$G$16</f>
        <v>1</v>
      </c>
      <c r="O16" s="25"/>
      <c r="P16" s="25"/>
      <c r="Q16" s="25"/>
      <c r="R16" s="25"/>
      <c r="S16" s="25"/>
      <c r="X16" s="77"/>
      <c r="Y16" s="78"/>
      <c r="Z16" s="78"/>
      <c r="AA16" s="77"/>
      <c r="AB16" s="77"/>
    </row>
    <row r="17" spans="1:31" ht="20.25" customHeight="1" x14ac:dyDescent="0.25">
      <c r="A17" s="23">
        <v>13</v>
      </c>
      <c r="B17" s="23" t="s">
        <v>80</v>
      </c>
      <c r="C17" s="76" t="s">
        <v>62</v>
      </c>
      <c r="D17" s="77">
        <v>55</v>
      </c>
      <c r="E17" s="77">
        <v>22</v>
      </c>
      <c r="F17" s="77" t="s">
        <v>5</v>
      </c>
      <c r="G17" s="78">
        <v>8.2572849397824726</v>
      </c>
      <c r="H17" s="78">
        <v>11.959931159036229</v>
      </c>
      <c r="I17" s="78">
        <v>13.775364910647509</v>
      </c>
      <c r="J17" s="78">
        <v>15.4816962151854</v>
      </c>
      <c r="K17" s="78">
        <v>16.421768187664071</v>
      </c>
      <c r="L17" s="78">
        <v>17.151362528315214</v>
      </c>
      <c r="M17" s="77">
        <v>13.1</v>
      </c>
      <c r="N17" s="24">
        <f>G17/$G$17</f>
        <v>1</v>
      </c>
      <c r="O17" s="25">
        <f t="shared" ref="O17:S17" si="9">H17/$G$17</f>
        <v>1.4484096463009182</v>
      </c>
      <c r="P17" s="25">
        <f t="shared" si="9"/>
        <v>1.6682680821972946</v>
      </c>
      <c r="Q17" s="25">
        <f t="shared" si="9"/>
        <v>1.8749136463241929</v>
      </c>
      <c r="R17" s="25">
        <f t="shared" si="9"/>
        <v>1.9887612341613927</v>
      </c>
      <c r="S17" s="25">
        <f t="shared" si="9"/>
        <v>2.0771188899734208</v>
      </c>
      <c r="X17" s="77">
        <v>55</v>
      </c>
      <c r="Y17" s="78">
        <v>8.2572849397824726</v>
      </c>
      <c r="Z17" s="78">
        <v>17.151362528315214</v>
      </c>
      <c r="AA17" s="77"/>
      <c r="AB17" s="77">
        <v>13.1</v>
      </c>
    </row>
    <row r="18" spans="1:31" s="86" customFormat="1" ht="20.25" customHeight="1" x14ac:dyDescent="0.25">
      <c r="A18" s="23">
        <v>14</v>
      </c>
      <c r="B18" s="80" t="s">
        <v>81</v>
      </c>
      <c r="C18" s="81" t="s">
        <v>63</v>
      </c>
      <c r="D18" s="82">
        <v>83.9</v>
      </c>
      <c r="E18" s="82">
        <v>21</v>
      </c>
      <c r="F18" s="82" t="s">
        <v>5</v>
      </c>
      <c r="G18" s="83">
        <v>51.602474450812984</v>
      </c>
      <c r="H18" s="83">
        <v>82.204973871758298</v>
      </c>
      <c r="I18" s="83">
        <v>104.42970942971276</v>
      </c>
      <c r="J18" s="83">
        <v>134.42153856471191</v>
      </c>
      <c r="K18" s="83">
        <v>157.94936874151338</v>
      </c>
      <c r="L18" s="83">
        <v>182.32249465866818</v>
      </c>
      <c r="M18" s="82">
        <v>159</v>
      </c>
      <c r="N18" s="84">
        <f>G18/$G$18</f>
        <v>1</v>
      </c>
      <c r="O18" s="85">
        <f t="shared" ref="O18:S18" si="10">H18/$G$18</f>
        <v>1.5930432551275295</v>
      </c>
      <c r="P18" s="85">
        <f t="shared" si="10"/>
        <v>2.0237345309720411</v>
      </c>
      <c r="Q18" s="85">
        <f t="shared" si="10"/>
        <v>2.6049436581348693</v>
      </c>
      <c r="R18" s="85">
        <f t="shared" si="10"/>
        <v>3.0608874946892191</v>
      </c>
      <c r="S18" s="85">
        <f t="shared" si="10"/>
        <v>3.5332122460998714</v>
      </c>
      <c r="X18" s="82">
        <v>83.9</v>
      </c>
      <c r="Y18" s="83">
        <v>51.602474450812984</v>
      </c>
      <c r="Z18" s="83">
        <v>182.32249465866818</v>
      </c>
      <c r="AA18" s="82"/>
      <c r="AB18" s="82">
        <v>159</v>
      </c>
    </row>
    <row r="19" spans="1:31" ht="20.25" customHeight="1" x14ac:dyDescent="0.25">
      <c r="A19" s="23">
        <v>15</v>
      </c>
      <c r="B19" s="23" t="s">
        <v>82</v>
      </c>
      <c r="C19" s="76" t="s">
        <v>64</v>
      </c>
      <c r="D19" s="77">
        <v>65.8</v>
      </c>
      <c r="E19" s="77">
        <v>21</v>
      </c>
      <c r="F19" s="77" t="s">
        <v>5</v>
      </c>
      <c r="G19" s="78">
        <v>16.818050947917065</v>
      </c>
      <c r="H19" s="78">
        <v>32.948561403876326</v>
      </c>
      <c r="I19" s="78">
        <v>44.408148971466524</v>
      </c>
      <c r="J19" s="78">
        <v>58.828085721632284</v>
      </c>
      <c r="K19" s="78">
        <v>69.20033998140282</v>
      </c>
      <c r="L19" s="78">
        <v>79.087284431874593</v>
      </c>
      <c r="M19" s="77">
        <v>45</v>
      </c>
      <c r="N19" s="24">
        <f>G19/$G$19</f>
        <v>1</v>
      </c>
      <c r="O19" s="25">
        <f t="shared" ref="O19:S19" si="11">H19/$G$19</f>
        <v>1.9591188958764001</v>
      </c>
      <c r="P19" s="25">
        <f t="shared" si="11"/>
        <v>2.6405050804633534</v>
      </c>
      <c r="Q19" s="25">
        <f t="shared" si="11"/>
        <v>3.4979133969693561</v>
      </c>
      <c r="R19" s="25">
        <f t="shared" si="11"/>
        <v>4.1146468277272854</v>
      </c>
      <c r="S19" s="25">
        <f t="shared" si="11"/>
        <v>4.7025237750079265</v>
      </c>
      <c r="X19" s="77">
        <v>65.8</v>
      </c>
      <c r="Y19" s="78">
        <v>16.818050947917065</v>
      </c>
      <c r="Z19" s="78">
        <v>79.087284431874593</v>
      </c>
      <c r="AA19" s="77"/>
      <c r="AB19" s="77">
        <v>45</v>
      </c>
    </row>
    <row r="20" spans="1:31" ht="20.25" customHeight="1" x14ac:dyDescent="0.25">
      <c r="A20" s="23">
        <v>16</v>
      </c>
      <c r="B20" s="23" t="s">
        <v>83</v>
      </c>
      <c r="C20" s="76" t="s">
        <v>65</v>
      </c>
      <c r="D20" s="77">
        <v>182.8</v>
      </c>
      <c r="E20" s="77">
        <v>14</v>
      </c>
      <c r="F20" s="77" t="s">
        <v>110</v>
      </c>
      <c r="G20" s="78">
        <v>62.99</v>
      </c>
      <c r="H20" s="78">
        <v>99.55</v>
      </c>
      <c r="I20" s="78">
        <v>123.75</v>
      </c>
      <c r="J20" s="78">
        <v>154.33000000000001</v>
      </c>
      <c r="K20" s="78">
        <v>177.01</v>
      </c>
      <c r="L20" s="78">
        <v>199.53</v>
      </c>
      <c r="M20" s="77">
        <v>119</v>
      </c>
      <c r="N20" s="24">
        <f>G20/$G$20</f>
        <v>1</v>
      </c>
      <c r="O20" s="25">
        <f t="shared" ref="O20:S20" si="12">H20/$G$20</f>
        <v>1.5804095888236227</v>
      </c>
      <c r="P20" s="25">
        <f t="shared" si="12"/>
        <v>1.9645975551674868</v>
      </c>
      <c r="Q20" s="25">
        <f t="shared" si="12"/>
        <v>2.4500714399110972</v>
      </c>
      <c r="R20" s="25">
        <f t="shared" si="12"/>
        <v>2.8101285918399745</v>
      </c>
      <c r="S20" s="25">
        <f t="shared" si="12"/>
        <v>3.1676456580409589</v>
      </c>
      <c r="X20" s="77">
        <v>182.8</v>
      </c>
      <c r="Y20" s="78">
        <v>62.99</v>
      </c>
      <c r="Z20" s="78">
        <v>199.53</v>
      </c>
      <c r="AA20" s="77"/>
      <c r="AB20" s="77">
        <v>119</v>
      </c>
    </row>
    <row r="21" spans="1:31" ht="20.25" customHeight="1" x14ac:dyDescent="0.25">
      <c r="A21" s="23">
        <v>17</v>
      </c>
      <c r="B21" s="23" t="s">
        <v>84</v>
      </c>
      <c r="C21" s="76" t="s">
        <v>112</v>
      </c>
      <c r="D21" s="77">
        <v>118.3</v>
      </c>
      <c r="E21" s="77">
        <v>32</v>
      </c>
      <c r="F21" s="77" t="s">
        <v>4</v>
      </c>
      <c r="G21" s="78">
        <v>48.319180474113352</v>
      </c>
      <c r="H21" s="78">
        <v>113.26542256438555</v>
      </c>
      <c r="I21" s="78">
        <v>170.65658767354327</v>
      </c>
      <c r="J21" s="78">
        <v>257.61293927767468</v>
      </c>
      <c r="K21" s="78">
        <v>331.60852412876312</v>
      </c>
      <c r="L21" s="78">
        <v>412.01857623903061</v>
      </c>
      <c r="M21" s="77">
        <v>450</v>
      </c>
      <c r="N21" s="24">
        <f>G21/$G$21</f>
        <v>1</v>
      </c>
      <c r="O21" s="25">
        <f t="shared" ref="O21:R21" si="13">H21/$G$21</f>
        <v>2.3441089325814759</v>
      </c>
      <c r="P21" s="25">
        <f t="shared" si="13"/>
        <v>3.5318601433021262</v>
      </c>
      <c r="Q21" s="25">
        <f t="shared" si="13"/>
        <v>5.3314840349100896</v>
      </c>
      <c r="R21" s="25">
        <f t="shared" si="13"/>
        <v>6.8628755884305601</v>
      </c>
      <c r="S21" s="25">
        <f>L21/$G$21</f>
        <v>8.5270191298001539</v>
      </c>
      <c r="X21" s="77">
        <v>118.3</v>
      </c>
      <c r="Y21" s="78">
        <v>48.319180474113352</v>
      </c>
      <c r="Z21" s="78">
        <v>412.01857623903061</v>
      </c>
      <c r="AA21" s="77"/>
      <c r="AB21" s="77">
        <v>450</v>
      </c>
    </row>
    <row r="22" spans="1:31" ht="20.25" customHeight="1" x14ac:dyDescent="0.25">
      <c r="A22" s="23">
        <v>18</v>
      </c>
      <c r="B22" s="23" t="s">
        <v>85</v>
      </c>
      <c r="C22" s="76" t="s">
        <v>66</v>
      </c>
      <c r="D22" s="77">
        <v>25.8</v>
      </c>
      <c r="E22" s="77">
        <v>26</v>
      </c>
      <c r="F22" s="77" t="s">
        <v>23</v>
      </c>
      <c r="G22" s="78">
        <v>8.5562667171763014</v>
      </c>
      <c r="H22" s="78">
        <v>14.294834157005116</v>
      </c>
      <c r="I22" s="78">
        <v>18.694402001385232</v>
      </c>
      <c r="J22" s="78">
        <v>24.891840254023101</v>
      </c>
      <c r="K22" s="78">
        <v>29.938224321882256</v>
      </c>
      <c r="L22" s="78">
        <v>35.352749155268256</v>
      </c>
      <c r="M22" s="77">
        <v>35.5</v>
      </c>
      <c r="N22" s="24">
        <f>G22/$G$22</f>
        <v>1</v>
      </c>
      <c r="O22" s="25">
        <f t="shared" ref="O22:S22" si="14">H22/$G$22</f>
        <v>1.6706858995300966</v>
      </c>
      <c r="P22" s="25">
        <f t="shared" si="14"/>
        <v>2.1848783610096096</v>
      </c>
      <c r="Q22" s="25">
        <f t="shared" si="14"/>
        <v>2.9091940535296672</v>
      </c>
      <c r="R22" s="25">
        <f t="shared" si="14"/>
        <v>3.4989821275419901</v>
      </c>
      <c r="S22" s="25">
        <f t="shared" si="14"/>
        <v>4.1317960652511312</v>
      </c>
      <c r="X22" s="77">
        <v>25.8</v>
      </c>
      <c r="Y22" s="78">
        <v>8.5562667171763014</v>
      </c>
      <c r="Z22" s="78">
        <v>35.352749155268256</v>
      </c>
      <c r="AA22" s="77"/>
      <c r="AB22" s="77">
        <v>35.5</v>
      </c>
    </row>
    <row r="23" spans="1:31" ht="23.25" customHeight="1" x14ac:dyDescent="0.25">
      <c r="A23" s="26"/>
      <c r="B23" s="132"/>
      <c r="C23" s="264" t="s">
        <v>20</v>
      </c>
      <c r="D23" s="265"/>
      <c r="E23" s="265"/>
      <c r="F23" s="265"/>
      <c r="G23" s="265"/>
      <c r="H23" s="265"/>
      <c r="I23" s="265"/>
      <c r="J23" s="265"/>
      <c r="K23" s="265"/>
      <c r="L23" s="265"/>
      <c r="M23" s="266"/>
      <c r="N23" s="27">
        <f t="shared" ref="N23:S23" si="15">AVERAGE(N5:N22)</f>
        <v>1</v>
      </c>
      <c r="O23" s="28">
        <f t="shared" si="15"/>
        <v>1.7797487840999249</v>
      </c>
      <c r="P23" s="28">
        <f t="shared" si="15"/>
        <v>2.373183095131933</v>
      </c>
      <c r="Q23" s="28">
        <f t="shared" si="15"/>
        <v>3.2105101722770093</v>
      </c>
      <c r="R23" s="28">
        <f t="shared" si="15"/>
        <v>3.9010821054361302</v>
      </c>
      <c r="S23" s="28">
        <f t="shared" si="15"/>
        <v>4.6543798746667475</v>
      </c>
      <c r="X23" s="89">
        <v>115</v>
      </c>
      <c r="Y23" s="89"/>
      <c r="Z23" s="166">
        <v>328</v>
      </c>
      <c r="AA23" s="166"/>
      <c r="AB23" s="166">
        <f>115^1.2743</f>
        <v>422.61728722551061</v>
      </c>
    </row>
    <row r="24" spans="1:31" ht="27" customHeight="1" x14ac:dyDescent="0.25">
      <c r="I24" s="269" t="s">
        <v>108</v>
      </c>
      <c r="J24" s="269"/>
      <c r="K24" s="269"/>
      <c r="L24" s="270" t="s">
        <v>175</v>
      </c>
      <c r="M24" s="181" t="s">
        <v>30</v>
      </c>
      <c r="N24" s="141">
        <f>(115)^0.8968</f>
        <v>70.474795320881356</v>
      </c>
      <c r="O24" s="141">
        <f>$N24*O23</f>
        <v>125.42743128202967</v>
      </c>
      <c r="P24" s="141">
        <f t="shared" ref="P24:R24" si="16">$N24*P23</f>
        <v>167.24959288839869</v>
      </c>
      <c r="Q24" s="141">
        <f t="shared" si="16"/>
        <v>226.26004726682976</v>
      </c>
      <c r="R24" s="141">
        <f t="shared" si="16"/>
        <v>274.92796291056419</v>
      </c>
      <c r="S24" s="141">
        <f>$N24*S23</f>
        <v>328.01646901276843</v>
      </c>
      <c r="T24" s="140">
        <f>(S24-P24)*1.692+P24</f>
        <v>439.26714729083227</v>
      </c>
      <c r="U24" s="89"/>
      <c r="V24" s="89"/>
      <c r="W24" s="89"/>
      <c r="X24" s="21">
        <v>115</v>
      </c>
      <c r="Z24" s="166">
        <f>115^1.259</f>
        <v>393.02355623779454</v>
      </c>
      <c r="AA24" s="167"/>
      <c r="AB24" s="167"/>
      <c r="AC24" s="89"/>
      <c r="AD24" s="89"/>
      <c r="AE24" s="89"/>
    </row>
    <row r="25" spans="1:31" ht="27.75" customHeight="1" x14ac:dyDescent="0.25">
      <c r="I25" s="269"/>
      <c r="J25" s="269"/>
      <c r="K25" s="269"/>
      <c r="L25" s="271"/>
      <c r="M25" s="181" t="s">
        <v>31</v>
      </c>
      <c r="N25" s="141">
        <f>+G10*((115/287.1)^(2/3))</f>
        <v>77.376596379758141</v>
      </c>
      <c r="O25" s="141">
        <f t="shared" ref="O25:S25" si="17">+H10*((115/287.1)^(2/3))</f>
        <v>128.92660078833748</v>
      </c>
      <c r="P25" s="141">
        <f t="shared" si="17"/>
        <v>164.67460567704492</v>
      </c>
      <c r="Q25" s="141">
        <f t="shared" si="17"/>
        <v>210.42321655521658</v>
      </c>
      <c r="R25" s="141">
        <f t="shared" si="17"/>
        <v>244.43152651547726</v>
      </c>
      <c r="S25" s="141">
        <f t="shared" si="17"/>
        <v>277.96204402639347</v>
      </c>
      <c r="T25" s="140">
        <f>(S25-P25)*1.692+P25</f>
        <v>356.35695136414267</v>
      </c>
      <c r="U25" s="87"/>
      <c r="V25" s="87"/>
      <c r="W25" s="87"/>
      <c r="X25" s="87"/>
      <c r="Y25" s="87"/>
      <c r="AA25" s="87"/>
      <c r="AB25" s="87"/>
      <c r="AC25" s="87"/>
      <c r="AD25" s="87"/>
      <c r="AE25" s="87"/>
    </row>
    <row r="26" spans="1:31" x14ac:dyDescent="0.25">
      <c r="B26" s="164" t="s">
        <v>161</v>
      </c>
    </row>
    <row r="27" spans="1:31" x14ac:dyDescent="0.25">
      <c r="L27" s="218" t="s">
        <v>181</v>
      </c>
      <c r="N27" s="141">
        <f>(0.47)^0.8968</f>
        <v>0.50808615283874159</v>
      </c>
      <c r="O27" s="141">
        <f>$N27*O23</f>
        <v>0.90426571273275891</v>
      </c>
      <c r="P27" s="141">
        <f t="shared" ref="P27:S27" si="18">$N27*P23</f>
        <v>1.2057814687875212</v>
      </c>
      <c r="Q27" s="141">
        <f t="shared" si="18"/>
        <v>1.6312157620818712</v>
      </c>
      <c r="R27" s="141">
        <f t="shared" si="18"/>
        <v>1.9820857988591014</v>
      </c>
      <c r="S27" s="141">
        <f t="shared" si="18"/>
        <v>2.364825964369492</v>
      </c>
      <c r="T27" s="140">
        <f>(S27-P27)*1.692+P27</f>
        <v>3.1668847553122159</v>
      </c>
    </row>
  </sheetData>
  <mergeCells count="12">
    <mergeCell ref="I24:K25"/>
    <mergeCell ref="L24:L25"/>
    <mergeCell ref="K3:K4"/>
    <mergeCell ref="L3:L4"/>
    <mergeCell ref="M3:M4"/>
    <mergeCell ref="N3:S3"/>
    <mergeCell ref="C23:M23"/>
    <mergeCell ref="F3:F4"/>
    <mergeCell ref="G3:G4"/>
    <mergeCell ref="H3:H4"/>
    <mergeCell ref="I3:I4"/>
    <mergeCell ref="J3:J4"/>
  </mergeCells>
  <printOptions horizontalCentered="1"/>
  <pageMargins left="0.70866141732283472" right="0.70866141732283472" top="0.74803149606299213" bottom="0.43307086614173229" header="0.31496062992125984" footer="0.31496062992125984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3"/>
  <sheetViews>
    <sheetView workbookViewId="0">
      <selection activeCell="E63" sqref="E63"/>
    </sheetView>
  </sheetViews>
  <sheetFormatPr defaultRowHeight="15" x14ac:dyDescent="0.25"/>
  <cols>
    <col min="1" max="1" width="5.140625" customWidth="1"/>
    <col min="2" max="3" width="11.42578125" customWidth="1"/>
  </cols>
  <sheetData>
    <row r="1" spans="2:3" ht="15.75" thickBot="1" x14ac:dyDescent="0.3"/>
    <row r="2" spans="2:3" ht="15.75" thickBot="1" x14ac:dyDescent="0.3">
      <c r="B2" s="273" t="s">
        <v>111</v>
      </c>
      <c r="C2" s="274"/>
    </row>
    <row r="3" spans="2:3" x14ac:dyDescent="0.25">
      <c r="B3" s="275" t="s">
        <v>73</v>
      </c>
      <c r="C3" s="276"/>
    </row>
    <row r="4" spans="2:3" x14ac:dyDescent="0.25">
      <c r="B4" s="233" t="s">
        <v>92</v>
      </c>
      <c r="C4" s="234"/>
    </row>
    <row r="5" spans="2:3" x14ac:dyDescent="0.25">
      <c r="B5" s="246" t="s">
        <v>0</v>
      </c>
      <c r="C5" s="1" t="s">
        <v>1</v>
      </c>
    </row>
    <row r="6" spans="2:3" ht="15.75" thickBot="1" x14ac:dyDescent="0.3">
      <c r="B6" s="247"/>
      <c r="C6" s="16" t="s">
        <v>2</v>
      </c>
    </row>
    <row r="7" spans="2:3" x14ac:dyDescent="0.25">
      <c r="B7" s="15">
        <v>2015</v>
      </c>
      <c r="C7" s="4">
        <v>393</v>
      </c>
    </row>
    <row r="8" spans="2:3" x14ac:dyDescent="0.25">
      <c r="B8" s="17">
        <v>2014</v>
      </c>
      <c r="C8" s="18">
        <v>336</v>
      </c>
    </row>
    <row r="9" spans="2:3" x14ac:dyDescent="0.25">
      <c r="B9" s="5">
        <v>2013</v>
      </c>
      <c r="C9" s="6">
        <v>342</v>
      </c>
    </row>
    <row r="10" spans="2:3" x14ac:dyDescent="0.25">
      <c r="B10" s="5">
        <v>2012</v>
      </c>
      <c r="C10" s="6">
        <v>229</v>
      </c>
    </row>
    <row r="11" spans="2:3" x14ac:dyDescent="0.25">
      <c r="B11" s="5">
        <v>2011</v>
      </c>
      <c r="C11" s="6">
        <v>137</v>
      </c>
    </row>
    <row r="12" spans="2:3" x14ac:dyDescent="0.25">
      <c r="B12" s="5">
        <v>2010</v>
      </c>
      <c r="C12" s="6">
        <v>216</v>
      </c>
    </row>
    <row r="13" spans="2:3" x14ac:dyDescent="0.25">
      <c r="B13" s="5">
        <v>2009</v>
      </c>
      <c r="C13" s="6">
        <v>308</v>
      </c>
    </row>
    <row r="14" spans="2:3" x14ac:dyDescent="0.25">
      <c r="B14" s="5">
        <v>2008</v>
      </c>
      <c r="C14" s="6">
        <v>257</v>
      </c>
    </row>
    <row r="15" spans="2:3" x14ac:dyDescent="0.25">
      <c r="B15" s="5">
        <v>2007</v>
      </c>
      <c r="C15" s="6">
        <v>46.8</v>
      </c>
    </row>
    <row r="16" spans="2:3" x14ac:dyDescent="0.25">
      <c r="B16" s="5">
        <v>2006</v>
      </c>
      <c r="C16" s="6">
        <v>226</v>
      </c>
    </row>
    <row r="17" spans="2:3" x14ac:dyDescent="0.25">
      <c r="B17" s="5">
        <v>2005</v>
      </c>
      <c r="C17" s="6">
        <v>147</v>
      </c>
    </row>
    <row r="18" spans="2:3" x14ac:dyDescent="0.25">
      <c r="B18" s="5">
        <v>2004</v>
      </c>
      <c r="C18" s="6">
        <v>169</v>
      </c>
    </row>
    <row r="19" spans="2:3" x14ac:dyDescent="0.25">
      <c r="B19" s="5">
        <v>2003</v>
      </c>
      <c r="C19" s="6">
        <v>182</v>
      </c>
    </row>
    <row r="20" spans="2:3" x14ac:dyDescent="0.25">
      <c r="B20" s="5">
        <v>2002</v>
      </c>
      <c r="C20" s="6">
        <v>283</v>
      </c>
    </row>
    <row r="21" spans="2:3" x14ac:dyDescent="0.25">
      <c r="B21" s="5">
        <v>2001</v>
      </c>
      <c r="C21" s="6">
        <v>258</v>
      </c>
    </row>
    <row r="22" spans="2:3" x14ac:dyDescent="0.25">
      <c r="B22" s="5">
        <v>2000</v>
      </c>
      <c r="C22" s="6">
        <v>85.8</v>
      </c>
    </row>
    <row r="23" spans="2:3" x14ac:dyDescent="0.25">
      <c r="B23" s="5">
        <v>1999</v>
      </c>
      <c r="C23" s="6">
        <v>244</v>
      </c>
    </row>
    <row r="24" spans="2:3" x14ac:dyDescent="0.25">
      <c r="B24" s="5">
        <v>1998</v>
      </c>
      <c r="C24" s="6">
        <v>291</v>
      </c>
    </row>
    <row r="25" spans="2:3" x14ac:dyDescent="0.25">
      <c r="B25" s="5">
        <v>1997</v>
      </c>
      <c r="C25" s="6">
        <v>151</v>
      </c>
    </row>
    <row r="26" spans="2:3" x14ac:dyDescent="0.25">
      <c r="B26" s="5">
        <v>1996</v>
      </c>
      <c r="C26" s="6">
        <v>83.4</v>
      </c>
    </row>
    <row r="27" spans="2:3" x14ac:dyDescent="0.25">
      <c r="B27" s="5">
        <v>1995</v>
      </c>
      <c r="C27" s="6">
        <v>155</v>
      </c>
    </row>
    <row r="28" spans="2:3" x14ac:dyDescent="0.25">
      <c r="B28" s="5">
        <v>1994</v>
      </c>
      <c r="C28" s="6">
        <v>69.2</v>
      </c>
    </row>
    <row r="29" spans="2:3" x14ac:dyDescent="0.25">
      <c r="B29" s="5">
        <v>1993</v>
      </c>
      <c r="C29" s="6">
        <v>50</v>
      </c>
    </row>
    <row r="30" spans="2:3" x14ac:dyDescent="0.25">
      <c r="B30" s="5">
        <v>1992</v>
      </c>
      <c r="C30" s="6">
        <v>276</v>
      </c>
    </row>
    <row r="31" spans="2:3" x14ac:dyDescent="0.25">
      <c r="B31" s="5">
        <v>1991</v>
      </c>
      <c r="C31" s="6">
        <v>223</v>
      </c>
    </row>
    <row r="32" spans="2:3" x14ac:dyDescent="0.25">
      <c r="B32" s="5">
        <v>1990</v>
      </c>
      <c r="C32" s="6">
        <v>33.5</v>
      </c>
    </row>
    <row r="33" spans="2:3" x14ac:dyDescent="0.25">
      <c r="B33" s="5">
        <v>1989</v>
      </c>
      <c r="C33" s="6">
        <v>128</v>
      </c>
    </row>
    <row r="34" spans="2:3" x14ac:dyDescent="0.25">
      <c r="B34" s="5">
        <v>1988</v>
      </c>
      <c r="C34" s="6">
        <v>40</v>
      </c>
    </row>
    <row r="35" spans="2:3" x14ac:dyDescent="0.25">
      <c r="B35" s="5">
        <v>1987</v>
      </c>
      <c r="C35" s="6">
        <v>110</v>
      </c>
    </row>
    <row r="36" spans="2:3" x14ac:dyDescent="0.25">
      <c r="B36" s="5">
        <v>1986</v>
      </c>
      <c r="C36" s="6">
        <v>115</v>
      </c>
    </row>
    <row r="37" spans="2:3" x14ac:dyDescent="0.25">
      <c r="B37" s="5">
        <v>1985</v>
      </c>
      <c r="C37" s="6">
        <v>46</v>
      </c>
    </row>
    <row r="38" spans="2:3" x14ac:dyDescent="0.25">
      <c r="B38" s="5">
        <v>1984</v>
      </c>
      <c r="C38" s="6">
        <v>90</v>
      </c>
    </row>
    <row r="39" spans="2:3" x14ac:dyDescent="0.25">
      <c r="B39" s="5">
        <v>1983</v>
      </c>
      <c r="C39" s="6">
        <v>76</v>
      </c>
    </row>
    <row r="40" spans="2:3" x14ac:dyDescent="0.25">
      <c r="B40" s="5">
        <v>1982</v>
      </c>
      <c r="C40" s="6">
        <v>120</v>
      </c>
    </row>
    <row r="41" spans="2:3" x14ac:dyDescent="0.25">
      <c r="B41" s="5">
        <v>1981</v>
      </c>
      <c r="C41" s="6">
        <v>200</v>
      </c>
    </row>
    <row r="42" spans="2:3" x14ac:dyDescent="0.25">
      <c r="B42" s="5">
        <v>1980</v>
      </c>
      <c r="C42" s="6">
        <v>92</v>
      </c>
    </row>
    <row r="43" spans="2:3" x14ac:dyDescent="0.25">
      <c r="B43" s="5">
        <v>1979</v>
      </c>
      <c r="C43" s="6">
        <v>260</v>
      </c>
    </row>
    <row r="44" spans="2:3" x14ac:dyDescent="0.25">
      <c r="B44" s="5">
        <v>1978</v>
      </c>
      <c r="C44" s="6">
        <v>46</v>
      </c>
    </row>
    <row r="45" spans="2:3" x14ac:dyDescent="0.25">
      <c r="B45" s="5">
        <v>1977</v>
      </c>
      <c r="C45" s="6">
        <v>130</v>
      </c>
    </row>
    <row r="46" spans="2:3" x14ac:dyDescent="0.25">
      <c r="B46" s="5">
        <v>1976</v>
      </c>
      <c r="C46" s="6">
        <v>185</v>
      </c>
    </row>
    <row r="47" spans="2:3" x14ac:dyDescent="0.25">
      <c r="B47" s="5">
        <v>1975</v>
      </c>
      <c r="C47" s="6">
        <v>86</v>
      </c>
    </row>
    <row r="48" spans="2:3" x14ac:dyDescent="0.25">
      <c r="B48" s="5">
        <v>1974</v>
      </c>
      <c r="C48" s="6">
        <v>290</v>
      </c>
    </row>
    <row r="49" spans="2:5" x14ac:dyDescent="0.25">
      <c r="B49" s="5">
        <v>1973</v>
      </c>
      <c r="C49" s="6">
        <v>68</v>
      </c>
    </row>
    <row r="50" spans="2:5" x14ac:dyDescent="0.25">
      <c r="B50" s="5">
        <v>1972</v>
      </c>
      <c r="C50" s="6">
        <v>78</v>
      </c>
    </row>
    <row r="51" spans="2:5" x14ac:dyDescent="0.25">
      <c r="B51" s="5">
        <v>1971</v>
      </c>
      <c r="C51" s="6">
        <v>240</v>
      </c>
    </row>
    <row r="52" spans="2:5" x14ac:dyDescent="0.25">
      <c r="B52" s="5">
        <v>1970</v>
      </c>
      <c r="C52" s="6">
        <v>90</v>
      </c>
    </row>
    <row r="53" spans="2:5" x14ac:dyDescent="0.25">
      <c r="B53" s="5">
        <v>1969</v>
      </c>
      <c r="C53" s="6">
        <v>150</v>
      </c>
    </row>
    <row r="54" spans="2:5" x14ac:dyDescent="0.25">
      <c r="B54" s="5">
        <v>1968</v>
      </c>
      <c r="C54" s="6">
        <v>133</v>
      </c>
    </row>
    <row r="55" spans="2:5" ht="15.75" thickBot="1" x14ac:dyDescent="0.3">
      <c r="B55" s="61">
        <v>1967</v>
      </c>
      <c r="C55" s="62">
        <v>88</v>
      </c>
    </row>
    <row r="56" spans="2:5" ht="15.75" thickBot="1" x14ac:dyDescent="0.3">
      <c r="B56" s="7" t="s">
        <v>3</v>
      </c>
      <c r="C56" s="8" t="s">
        <v>5</v>
      </c>
      <c r="E56" s="19" t="s">
        <v>6</v>
      </c>
    </row>
    <row r="57" spans="2:5" x14ac:dyDescent="0.25">
      <c r="B57" s="9">
        <v>2</v>
      </c>
      <c r="C57" s="10">
        <v>142.39667775875682</v>
      </c>
      <c r="E57" s="20">
        <f>+C57*((115/287.1)^(2/3))</f>
        <v>77.376596379758141</v>
      </c>
    </row>
    <row r="58" spans="2:5" x14ac:dyDescent="0.25">
      <c r="B58" s="11">
        <v>5</v>
      </c>
      <c r="C58" s="12">
        <v>237.26450226481469</v>
      </c>
      <c r="E58" s="20">
        <f t="shared" ref="E58:E62" si="0">+C58*((115/287.1)^(2/3))</f>
        <v>128.92660078833748</v>
      </c>
    </row>
    <row r="59" spans="2:5" x14ac:dyDescent="0.25">
      <c r="B59" s="11">
        <v>10</v>
      </c>
      <c r="C59" s="12">
        <v>303.05179933940394</v>
      </c>
      <c r="E59" s="20">
        <f t="shared" si="0"/>
        <v>164.67460567704492</v>
      </c>
    </row>
    <row r="60" spans="2:5" x14ac:dyDescent="0.25">
      <c r="B60" s="11">
        <v>25</v>
      </c>
      <c r="C60" s="12">
        <v>387.24327978598973</v>
      </c>
      <c r="E60" s="20">
        <f t="shared" si="0"/>
        <v>210.42321655521658</v>
      </c>
    </row>
    <row r="61" spans="2:5" x14ac:dyDescent="0.25">
      <c r="B61" s="11">
        <v>50</v>
      </c>
      <c r="C61" s="12">
        <v>449.82900442504882</v>
      </c>
      <c r="E61" s="20">
        <f t="shared" si="0"/>
        <v>244.43152651547726</v>
      </c>
    </row>
    <row r="62" spans="2:5" ht="15.75" thickBot="1" x14ac:dyDescent="0.3">
      <c r="B62" s="13">
        <v>100</v>
      </c>
      <c r="C62" s="14">
        <v>511.53544436268533</v>
      </c>
      <c r="E62" s="20">
        <f t="shared" si="0"/>
        <v>277.96204402639347</v>
      </c>
    </row>
    <row r="63" spans="2:5" x14ac:dyDescent="0.25">
      <c r="E63" s="20">
        <f>(E62-E59)*1.692+E59</f>
        <v>356.35695136414267</v>
      </c>
    </row>
  </sheetData>
  <mergeCells count="4">
    <mergeCell ref="B2:C2"/>
    <mergeCell ref="B3:C3"/>
    <mergeCell ref="B4:C4"/>
    <mergeCell ref="B5:B6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view="pageBreakPreview" zoomScale="115" zoomScaleNormal="100" zoomScaleSheetLayoutView="115" workbookViewId="0">
      <selection activeCell="A2" sqref="A2"/>
    </sheetView>
  </sheetViews>
  <sheetFormatPr defaultRowHeight="15" x14ac:dyDescent="0.25"/>
  <cols>
    <col min="1" max="4" width="9.140625" style="182"/>
    <col min="5" max="5" width="4.5703125" style="182" customWidth="1"/>
    <col min="6" max="6" width="2.42578125" style="182" customWidth="1"/>
    <col min="7" max="7" width="21.7109375" style="182" customWidth="1"/>
    <col min="8" max="8" width="2.85546875" style="182" customWidth="1"/>
    <col min="9" max="9" width="14.28515625" style="182" customWidth="1"/>
    <col min="10" max="10" width="5.5703125" style="182" customWidth="1"/>
    <col min="11" max="16384" width="9.140625" style="182"/>
  </cols>
  <sheetData>
    <row r="1" spans="1:10" ht="15.75" x14ac:dyDescent="0.25">
      <c r="A1" s="185" t="s">
        <v>185</v>
      </c>
    </row>
    <row r="3" spans="1:10" x14ac:dyDescent="0.25">
      <c r="A3" s="182" t="s">
        <v>118</v>
      </c>
    </row>
    <row r="4" spans="1:10" ht="6" customHeight="1" x14ac:dyDescent="0.25"/>
    <row r="5" spans="1:10" x14ac:dyDescent="0.25">
      <c r="A5" s="183" t="s">
        <v>7</v>
      </c>
      <c r="B5" s="183" t="s">
        <v>0</v>
      </c>
      <c r="C5" s="183" t="s">
        <v>119</v>
      </c>
      <c r="D5" s="183" t="s">
        <v>120</v>
      </c>
      <c r="G5" s="183" t="s">
        <v>9</v>
      </c>
      <c r="H5" s="183" t="s">
        <v>121</v>
      </c>
      <c r="I5" s="183">
        <v>42</v>
      </c>
      <c r="J5" s="183" t="s">
        <v>122</v>
      </c>
    </row>
    <row r="6" spans="1:10" x14ac:dyDescent="0.25">
      <c r="A6" s="183" t="s">
        <v>17</v>
      </c>
      <c r="B6" s="183"/>
      <c r="C6" s="183" t="s">
        <v>123</v>
      </c>
      <c r="D6" s="183"/>
      <c r="G6" s="184" t="s">
        <v>124</v>
      </c>
      <c r="H6" s="184" t="s">
        <v>121</v>
      </c>
      <c r="I6" s="186">
        <v>273.39999999999998</v>
      </c>
      <c r="J6" s="184" t="s">
        <v>123</v>
      </c>
    </row>
    <row r="7" spans="1:10" x14ac:dyDescent="0.25">
      <c r="A7" s="184">
        <v>1</v>
      </c>
      <c r="B7" s="184">
        <v>1968</v>
      </c>
      <c r="C7" s="184">
        <v>69.099999999999994</v>
      </c>
      <c r="D7" s="184">
        <v>40.200000000000003</v>
      </c>
      <c r="G7" s="184" t="s">
        <v>126</v>
      </c>
      <c r="H7" s="184" t="s">
        <v>121</v>
      </c>
      <c r="I7" s="186">
        <v>3995.2999999999988</v>
      </c>
      <c r="J7" s="184"/>
    </row>
    <row r="8" spans="1:10" x14ac:dyDescent="0.25">
      <c r="A8" s="184">
        <v>2</v>
      </c>
      <c r="B8" s="184">
        <v>1969</v>
      </c>
      <c r="C8" s="184">
        <v>93.1</v>
      </c>
      <c r="D8" s="184">
        <v>46.5</v>
      </c>
      <c r="G8" s="184" t="s">
        <v>127</v>
      </c>
      <c r="H8" s="184" t="s">
        <v>121</v>
      </c>
      <c r="I8" s="186">
        <v>3721.8999999999987</v>
      </c>
      <c r="J8" s="184"/>
    </row>
    <row r="9" spans="1:10" x14ac:dyDescent="0.25">
      <c r="A9" s="184">
        <v>3</v>
      </c>
      <c r="B9" s="184">
        <v>1970</v>
      </c>
      <c r="C9" s="184">
        <v>96.7</v>
      </c>
      <c r="D9" s="184">
        <v>49</v>
      </c>
      <c r="G9" s="184" t="s">
        <v>128</v>
      </c>
      <c r="H9" s="184" t="s">
        <v>121</v>
      </c>
      <c r="I9" s="186">
        <v>95.126190476190445</v>
      </c>
      <c r="J9" s="184" t="s">
        <v>123</v>
      </c>
    </row>
    <row r="10" spans="1:10" x14ac:dyDescent="0.25">
      <c r="A10" s="184">
        <v>4</v>
      </c>
      <c r="B10" s="184">
        <v>1971</v>
      </c>
      <c r="C10" s="184">
        <v>92.8</v>
      </c>
      <c r="D10" s="184">
        <v>52.9</v>
      </c>
      <c r="G10" s="184" t="s">
        <v>129</v>
      </c>
      <c r="H10" s="184" t="s">
        <v>121</v>
      </c>
      <c r="I10" s="186">
        <v>90.778048780487779</v>
      </c>
      <c r="J10" s="184"/>
    </row>
    <row r="11" spans="1:10" x14ac:dyDescent="0.25">
      <c r="A11" s="184">
        <v>5</v>
      </c>
      <c r="B11" s="184">
        <v>1972</v>
      </c>
      <c r="C11" s="184">
        <v>62.5</v>
      </c>
      <c r="D11" s="184">
        <v>54.5</v>
      </c>
      <c r="G11" s="184" t="s">
        <v>130</v>
      </c>
      <c r="H11" s="184" t="s">
        <v>121</v>
      </c>
      <c r="I11" s="186">
        <v>0.95429080388969234</v>
      </c>
      <c r="J11" s="184"/>
    </row>
    <row r="12" spans="1:10" x14ac:dyDescent="0.25">
      <c r="A12" s="184">
        <v>6</v>
      </c>
      <c r="B12" s="184">
        <v>1973</v>
      </c>
      <c r="C12" s="184">
        <v>98.6</v>
      </c>
      <c r="D12" s="184">
        <v>57</v>
      </c>
      <c r="G12" s="184" t="s">
        <v>131</v>
      </c>
      <c r="H12" s="184" t="s">
        <v>121</v>
      </c>
      <c r="I12" s="186">
        <v>46.633391467570931</v>
      </c>
      <c r="J12" s="184" t="s">
        <v>123</v>
      </c>
    </row>
    <row r="13" spans="1:10" x14ac:dyDescent="0.25">
      <c r="A13" s="184">
        <v>7</v>
      </c>
      <c r="B13" s="184">
        <v>1974</v>
      </c>
      <c r="C13" s="184">
        <v>92.3</v>
      </c>
      <c r="D13" s="184">
        <v>58.9</v>
      </c>
      <c r="G13" s="184" t="s">
        <v>132</v>
      </c>
      <c r="H13" s="184" t="s">
        <v>121</v>
      </c>
      <c r="I13" s="186">
        <v>37.618110745989995</v>
      </c>
      <c r="J13" s="184" t="s">
        <v>123</v>
      </c>
    </row>
    <row r="14" spans="1:10" x14ac:dyDescent="0.25">
      <c r="A14" s="184">
        <v>8</v>
      </c>
      <c r="B14" s="184">
        <v>1975</v>
      </c>
      <c r="C14" s="184">
        <v>120.1</v>
      </c>
      <c r="D14" s="184">
        <v>62.5</v>
      </c>
      <c r="G14" s="184" t="s">
        <v>133</v>
      </c>
      <c r="H14" s="184" t="s">
        <v>121</v>
      </c>
      <c r="I14" s="186">
        <v>0.80667756648473221</v>
      </c>
      <c r="J14" s="184"/>
    </row>
    <row r="15" spans="1:10" x14ac:dyDescent="0.25">
      <c r="A15" s="184">
        <v>9</v>
      </c>
      <c r="B15" s="184">
        <v>1976</v>
      </c>
      <c r="C15" s="184">
        <v>75.099999999999994</v>
      </c>
      <c r="D15" s="184">
        <v>62.6</v>
      </c>
      <c r="G15" s="184" t="s">
        <v>134</v>
      </c>
      <c r="H15" s="184" t="s">
        <v>121</v>
      </c>
      <c r="I15" s="186">
        <v>0.98071948818628751</v>
      </c>
      <c r="J15" s="184"/>
    </row>
    <row r="16" spans="1:10" x14ac:dyDescent="0.25">
      <c r="A16" s="184">
        <v>10</v>
      </c>
      <c r="B16" s="184">
        <v>1977</v>
      </c>
      <c r="C16" s="184">
        <v>40.200000000000003</v>
      </c>
      <c r="D16" s="184">
        <v>65.400000000000006</v>
      </c>
      <c r="G16" s="184" t="s">
        <v>135</v>
      </c>
      <c r="H16" s="184" t="s">
        <v>121</v>
      </c>
      <c r="I16" s="186">
        <v>1.0015000000000001</v>
      </c>
      <c r="J16" s="184"/>
    </row>
    <row r="17" spans="1:10" x14ac:dyDescent="0.25">
      <c r="A17" s="184">
        <v>11</v>
      </c>
      <c r="B17" s="184">
        <v>1978</v>
      </c>
      <c r="C17" s="184">
        <v>150</v>
      </c>
      <c r="D17" s="184">
        <v>68.599999999999994</v>
      </c>
      <c r="G17" s="184" t="s">
        <v>136</v>
      </c>
      <c r="H17" s="184" t="s">
        <v>121</v>
      </c>
      <c r="I17" s="186">
        <v>0.89085216419696123</v>
      </c>
      <c r="J17" s="184"/>
    </row>
    <row r="18" spans="1:10" x14ac:dyDescent="0.25">
      <c r="A18" s="184">
        <v>12</v>
      </c>
      <c r="B18" s="184">
        <v>1979</v>
      </c>
      <c r="C18" s="184">
        <v>105.7</v>
      </c>
      <c r="D18" s="184">
        <v>69.099999999999994</v>
      </c>
      <c r="G18" s="184" t="s">
        <v>137</v>
      </c>
      <c r="H18" s="184" t="s">
        <v>121</v>
      </c>
      <c r="I18" s="186">
        <v>1.0113999999999999</v>
      </c>
      <c r="J18" s="184"/>
    </row>
    <row r="19" spans="1:10" x14ac:dyDescent="0.25">
      <c r="A19" s="184">
        <v>13</v>
      </c>
      <c r="B19" s="184">
        <v>1980</v>
      </c>
      <c r="C19" s="184">
        <v>52.9</v>
      </c>
      <c r="D19" s="184">
        <v>69.099999999999994</v>
      </c>
      <c r="G19" s="187" t="s">
        <v>138</v>
      </c>
      <c r="H19" s="187" t="s">
        <v>121</v>
      </c>
      <c r="I19" s="188">
        <v>93.432047000176169</v>
      </c>
      <c r="J19" s="187" t="s">
        <v>123</v>
      </c>
    </row>
    <row r="20" spans="1:10" x14ac:dyDescent="0.25">
      <c r="A20" s="184">
        <v>14</v>
      </c>
      <c r="B20" s="184">
        <v>1981</v>
      </c>
      <c r="C20" s="184">
        <v>90.1</v>
      </c>
      <c r="D20" s="184">
        <v>70</v>
      </c>
      <c r="G20" s="184" t="s">
        <v>139</v>
      </c>
      <c r="H20" s="184" t="s">
        <v>121</v>
      </c>
      <c r="I20" s="186">
        <v>42.01705313065478</v>
      </c>
      <c r="J20" s="184" t="s">
        <v>123</v>
      </c>
    </row>
    <row r="21" spans="1:10" x14ac:dyDescent="0.25">
      <c r="A21" s="184">
        <v>15</v>
      </c>
      <c r="B21" s="184">
        <v>1982</v>
      </c>
      <c r="C21" s="184">
        <v>62.6</v>
      </c>
      <c r="D21" s="184">
        <v>72.400000000000006</v>
      </c>
      <c r="G21" s="184" t="s">
        <v>140</v>
      </c>
      <c r="H21" s="184" t="s">
        <v>121</v>
      </c>
      <c r="I21" s="186">
        <v>5.734</v>
      </c>
      <c r="J21" s="184"/>
    </row>
    <row r="22" spans="1:10" x14ac:dyDescent="0.25">
      <c r="A22" s="184">
        <v>16</v>
      </c>
      <c r="B22" s="184">
        <v>1983</v>
      </c>
      <c r="C22" s="184">
        <v>49</v>
      </c>
      <c r="D22" s="184">
        <v>75</v>
      </c>
      <c r="G22" s="184" t="s">
        <v>141</v>
      </c>
      <c r="H22" s="184"/>
      <c r="I22" s="184"/>
      <c r="J22" s="184"/>
    </row>
    <row r="23" spans="1:10" x14ac:dyDescent="0.25">
      <c r="A23" s="184">
        <v>17</v>
      </c>
      <c r="B23" s="184">
        <v>1984</v>
      </c>
      <c r="C23" s="184">
        <v>98.7</v>
      </c>
      <c r="D23" s="184">
        <v>75.099999999999994</v>
      </c>
      <c r="G23" s="187" t="s">
        <v>142</v>
      </c>
      <c r="H23" s="187" t="s">
        <v>121</v>
      </c>
      <c r="I23" s="189">
        <v>334.3578296513507</v>
      </c>
      <c r="J23" s="187" t="s">
        <v>123</v>
      </c>
    </row>
    <row r="24" spans="1:10" x14ac:dyDescent="0.25">
      <c r="A24" s="184">
        <v>18</v>
      </c>
      <c r="B24" s="184">
        <v>1985</v>
      </c>
      <c r="C24" s="184">
        <v>46.5</v>
      </c>
      <c r="D24" s="184">
        <v>75.8</v>
      </c>
      <c r="G24" s="182" t="s">
        <v>143</v>
      </c>
    </row>
    <row r="25" spans="1:10" x14ac:dyDescent="0.25">
      <c r="A25" s="184">
        <v>19</v>
      </c>
      <c r="B25" s="184">
        <v>1986</v>
      </c>
      <c r="C25" s="184">
        <v>65.400000000000006</v>
      </c>
      <c r="D25" s="184">
        <v>77</v>
      </c>
      <c r="G25" s="182" t="s">
        <v>144</v>
      </c>
    </row>
    <row r="26" spans="1:10" x14ac:dyDescent="0.25">
      <c r="A26" s="184">
        <v>20</v>
      </c>
      <c r="B26" s="184">
        <v>1987</v>
      </c>
      <c r="C26" s="184">
        <v>68.599999999999994</v>
      </c>
      <c r="D26" s="184">
        <v>77.400000000000006</v>
      </c>
    </row>
    <row r="27" spans="1:10" x14ac:dyDescent="0.25">
      <c r="A27" s="184">
        <v>21</v>
      </c>
      <c r="B27" s="184">
        <v>1988</v>
      </c>
      <c r="C27" s="184">
        <v>72.400000000000006</v>
      </c>
      <c r="D27" s="184">
        <v>77.8</v>
      </c>
    </row>
    <row r="28" spans="1:10" x14ac:dyDescent="0.25">
      <c r="A28" s="184">
        <v>22</v>
      </c>
      <c r="B28" s="184">
        <v>1989</v>
      </c>
      <c r="C28" s="184">
        <v>54.5</v>
      </c>
      <c r="D28" s="184">
        <v>78.5</v>
      </c>
    </row>
    <row r="29" spans="1:10" x14ac:dyDescent="0.25">
      <c r="A29" s="184">
        <v>23</v>
      </c>
      <c r="B29" s="184">
        <v>1990</v>
      </c>
      <c r="C29" s="184">
        <v>77.400000000000006</v>
      </c>
      <c r="D29" s="184">
        <v>79.2</v>
      </c>
    </row>
    <row r="30" spans="1:10" x14ac:dyDescent="0.25">
      <c r="A30" s="184">
        <v>24</v>
      </c>
      <c r="B30" s="184">
        <v>1991</v>
      </c>
      <c r="C30" s="184">
        <v>69.099999999999994</v>
      </c>
      <c r="D30" s="184">
        <v>90.1</v>
      </c>
    </row>
    <row r="31" spans="1:10" x14ac:dyDescent="0.25">
      <c r="A31" s="184">
        <v>25</v>
      </c>
      <c r="B31" s="184">
        <v>1992</v>
      </c>
      <c r="C31" s="184">
        <v>57</v>
      </c>
      <c r="D31" s="184">
        <v>92.3</v>
      </c>
    </row>
    <row r="32" spans="1:10" x14ac:dyDescent="0.25">
      <c r="A32" s="184">
        <v>26</v>
      </c>
      <c r="B32" s="184">
        <v>1993</v>
      </c>
      <c r="C32" s="184">
        <v>75</v>
      </c>
      <c r="D32" s="184">
        <v>92.8</v>
      </c>
    </row>
    <row r="33" spans="1:4" x14ac:dyDescent="0.25">
      <c r="A33" s="184">
        <v>27</v>
      </c>
      <c r="B33" s="184">
        <v>1994</v>
      </c>
      <c r="C33" s="184">
        <v>79.2</v>
      </c>
      <c r="D33" s="184">
        <v>93.1</v>
      </c>
    </row>
    <row r="34" spans="1:4" x14ac:dyDescent="0.25">
      <c r="A34" s="184">
        <v>28</v>
      </c>
      <c r="B34" s="184">
        <v>1995</v>
      </c>
      <c r="C34" s="184">
        <v>75.8</v>
      </c>
      <c r="D34" s="184">
        <v>96.5</v>
      </c>
    </row>
    <row r="35" spans="1:4" x14ac:dyDescent="0.25">
      <c r="A35" s="184">
        <v>29</v>
      </c>
      <c r="B35" s="184">
        <v>1996</v>
      </c>
      <c r="C35" s="184">
        <v>134.30000000000001</v>
      </c>
      <c r="D35" s="184">
        <v>96.7</v>
      </c>
    </row>
    <row r="36" spans="1:4" x14ac:dyDescent="0.25">
      <c r="A36" s="184">
        <v>30</v>
      </c>
      <c r="B36" s="184">
        <v>1997</v>
      </c>
      <c r="C36" s="184">
        <v>183.8</v>
      </c>
      <c r="D36" s="184">
        <v>98.6</v>
      </c>
    </row>
    <row r="37" spans="1:4" x14ac:dyDescent="0.25">
      <c r="A37" s="184">
        <v>31</v>
      </c>
      <c r="B37" s="184">
        <v>1998</v>
      </c>
      <c r="C37" s="184">
        <v>211.7</v>
      </c>
      <c r="D37" s="184">
        <v>98.7</v>
      </c>
    </row>
    <row r="38" spans="1:4" x14ac:dyDescent="0.25">
      <c r="A38" s="184">
        <v>32</v>
      </c>
      <c r="B38" s="184">
        <v>1999</v>
      </c>
      <c r="C38" s="184">
        <v>77.8</v>
      </c>
      <c r="D38" s="184">
        <v>105.7</v>
      </c>
    </row>
    <row r="39" spans="1:4" x14ac:dyDescent="0.25">
      <c r="A39" s="184">
        <v>33</v>
      </c>
      <c r="B39" s="184">
        <v>2000</v>
      </c>
      <c r="C39" s="184">
        <v>58.9</v>
      </c>
      <c r="D39" s="184">
        <v>111.2</v>
      </c>
    </row>
    <row r="40" spans="1:4" x14ac:dyDescent="0.25">
      <c r="A40" s="184">
        <v>34</v>
      </c>
      <c r="B40" s="184">
        <v>2001</v>
      </c>
      <c r="C40" s="184">
        <v>162</v>
      </c>
      <c r="D40" s="184">
        <v>120.1</v>
      </c>
    </row>
    <row r="41" spans="1:4" x14ac:dyDescent="0.25">
      <c r="A41" s="184">
        <v>35</v>
      </c>
      <c r="B41" s="184">
        <v>2002</v>
      </c>
      <c r="C41" s="184">
        <v>78.5</v>
      </c>
      <c r="D41" s="184">
        <v>127.6</v>
      </c>
    </row>
    <row r="42" spans="1:4" x14ac:dyDescent="0.25">
      <c r="A42" s="184">
        <v>36</v>
      </c>
      <c r="B42" s="184">
        <v>2003</v>
      </c>
      <c r="C42" s="184">
        <v>70</v>
      </c>
      <c r="D42" s="184">
        <v>134.30000000000001</v>
      </c>
    </row>
    <row r="43" spans="1:4" x14ac:dyDescent="0.25">
      <c r="A43" s="184">
        <v>37</v>
      </c>
      <c r="B43" s="184">
        <v>2004</v>
      </c>
      <c r="C43" s="184">
        <v>96.5</v>
      </c>
      <c r="D43" s="184">
        <v>142.19999999999999</v>
      </c>
    </row>
    <row r="44" spans="1:4" x14ac:dyDescent="0.25">
      <c r="A44" s="184">
        <v>38</v>
      </c>
      <c r="B44" s="184">
        <v>2005</v>
      </c>
      <c r="C44" s="184" t="s">
        <v>145</v>
      </c>
      <c r="D44" s="184">
        <v>150</v>
      </c>
    </row>
    <row r="45" spans="1:4" x14ac:dyDescent="0.25">
      <c r="A45" s="184">
        <v>39</v>
      </c>
      <c r="B45" s="184">
        <v>2006</v>
      </c>
      <c r="C45" s="184" t="s">
        <v>145</v>
      </c>
      <c r="D45" s="184">
        <v>162</v>
      </c>
    </row>
    <row r="46" spans="1:4" x14ac:dyDescent="0.25">
      <c r="A46" s="184">
        <v>40</v>
      </c>
      <c r="B46" s="184">
        <v>2007</v>
      </c>
      <c r="C46" s="184" t="s">
        <v>145</v>
      </c>
      <c r="D46" s="184">
        <v>183.8</v>
      </c>
    </row>
    <row r="47" spans="1:4" x14ac:dyDescent="0.25">
      <c r="A47" s="184">
        <v>41</v>
      </c>
      <c r="B47" s="184">
        <v>2008</v>
      </c>
      <c r="C47" s="184" t="s">
        <v>145</v>
      </c>
      <c r="D47" s="184">
        <v>211.7</v>
      </c>
    </row>
    <row r="48" spans="1:4" x14ac:dyDescent="0.25">
      <c r="A48" s="184">
        <v>42</v>
      </c>
      <c r="B48" s="184">
        <v>2009</v>
      </c>
      <c r="C48" s="184" t="s">
        <v>145</v>
      </c>
      <c r="D48" s="184">
        <v>273.39999999999998</v>
      </c>
    </row>
    <row r="49" spans="1:4" x14ac:dyDescent="0.25">
      <c r="A49" s="184">
        <v>43</v>
      </c>
      <c r="B49" s="184">
        <v>2010</v>
      </c>
      <c r="C49" s="184" t="s">
        <v>145</v>
      </c>
      <c r="D49" s="184" t="s">
        <v>125</v>
      </c>
    </row>
    <row r="50" spans="1:4" x14ac:dyDescent="0.25">
      <c r="A50" s="184">
        <v>44</v>
      </c>
      <c r="B50" s="184">
        <v>2011</v>
      </c>
      <c r="C50" s="184">
        <v>127.6</v>
      </c>
      <c r="D50" s="184" t="s">
        <v>125</v>
      </c>
    </row>
    <row r="51" spans="1:4" x14ac:dyDescent="0.25">
      <c r="A51" s="184">
        <v>45</v>
      </c>
      <c r="B51" s="184">
        <v>2012</v>
      </c>
      <c r="C51" s="184">
        <v>142.19999999999999</v>
      </c>
      <c r="D51" s="184" t="s">
        <v>125</v>
      </c>
    </row>
    <row r="52" spans="1:4" x14ac:dyDescent="0.25">
      <c r="A52" s="184">
        <v>46</v>
      </c>
      <c r="B52" s="184">
        <v>2013</v>
      </c>
      <c r="C52" s="184">
        <v>77</v>
      </c>
      <c r="D52" s="184" t="s">
        <v>125</v>
      </c>
    </row>
    <row r="53" spans="1:4" x14ac:dyDescent="0.25">
      <c r="A53" s="184">
        <v>47</v>
      </c>
      <c r="B53" s="184">
        <v>2014</v>
      </c>
      <c r="C53" s="184">
        <v>111.2</v>
      </c>
      <c r="D53" s="184" t="s">
        <v>125</v>
      </c>
    </row>
    <row r="54" spans="1:4" x14ac:dyDescent="0.25">
      <c r="A54" s="184">
        <v>48</v>
      </c>
      <c r="B54" s="184">
        <v>2015</v>
      </c>
      <c r="C54" s="184">
        <v>273.39999999999998</v>
      </c>
      <c r="D54" s="184" t="s">
        <v>125</v>
      </c>
    </row>
  </sheetData>
  <printOptions horizontalCentered="1"/>
  <pageMargins left="0.9055118110236221" right="0.70866141732283472" top="0.74803149606299213" bottom="0.74803149606299213" header="0.31496062992125984" footer="0.31496062992125984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view="pageBreakPreview" zoomScaleNormal="100" zoomScaleSheetLayoutView="100" workbookViewId="0">
      <selection activeCell="A2" sqref="A2"/>
    </sheetView>
  </sheetViews>
  <sheetFormatPr defaultRowHeight="15" x14ac:dyDescent="0.25"/>
  <cols>
    <col min="1" max="1" width="17.42578125" style="90" customWidth="1"/>
    <col min="2" max="2" width="11.28515625" style="90" customWidth="1"/>
    <col min="3" max="3" width="11.140625" style="90" customWidth="1"/>
    <col min="4" max="4" width="24" style="90" customWidth="1"/>
    <col min="5" max="5" width="13.5703125" style="90" customWidth="1"/>
    <col min="6" max="6" width="2.7109375" style="90" customWidth="1"/>
    <col min="7" max="16384" width="9.140625" style="90"/>
  </cols>
  <sheetData>
    <row r="1" spans="1:5" ht="15.75" x14ac:dyDescent="0.25">
      <c r="A1" s="175" t="s">
        <v>186</v>
      </c>
    </row>
    <row r="2" spans="1:5" ht="15.75" thickBot="1" x14ac:dyDescent="0.3"/>
    <row r="3" spans="1:5" ht="45.75" customHeight="1" thickBot="1" x14ac:dyDescent="0.3">
      <c r="A3" s="100" t="s">
        <v>32</v>
      </c>
      <c r="B3" s="103" t="s">
        <v>44</v>
      </c>
      <c r="C3" s="101" t="s">
        <v>42</v>
      </c>
      <c r="D3" s="101" t="s">
        <v>41</v>
      </c>
      <c r="E3" s="102" t="s">
        <v>43</v>
      </c>
    </row>
    <row r="4" spans="1:5" ht="29.25" customHeight="1" x14ac:dyDescent="0.25">
      <c r="A4" s="93" t="s">
        <v>33</v>
      </c>
      <c r="B4" s="97">
        <v>94.03</v>
      </c>
      <c r="C4" s="94">
        <f>+B4/$B$11</f>
        <v>0.81765217391304346</v>
      </c>
      <c r="D4" s="97">
        <v>70</v>
      </c>
      <c r="E4" s="277">
        <f>SUMPRODUCT($C$4:$C$10,$D$4:$D$10)</f>
        <v>71.373217391304337</v>
      </c>
    </row>
    <row r="5" spans="1:5" ht="29.25" customHeight="1" x14ac:dyDescent="0.25">
      <c r="A5" s="91" t="s">
        <v>34</v>
      </c>
      <c r="B5" s="98">
        <v>12.84</v>
      </c>
      <c r="C5" s="94">
        <f t="shared" ref="C5:C10" si="0">+B5/$B$11</f>
        <v>0.11165217391304348</v>
      </c>
      <c r="D5" s="98">
        <v>76</v>
      </c>
      <c r="E5" s="278">
        <f t="shared" ref="E5:E10" si="1">SUMPRODUCT($C$4:$C$10,$D$4:$D$10)</f>
        <v>71.373217391304337</v>
      </c>
    </row>
    <row r="6" spans="1:5" ht="29.25" customHeight="1" x14ac:dyDescent="0.25">
      <c r="A6" s="91" t="s">
        <v>35</v>
      </c>
      <c r="B6" s="98">
        <v>1.1000000000000001</v>
      </c>
      <c r="C6" s="94">
        <f t="shared" si="0"/>
        <v>9.5652173913043492E-3</v>
      </c>
      <c r="D6" s="98">
        <v>79</v>
      </c>
      <c r="E6" s="278">
        <f t="shared" si="1"/>
        <v>71.373217391304337</v>
      </c>
    </row>
    <row r="7" spans="1:5" ht="29.25" customHeight="1" x14ac:dyDescent="0.25">
      <c r="A7" s="91" t="s">
        <v>36</v>
      </c>
      <c r="B7" s="98">
        <v>1.48</v>
      </c>
      <c r="C7" s="94">
        <f t="shared" si="0"/>
        <v>1.2869565217391304E-2</v>
      </c>
      <c r="D7" s="98">
        <v>81</v>
      </c>
      <c r="E7" s="278">
        <f t="shared" si="1"/>
        <v>71.373217391304337</v>
      </c>
    </row>
    <row r="8" spans="1:5" ht="29.25" customHeight="1" x14ac:dyDescent="0.25">
      <c r="A8" s="91" t="s">
        <v>37</v>
      </c>
      <c r="B8" s="98">
        <v>2.8</v>
      </c>
      <c r="C8" s="94">
        <f t="shared" si="0"/>
        <v>2.4347826086956521E-2</v>
      </c>
      <c r="D8" s="98">
        <v>82</v>
      </c>
      <c r="E8" s="278">
        <f t="shared" si="1"/>
        <v>71.373217391304337</v>
      </c>
    </row>
    <row r="9" spans="1:5" ht="29.25" customHeight="1" x14ac:dyDescent="0.25">
      <c r="A9" s="91" t="s">
        <v>38</v>
      </c>
      <c r="B9" s="98">
        <v>1.05</v>
      </c>
      <c r="C9" s="94">
        <f t="shared" si="0"/>
        <v>9.1304347826086964E-3</v>
      </c>
      <c r="D9" s="98">
        <v>82</v>
      </c>
      <c r="E9" s="278">
        <f t="shared" si="1"/>
        <v>71.373217391304337</v>
      </c>
    </row>
    <row r="10" spans="1:5" ht="29.25" customHeight="1" x14ac:dyDescent="0.25">
      <c r="A10" s="91" t="s">
        <v>39</v>
      </c>
      <c r="B10" s="98">
        <v>1.7</v>
      </c>
      <c r="C10" s="94">
        <f t="shared" si="0"/>
        <v>1.4782608695652174E-2</v>
      </c>
      <c r="D10" s="98">
        <v>75</v>
      </c>
      <c r="E10" s="279">
        <f t="shared" si="1"/>
        <v>71.373217391304337</v>
      </c>
    </row>
    <row r="11" spans="1:5" ht="29.25" customHeight="1" thickBot="1" x14ac:dyDescent="0.3">
      <c r="A11" s="92" t="s">
        <v>40</v>
      </c>
      <c r="B11" s="104">
        <f>SUM(B4:B10)</f>
        <v>115</v>
      </c>
      <c r="C11" s="95">
        <f>SUM(C4:C10)</f>
        <v>1</v>
      </c>
      <c r="D11" s="99"/>
      <c r="E11" s="96"/>
    </row>
  </sheetData>
  <mergeCells count="1">
    <mergeCell ref="E4:E10"/>
  </mergeCells>
  <printOptions horizontalCentered="1"/>
  <pageMargins left="0.9055118110236221" right="0.70866141732283472" top="0.74803149606299213" bottom="0.74803149606299213" header="0.31496062992125984" footer="0.31496062992125984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view="pageBreakPreview" zoomScaleNormal="100" zoomScaleSheetLayoutView="100" workbookViewId="0">
      <selection activeCell="K6" sqref="K6"/>
    </sheetView>
  </sheetViews>
  <sheetFormatPr defaultRowHeight="15" x14ac:dyDescent="0.25"/>
  <cols>
    <col min="1" max="1" width="18" customWidth="1"/>
    <col min="2" max="2" width="18.42578125" customWidth="1"/>
    <col min="3" max="9" width="10.140625" customWidth="1"/>
  </cols>
  <sheetData>
    <row r="1" spans="1:12" ht="15.75" x14ac:dyDescent="0.25">
      <c r="A1" s="175" t="s">
        <v>187</v>
      </c>
    </row>
    <row r="3" spans="1:12" ht="30" customHeight="1" x14ac:dyDescent="0.25">
      <c r="A3" s="283" t="s">
        <v>180</v>
      </c>
      <c r="B3" s="283" t="s">
        <v>47</v>
      </c>
      <c r="C3" s="284" t="s">
        <v>48</v>
      </c>
      <c r="D3" s="284"/>
      <c r="E3" s="284"/>
      <c r="F3" s="284"/>
      <c r="G3" s="284"/>
      <c r="H3" s="284"/>
      <c r="I3" s="284"/>
      <c r="J3" s="284"/>
      <c r="K3" s="284"/>
      <c r="L3" s="285" t="s">
        <v>160</v>
      </c>
    </row>
    <row r="4" spans="1:12" ht="24" customHeight="1" x14ac:dyDescent="0.25">
      <c r="A4" s="283"/>
      <c r="B4" s="283"/>
      <c r="C4" s="108">
        <v>2</v>
      </c>
      <c r="D4" s="108">
        <v>5</v>
      </c>
      <c r="E4" s="108">
        <v>10</v>
      </c>
      <c r="F4" s="108">
        <v>25</v>
      </c>
      <c r="G4" s="108">
        <v>50</v>
      </c>
      <c r="H4" s="108">
        <v>100</v>
      </c>
      <c r="I4" s="108">
        <v>500</v>
      </c>
      <c r="J4" s="108">
        <v>1000</v>
      </c>
      <c r="K4" s="108">
        <v>10000</v>
      </c>
      <c r="L4" s="285"/>
    </row>
    <row r="5" spans="1:12" ht="31.5" customHeight="1" x14ac:dyDescent="0.25">
      <c r="A5" s="280" t="s">
        <v>146</v>
      </c>
      <c r="B5" s="163" t="s">
        <v>30</v>
      </c>
      <c r="C5" s="141">
        <v>70.5</v>
      </c>
      <c r="D5" s="141">
        <v>125.4</v>
      </c>
      <c r="E5" s="141">
        <v>167.2</v>
      </c>
      <c r="F5" s="141">
        <v>226.3</v>
      </c>
      <c r="G5" s="141">
        <v>274.89999999999998</v>
      </c>
      <c r="H5" s="141">
        <v>328</v>
      </c>
      <c r="I5" s="141">
        <v>442.8</v>
      </c>
      <c r="J5" s="141">
        <v>492.2</v>
      </c>
      <c r="K5" s="141">
        <v>656.3</v>
      </c>
      <c r="L5" s="280">
        <v>724.12</v>
      </c>
    </row>
    <row r="6" spans="1:12" ht="31.5" customHeight="1" x14ac:dyDescent="0.25">
      <c r="A6" s="281"/>
      <c r="B6" s="105" t="s">
        <v>31</v>
      </c>
      <c r="C6" s="106">
        <v>77.376596379758141</v>
      </c>
      <c r="D6" s="106">
        <v>128.92660078833748</v>
      </c>
      <c r="E6" s="106">
        <v>164.67460567704492</v>
      </c>
      <c r="F6" s="106">
        <v>210.42321655521658</v>
      </c>
      <c r="G6" s="106">
        <v>244.43152651547726</v>
      </c>
      <c r="H6" s="106">
        <v>277.96204402639347</v>
      </c>
      <c r="I6" s="106">
        <f>+$E$6+1.692*($H$6-$E$6)</f>
        <v>356.35695136414267</v>
      </c>
      <c r="J6" s="106">
        <f>+$E$6+1.9*($H$6-$E$6)</f>
        <v>379.92073854080718</v>
      </c>
      <c r="K6" s="106">
        <f>+$E$6+2.98*($H$6-$E$6)</f>
        <v>502.27117195810365</v>
      </c>
      <c r="L6" s="281"/>
    </row>
    <row r="7" spans="1:12" ht="31.5" customHeight="1" x14ac:dyDescent="0.25">
      <c r="A7" s="281"/>
      <c r="B7" s="107" t="s">
        <v>45</v>
      </c>
      <c r="C7" s="106">
        <v>63.09</v>
      </c>
      <c r="D7" s="106">
        <v>110.33</v>
      </c>
      <c r="E7" s="106">
        <v>155.85</v>
      </c>
      <c r="F7" s="106">
        <v>231.2</v>
      </c>
      <c r="G7" s="106">
        <v>302.87</v>
      </c>
      <c r="H7" s="106">
        <v>387.79</v>
      </c>
      <c r="I7" s="106">
        <f>+$E$7+1.692*($H$7-$E$7)</f>
        <v>548.29248000000007</v>
      </c>
      <c r="J7" s="106">
        <f>+$E$7+1.9*($H$7-$E$7)</f>
        <v>596.53600000000006</v>
      </c>
      <c r="K7" s="106">
        <f>+$E$7+2.98*($H$7-$E$7)</f>
        <v>847.03120000000013</v>
      </c>
      <c r="L7" s="281"/>
    </row>
    <row r="8" spans="1:12" ht="31.5" customHeight="1" x14ac:dyDescent="0.25">
      <c r="A8" s="282"/>
      <c r="B8" s="107" t="s">
        <v>46</v>
      </c>
      <c r="C8" s="106">
        <v>46.09</v>
      </c>
      <c r="D8" s="106">
        <v>89.17</v>
      </c>
      <c r="E8" s="106">
        <v>131.53</v>
      </c>
      <c r="F8" s="106">
        <v>202.94</v>
      </c>
      <c r="G8" s="106">
        <v>270.24</v>
      </c>
      <c r="H8" s="106">
        <v>350.62</v>
      </c>
      <c r="I8" s="106">
        <f>+$E$8+1.692*($H$8-$E$8)</f>
        <v>502.23027999999999</v>
      </c>
      <c r="J8" s="106">
        <f>+$E$8+1.9*($H$8-$E$8)</f>
        <v>547.80100000000004</v>
      </c>
      <c r="K8" s="106">
        <f>+$E$8+2.98*($H$8-$E$8)</f>
        <v>784.41819999999996</v>
      </c>
      <c r="L8" s="282"/>
    </row>
  </sheetData>
  <mergeCells count="6">
    <mergeCell ref="A5:A8"/>
    <mergeCell ref="B3:B4"/>
    <mergeCell ref="C3:K3"/>
    <mergeCell ref="L5:L8"/>
    <mergeCell ref="L3:L4"/>
    <mergeCell ref="A3:A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AF116"/>
  <sheetViews>
    <sheetView view="pageBreakPreview" zoomScaleNormal="100" zoomScaleSheetLayoutView="100" workbookViewId="0">
      <selection activeCell="A4" sqref="A4"/>
    </sheetView>
  </sheetViews>
  <sheetFormatPr defaultRowHeight="12.75" x14ac:dyDescent="0.2"/>
  <cols>
    <col min="1" max="1" width="7.5703125" style="142" customWidth="1"/>
    <col min="2" max="7" width="8.7109375" style="142" customWidth="1"/>
    <col min="8" max="8" width="5.7109375" style="142" bestFit="1" customWidth="1"/>
    <col min="9" max="9" width="5.5703125" style="142" bestFit="1" customWidth="1"/>
    <col min="10" max="13" width="5.7109375" style="142" bestFit="1" customWidth="1"/>
    <col min="14" max="14" width="5.7109375" style="142" customWidth="1"/>
    <col min="15" max="23" width="9" style="142" customWidth="1"/>
    <col min="24" max="270" width="9.140625" style="142"/>
    <col min="271" max="271" width="8.28515625" style="142" customWidth="1"/>
    <col min="272" max="272" width="8.7109375" style="142" customWidth="1"/>
    <col min="273" max="273" width="9.140625" style="142"/>
    <col min="274" max="279" width="9" style="142" customWidth="1"/>
    <col min="280" max="526" width="9.140625" style="142"/>
    <col min="527" max="527" width="8.28515625" style="142" customWidth="1"/>
    <col min="528" max="528" width="8.7109375" style="142" customWidth="1"/>
    <col min="529" max="529" width="9.140625" style="142"/>
    <col min="530" max="535" width="9" style="142" customWidth="1"/>
    <col min="536" max="782" width="9.140625" style="142"/>
    <col min="783" max="783" width="8.28515625" style="142" customWidth="1"/>
    <col min="784" max="784" width="8.7109375" style="142" customWidth="1"/>
    <col min="785" max="785" width="9.140625" style="142"/>
    <col min="786" max="791" width="9" style="142" customWidth="1"/>
    <col min="792" max="1038" width="9.140625" style="142"/>
    <col min="1039" max="1039" width="8.28515625" style="142" customWidth="1"/>
    <col min="1040" max="1040" width="8.7109375" style="142" customWidth="1"/>
    <col min="1041" max="1041" width="9.140625" style="142"/>
    <col min="1042" max="1047" width="9" style="142" customWidth="1"/>
    <col min="1048" max="1294" width="9.140625" style="142"/>
    <col min="1295" max="1295" width="8.28515625" style="142" customWidth="1"/>
    <col min="1296" max="1296" width="8.7109375" style="142" customWidth="1"/>
    <col min="1297" max="1297" width="9.140625" style="142"/>
    <col min="1298" max="1303" width="9" style="142" customWidth="1"/>
    <col min="1304" max="1550" width="9.140625" style="142"/>
    <col min="1551" max="1551" width="8.28515625" style="142" customWidth="1"/>
    <col min="1552" max="1552" width="8.7109375" style="142" customWidth="1"/>
    <col min="1553" max="1553" width="9.140625" style="142"/>
    <col min="1554" max="1559" width="9" style="142" customWidth="1"/>
    <col min="1560" max="1806" width="9.140625" style="142"/>
    <col min="1807" max="1807" width="8.28515625" style="142" customWidth="1"/>
    <col min="1808" max="1808" width="8.7109375" style="142" customWidth="1"/>
    <col min="1809" max="1809" width="9.140625" style="142"/>
    <col min="1810" max="1815" width="9" style="142" customWidth="1"/>
    <col min="1816" max="2062" width="9.140625" style="142"/>
    <col min="2063" max="2063" width="8.28515625" style="142" customWidth="1"/>
    <col min="2064" max="2064" width="8.7109375" style="142" customWidth="1"/>
    <col min="2065" max="2065" width="9.140625" style="142"/>
    <col min="2066" max="2071" width="9" style="142" customWidth="1"/>
    <col min="2072" max="2318" width="9.140625" style="142"/>
    <col min="2319" max="2319" width="8.28515625" style="142" customWidth="1"/>
    <col min="2320" max="2320" width="8.7109375" style="142" customWidth="1"/>
    <col min="2321" max="2321" width="9.140625" style="142"/>
    <col min="2322" max="2327" width="9" style="142" customWidth="1"/>
    <col min="2328" max="2574" width="9.140625" style="142"/>
    <col min="2575" max="2575" width="8.28515625" style="142" customWidth="1"/>
    <col min="2576" max="2576" width="8.7109375" style="142" customWidth="1"/>
    <col min="2577" max="2577" width="9.140625" style="142"/>
    <col min="2578" max="2583" width="9" style="142" customWidth="1"/>
    <col min="2584" max="2830" width="9.140625" style="142"/>
    <col min="2831" max="2831" width="8.28515625" style="142" customWidth="1"/>
    <col min="2832" max="2832" width="8.7109375" style="142" customWidth="1"/>
    <col min="2833" max="2833" width="9.140625" style="142"/>
    <col min="2834" max="2839" width="9" style="142" customWidth="1"/>
    <col min="2840" max="3086" width="9.140625" style="142"/>
    <col min="3087" max="3087" width="8.28515625" style="142" customWidth="1"/>
    <col min="3088" max="3088" width="8.7109375" style="142" customWidth="1"/>
    <col min="3089" max="3089" width="9.140625" style="142"/>
    <col min="3090" max="3095" width="9" style="142" customWidth="1"/>
    <col min="3096" max="3342" width="9.140625" style="142"/>
    <col min="3343" max="3343" width="8.28515625" style="142" customWidth="1"/>
    <col min="3344" max="3344" width="8.7109375" style="142" customWidth="1"/>
    <col min="3345" max="3345" width="9.140625" style="142"/>
    <col min="3346" max="3351" width="9" style="142" customWidth="1"/>
    <col min="3352" max="3598" width="9.140625" style="142"/>
    <col min="3599" max="3599" width="8.28515625" style="142" customWidth="1"/>
    <col min="3600" max="3600" width="8.7109375" style="142" customWidth="1"/>
    <col min="3601" max="3601" width="9.140625" style="142"/>
    <col min="3602" max="3607" width="9" style="142" customWidth="1"/>
    <col min="3608" max="3854" width="9.140625" style="142"/>
    <col min="3855" max="3855" width="8.28515625" style="142" customWidth="1"/>
    <col min="3856" max="3856" width="8.7109375" style="142" customWidth="1"/>
    <col min="3857" max="3857" width="9.140625" style="142"/>
    <col min="3858" max="3863" width="9" style="142" customWidth="1"/>
    <col min="3864" max="4110" width="9.140625" style="142"/>
    <col min="4111" max="4111" width="8.28515625" style="142" customWidth="1"/>
    <col min="4112" max="4112" width="8.7109375" style="142" customWidth="1"/>
    <col min="4113" max="4113" width="9.140625" style="142"/>
    <col min="4114" max="4119" width="9" style="142" customWidth="1"/>
    <col min="4120" max="4366" width="9.140625" style="142"/>
    <col min="4367" max="4367" width="8.28515625" style="142" customWidth="1"/>
    <col min="4368" max="4368" width="8.7109375" style="142" customWidth="1"/>
    <col min="4369" max="4369" width="9.140625" style="142"/>
    <col min="4370" max="4375" width="9" style="142" customWidth="1"/>
    <col min="4376" max="4622" width="9.140625" style="142"/>
    <col min="4623" max="4623" width="8.28515625" style="142" customWidth="1"/>
    <col min="4624" max="4624" width="8.7109375" style="142" customWidth="1"/>
    <col min="4625" max="4625" width="9.140625" style="142"/>
    <col min="4626" max="4631" width="9" style="142" customWidth="1"/>
    <col min="4632" max="4878" width="9.140625" style="142"/>
    <col min="4879" max="4879" width="8.28515625" style="142" customWidth="1"/>
    <col min="4880" max="4880" width="8.7109375" style="142" customWidth="1"/>
    <col min="4881" max="4881" width="9.140625" style="142"/>
    <col min="4882" max="4887" width="9" style="142" customWidth="1"/>
    <col min="4888" max="5134" width="9.140625" style="142"/>
    <col min="5135" max="5135" width="8.28515625" style="142" customWidth="1"/>
    <col min="5136" max="5136" width="8.7109375" style="142" customWidth="1"/>
    <col min="5137" max="5137" width="9.140625" style="142"/>
    <col min="5138" max="5143" width="9" style="142" customWidth="1"/>
    <col min="5144" max="5390" width="9.140625" style="142"/>
    <col min="5391" max="5391" width="8.28515625" style="142" customWidth="1"/>
    <col min="5392" max="5392" width="8.7109375" style="142" customWidth="1"/>
    <col min="5393" max="5393" width="9.140625" style="142"/>
    <col min="5394" max="5399" width="9" style="142" customWidth="1"/>
    <col min="5400" max="5646" width="9.140625" style="142"/>
    <col min="5647" max="5647" width="8.28515625" style="142" customWidth="1"/>
    <col min="5648" max="5648" width="8.7109375" style="142" customWidth="1"/>
    <col min="5649" max="5649" width="9.140625" style="142"/>
    <col min="5650" max="5655" width="9" style="142" customWidth="1"/>
    <col min="5656" max="5902" width="9.140625" style="142"/>
    <col min="5903" max="5903" width="8.28515625" style="142" customWidth="1"/>
    <col min="5904" max="5904" width="8.7109375" style="142" customWidth="1"/>
    <col min="5905" max="5905" width="9.140625" style="142"/>
    <col min="5906" max="5911" width="9" style="142" customWidth="1"/>
    <col min="5912" max="6158" width="9.140625" style="142"/>
    <col min="6159" max="6159" width="8.28515625" style="142" customWidth="1"/>
    <col min="6160" max="6160" width="8.7109375" style="142" customWidth="1"/>
    <col min="6161" max="6161" width="9.140625" style="142"/>
    <col min="6162" max="6167" width="9" style="142" customWidth="1"/>
    <col min="6168" max="6414" width="9.140625" style="142"/>
    <col min="6415" max="6415" width="8.28515625" style="142" customWidth="1"/>
    <col min="6416" max="6416" width="8.7109375" style="142" customWidth="1"/>
    <col min="6417" max="6417" width="9.140625" style="142"/>
    <col min="6418" max="6423" width="9" style="142" customWidth="1"/>
    <col min="6424" max="6670" width="9.140625" style="142"/>
    <col min="6671" max="6671" width="8.28515625" style="142" customWidth="1"/>
    <col min="6672" max="6672" width="8.7109375" style="142" customWidth="1"/>
    <col min="6673" max="6673" width="9.140625" style="142"/>
    <col min="6674" max="6679" width="9" style="142" customWidth="1"/>
    <col min="6680" max="6926" width="9.140625" style="142"/>
    <col min="6927" max="6927" width="8.28515625" style="142" customWidth="1"/>
    <col min="6928" max="6928" width="8.7109375" style="142" customWidth="1"/>
    <col min="6929" max="6929" width="9.140625" style="142"/>
    <col min="6930" max="6935" width="9" style="142" customWidth="1"/>
    <col min="6936" max="7182" width="9.140625" style="142"/>
    <col min="7183" max="7183" width="8.28515625" style="142" customWidth="1"/>
    <col min="7184" max="7184" width="8.7109375" style="142" customWidth="1"/>
    <col min="7185" max="7185" width="9.140625" style="142"/>
    <col min="7186" max="7191" width="9" style="142" customWidth="1"/>
    <col min="7192" max="7438" width="9.140625" style="142"/>
    <col min="7439" max="7439" width="8.28515625" style="142" customWidth="1"/>
    <col min="7440" max="7440" width="8.7109375" style="142" customWidth="1"/>
    <col min="7441" max="7441" width="9.140625" style="142"/>
    <col min="7442" max="7447" width="9" style="142" customWidth="1"/>
    <col min="7448" max="7694" width="9.140625" style="142"/>
    <col min="7695" max="7695" width="8.28515625" style="142" customWidth="1"/>
    <col min="7696" max="7696" width="8.7109375" style="142" customWidth="1"/>
    <col min="7697" max="7697" width="9.140625" style="142"/>
    <col min="7698" max="7703" width="9" style="142" customWidth="1"/>
    <col min="7704" max="7950" width="9.140625" style="142"/>
    <col min="7951" max="7951" width="8.28515625" style="142" customWidth="1"/>
    <col min="7952" max="7952" width="8.7109375" style="142" customWidth="1"/>
    <col min="7953" max="7953" width="9.140625" style="142"/>
    <col min="7954" max="7959" width="9" style="142" customWidth="1"/>
    <col min="7960" max="8206" width="9.140625" style="142"/>
    <col min="8207" max="8207" width="8.28515625" style="142" customWidth="1"/>
    <col min="8208" max="8208" width="8.7109375" style="142" customWidth="1"/>
    <col min="8209" max="8209" width="9.140625" style="142"/>
    <col min="8210" max="8215" width="9" style="142" customWidth="1"/>
    <col min="8216" max="8462" width="9.140625" style="142"/>
    <col min="8463" max="8463" width="8.28515625" style="142" customWidth="1"/>
    <col min="8464" max="8464" width="8.7109375" style="142" customWidth="1"/>
    <col min="8465" max="8465" width="9.140625" style="142"/>
    <col min="8466" max="8471" width="9" style="142" customWidth="1"/>
    <col min="8472" max="8718" width="9.140625" style="142"/>
    <col min="8719" max="8719" width="8.28515625" style="142" customWidth="1"/>
    <col min="8720" max="8720" width="8.7109375" style="142" customWidth="1"/>
    <col min="8721" max="8721" width="9.140625" style="142"/>
    <col min="8722" max="8727" width="9" style="142" customWidth="1"/>
    <col min="8728" max="8974" width="9.140625" style="142"/>
    <col min="8975" max="8975" width="8.28515625" style="142" customWidth="1"/>
    <col min="8976" max="8976" width="8.7109375" style="142" customWidth="1"/>
    <col min="8977" max="8977" width="9.140625" style="142"/>
    <col min="8978" max="8983" width="9" style="142" customWidth="1"/>
    <col min="8984" max="9230" width="9.140625" style="142"/>
    <col min="9231" max="9231" width="8.28515625" style="142" customWidth="1"/>
    <col min="9232" max="9232" width="8.7109375" style="142" customWidth="1"/>
    <col min="9233" max="9233" width="9.140625" style="142"/>
    <col min="9234" max="9239" width="9" style="142" customWidth="1"/>
    <col min="9240" max="9486" width="9.140625" style="142"/>
    <col min="9487" max="9487" width="8.28515625" style="142" customWidth="1"/>
    <col min="9488" max="9488" width="8.7109375" style="142" customWidth="1"/>
    <col min="9489" max="9489" width="9.140625" style="142"/>
    <col min="9490" max="9495" width="9" style="142" customWidth="1"/>
    <col min="9496" max="9742" width="9.140625" style="142"/>
    <col min="9743" max="9743" width="8.28515625" style="142" customWidth="1"/>
    <col min="9744" max="9744" width="8.7109375" style="142" customWidth="1"/>
    <col min="9745" max="9745" width="9.140625" style="142"/>
    <col min="9746" max="9751" width="9" style="142" customWidth="1"/>
    <col min="9752" max="9998" width="9.140625" style="142"/>
    <col min="9999" max="9999" width="8.28515625" style="142" customWidth="1"/>
    <col min="10000" max="10000" width="8.7109375" style="142" customWidth="1"/>
    <col min="10001" max="10001" width="9.140625" style="142"/>
    <col min="10002" max="10007" width="9" style="142" customWidth="1"/>
    <col min="10008" max="10254" width="9.140625" style="142"/>
    <col min="10255" max="10255" width="8.28515625" style="142" customWidth="1"/>
    <col min="10256" max="10256" width="8.7109375" style="142" customWidth="1"/>
    <col min="10257" max="10257" width="9.140625" style="142"/>
    <col min="10258" max="10263" width="9" style="142" customWidth="1"/>
    <col min="10264" max="10510" width="9.140625" style="142"/>
    <col min="10511" max="10511" width="8.28515625" style="142" customWidth="1"/>
    <col min="10512" max="10512" width="8.7109375" style="142" customWidth="1"/>
    <col min="10513" max="10513" width="9.140625" style="142"/>
    <col min="10514" max="10519" width="9" style="142" customWidth="1"/>
    <col min="10520" max="10766" width="9.140625" style="142"/>
    <col min="10767" max="10767" width="8.28515625" style="142" customWidth="1"/>
    <col min="10768" max="10768" width="8.7109375" style="142" customWidth="1"/>
    <col min="10769" max="10769" width="9.140625" style="142"/>
    <col min="10770" max="10775" width="9" style="142" customWidth="1"/>
    <col min="10776" max="11022" width="9.140625" style="142"/>
    <col min="11023" max="11023" width="8.28515625" style="142" customWidth="1"/>
    <col min="11024" max="11024" width="8.7109375" style="142" customWidth="1"/>
    <col min="11025" max="11025" width="9.140625" style="142"/>
    <col min="11026" max="11031" width="9" style="142" customWidth="1"/>
    <col min="11032" max="11278" width="9.140625" style="142"/>
    <col min="11279" max="11279" width="8.28515625" style="142" customWidth="1"/>
    <col min="11280" max="11280" width="8.7109375" style="142" customWidth="1"/>
    <col min="11281" max="11281" width="9.140625" style="142"/>
    <col min="11282" max="11287" width="9" style="142" customWidth="1"/>
    <col min="11288" max="11534" width="9.140625" style="142"/>
    <col min="11535" max="11535" width="8.28515625" style="142" customWidth="1"/>
    <col min="11536" max="11536" width="8.7109375" style="142" customWidth="1"/>
    <col min="11537" max="11537" width="9.140625" style="142"/>
    <col min="11538" max="11543" width="9" style="142" customWidth="1"/>
    <col min="11544" max="11790" width="9.140625" style="142"/>
    <col min="11791" max="11791" width="8.28515625" style="142" customWidth="1"/>
    <col min="11792" max="11792" width="8.7109375" style="142" customWidth="1"/>
    <col min="11793" max="11793" width="9.140625" style="142"/>
    <col min="11794" max="11799" width="9" style="142" customWidth="1"/>
    <col min="11800" max="12046" width="9.140625" style="142"/>
    <col min="12047" max="12047" width="8.28515625" style="142" customWidth="1"/>
    <col min="12048" max="12048" width="8.7109375" style="142" customWidth="1"/>
    <col min="12049" max="12049" width="9.140625" style="142"/>
    <col min="12050" max="12055" width="9" style="142" customWidth="1"/>
    <col min="12056" max="12302" width="9.140625" style="142"/>
    <col min="12303" max="12303" width="8.28515625" style="142" customWidth="1"/>
    <col min="12304" max="12304" width="8.7109375" style="142" customWidth="1"/>
    <col min="12305" max="12305" width="9.140625" style="142"/>
    <col min="12306" max="12311" width="9" style="142" customWidth="1"/>
    <col min="12312" max="12558" width="9.140625" style="142"/>
    <col min="12559" max="12559" width="8.28515625" style="142" customWidth="1"/>
    <col min="12560" max="12560" width="8.7109375" style="142" customWidth="1"/>
    <col min="12561" max="12561" width="9.140625" style="142"/>
    <col min="12562" max="12567" width="9" style="142" customWidth="1"/>
    <col min="12568" max="12814" width="9.140625" style="142"/>
    <col min="12815" max="12815" width="8.28515625" style="142" customWidth="1"/>
    <col min="12816" max="12816" width="8.7109375" style="142" customWidth="1"/>
    <col min="12817" max="12817" width="9.140625" style="142"/>
    <col min="12818" max="12823" width="9" style="142" customWidth="1"/>
    <col min="12824" max="13070" width="9.140625" style="142"/>
    <col min="13071" max="13071" width="8.28515625" style="142" customWidth="1"/>
    <col min="13072" max="13072" width="8.7109375" style="142" customWidth="1"/>
    <col min="13073" max="13073" width="9.140625" style="142"/>
    <col min="13074" max="13079" width="9" style="142" customWidth="1"/>
    <col min="13080" max="13326" width="9.140625" style="142"/>
    <col min="13327" max="13327" width="8.28515625" style="142" customWidth="1"/>
    <col min="13328" max="13328" width="8.7109375" style="142" customWidth="1"/>
    <col min="13329" max="13329" width="9.140625" style="142"/>
    <col min="13330" max="13335" width="9" style="142" customWidth="1"/>
    <col min="13336" max="13582" width="9.140625" style="142"/>
    <col min="13583" max="13583" width="8.28515625" style="142" customWidth="1"/>
    <col min="13584" max="13584" width="8.7109375" style="142" customWidth="1"/>
    <col min="13585" max="13585" width="9.140625" style="142"/>
    <col min="13586" max="13591" width="9" style="142" customWidth="1"/>
    <col min="13592" max="13838" width="9.140625" style="142"/>
    <col min="13839" max="13839" width="8.28515625" style="142" customWidth="1"/>
    <col min="13840" max="13840" width="8.7109375" style="142" customWidth="1"/>
    <col min="13841" max="13841" width="9.140625" style="142"/>
    <col min="13842" max="13847" width="9" style="142" customWidth="1"/>
    <col min="13848" max="14094" width="9.140625" style="142"/>
    <col min="14095" max="14095" width="8.28515625" style="142" customWidth="1"/>
    <col min="14096" max="14096" width="8.7109375" style="142" customWidth="1"/>
    <col min="14097" max="14097" width="9.140625" style="142"/>
    <col min="14098" max="14103" width="9" style="142" customWidth="1"/>
    <col min="14104" max="14350" width="9.140625" style="142"/>
    <col min="14351" max="14351" width="8.28515625" style="142" customWidth="1"/>
    <col min="14352" max="14352" width="8.7109375" style="142" customWidth="1"/>
    <col min="14353" max="14353" width="9.140625" style="142"/>
    <col min="14354" max="14359" width="9" style="142" customWidth="1"/>
    <col min="14360" max="14606" width="9.140625" style="142"/>
    <col min="14607" max="14607" width="8.28515625" style="142" customWidth="1"/>
    <col min="14608" max="14608" width="8.7109375" style="142" customWidth="1"/>
    <col min="14609" max="14609" width="9.140625" style="142"/>
    <col min="14610" max="14615" width="9" style="142" customWidth="1"/>
    <col min="14616" max="14862" width="9.140625" style="142"/>
    <col min="14863" max="14863" width="8.28515625" style="142" customWidth="1"/>
    <col min="14864" max="14864" width="8.7109375" style="142" customWidth="1"/>
    <col min="14865" max="14865" width="9.140625" style="142"/>
    <col min="14866" max="14871" width="9" style="142" customWidth="1"/>
    <col min="14872" max="15118" width="9.140625" style="142"/>
    <col min="15119" max="15119" width="8.28515625" style="142" customWidth="1"/>
    <col min="15120" max="15120" width="8.7109375" style="142" customWidth="1"/>
    <col min="15121" max="15121" width="9.140625" style="142"/>
    <col min="15122" max="15127" width="9" style="142" customWidth="1"/>
    <col min="15128" max="15374" width="9.140625" style="142"/>
    <col min="15375" max="15375" width="8.28515625" style="142" customWidth="1"/>
    <col min="15376" max="15376" width="8.7109375" style="142" customWidth="1"/>
    <col min="15377" max="15377" width="9.140625" style="142"/>
    <col min="15378" max="15383" width="9" style="142" customWidth="1"/>
    <col min="15384" max="15630" width="9.140625" style="142"/>
    <col min="15631" max="15631" width="8.28515625" style="142" customWidth="1"/>
    <col min="15632" max="15632" width="8.7109375" style="142" customWidth="1"/>
    <col min="15633" max="15633" width="9.140625" style="142"/>
    <col min="15634" max="15639" width="9" style="142" customWidth="1"/>
    <col min="15640" max="15886" width="9.140625" style="142"/>
    <col min="15887" max="15887" width="8.28515625" style="142" customWidth="1"/>
    <col min="15888" max="15888" width="8.7109375" style="142" customWidth="1"/>
    <col min="15889" max="15889" width="9.140625" style="142"/>
    <col min="15890" max="15895" width="9" style="142" customWidth="1"/>
    <col min="15896" max="16142" width="9.140625" style="142"/>
    <col min="16143" max="16143" width="8.28515625" style="142" customWidth="1"/>
    <col min="16144" max="16144" width="8.7109375" style="142" customWidth="1"/>
    <col min="16145" max="16145" width="9.140625" style="142"/>
    <col min="16146" max="16151" width="9" style="142" customWidth="1"/>
    <col min="16152" max="16384" width="9.140625" style="142"/>
  </cols>
  <sheetData>
    <row r="1" spans="1:32" x14ac:dyDescent="0.2">
      <c r="O1" s="143">
        <v>70.5</v>
      </c>
      <c r="P1" s="143">
        <v>125.4</v>
      </c>
      <c r="Q1" s="143">
        <v>167.2</v>
      </c>
      <c r="R1" s="143">
        <v>226.3</v>
      </c>
      <c r="S1" s="143">
        <v>274.89999999999998</v>
      </c>
      <c r="T1" s="143">
        <v>328</v>
      </c>
      <c r="U1" s="143"/>
      <c r="V1" s="143"/>
      <c r="W1" s="143"/>
    </row>
    <row r="2" spans="1:32" x14ac:dyDescent="0.2">
      <c r="O2" s="142">
        <f>O1-18</f>
        <v>52.5</v>
      </c>
      <c r="P2" s="142">
        <f t="shared" ref="P2:T2" si="0">P1-18</f>
        <v>107.4</v>
      </c>
      <c r="Q2" s="142">
        <f t="shared" si="0"/>
        <v>149.19999999999999</v>
      </c>
      <c r="R2" s="142">
        <f t="shared" si="0"/>
        <v>208.3</v>
      </c>
      <c r="S2" s="142">
        <f t="shared" si="0"/>
        <v>256.89999999999998</v>
      </c>
      <c r="T2" s="142">
        <f t="shared" si="0"/>
        <v>310</v>
      </c>
    </row>
    <row r="3" spans="1:32" s="144" customFormat="1" ht="18" x14ac:dyDescent="0.25">
      <c r="A3" s="193" t="s">
        <v>188</v>
      </c>
      <c r="B3" s="149"/>
      <c r="C3" s="149"/>
      <c r="D3" s="149"/>
      <c r="E3" s="149"/>
      <c r="F3" s="149"/>
      <c r="G3" s="149"/>
    </row>
    <row r="4" spans="1:32" s="144" customFormat="1" ht="16.5" customHeight="1" x14ac:dyDescent="0.25">
      <c r="A4" s="145"/>
      <c r="B4" s="146" t="s">
        <v>147</v>
      </c>
      <c r="C4" s="146"/>
      <c r="D4" s="146"/>
      <c r="E4" s="146"/>
      <c r="F4" s="146"/>
      <c r="G4" s="146"/>
    </row>
    <row r="5" spans="1:32" s="144" customFormat="1" ht="12.75" customHeight="1" x14ac:dyDescent="0.25">
      <c r="A5" s="145"/>
      <c r="B5" s="173" t="s">
        <v>170</v>
      </c>
      <c r="C5" s="150"/>
      <c r="D5" s="150"/>
      <c r="E5" s="150"/>
      <c r="F5" s="150"/>
      <c r="G5" s="150"/>
      <c r="H5" s="171">
        <f>MAX(B8:B115)</f>
        <v>45.088788257196796</v>
      </c>
      <c r="I5" s="171">
        <f t="shared" ref="I5:M5" si="1">MAX(C8:C115)</f>
        <v>92.330364305903373</v>
      </c>
      <c r="J5" s="171">
        <f t="shared" si="1"/>
        <v>137.85201736100711</v>
      </c>
      <c r="K5" s="171">
        <f t="shared" si="1"/>
        <v>213.19700723525494</v>
      </c>
      <c r="L5" s="171">
        <f t="shared" si="1"/>
        <v>284.86910282296452</v>
      </c>
      <c r="M5" s="171">
        <f t="shared" si="1"/>
        <v>369.78722865121648</v>
      </c>
      <c r="N5" s="171"/>
    </row>
    <row r="6" spans="1:32" ht="18.75" customHeight="1" x14ac:dyDescent="0.2">
      <c r="A6" s="286" t="s">
        <v>148</v>
      </c>
      <c r="B6" s="287" t="s">
        <v>149</v>
      </c>
      <c r="C6" s="287"/>
      <c r="D6" s="287"/>
      <c r="E6" s="287"/>
      <c r="F6" s="287"/>
      <c r="G6" s="287"/>
      <c r="H6" s="288" t="s">
        <v>162</v>
      </c>
      <c r="I6" s="289"/>
      <c r="J6" s="289"/>
      <c r="K6" s="289"/>
      <c r="L6" s="289"/>
      <c r="M6" s="290"/>
      <c r="N6" s="172"/>
      <c r="O6" s="287" t="s">
        <v>149</v>
      </c>
      <c r="P6" s="287"/>
      <c r="Q6" s="287"/>
      <c r="R6" s="287"/>
      <c r="S6" s="287"/>
      <c r="T6" s="287"/>
      <c r="U6" s="287"/>
      <c r="V6" s="287"/>
      <c r="W6" s="287"/>
    </row>
    <row r="7" spans="1:32" ht="16.5" customHeight="1" x14ac:dyDescent="0.2">
      <c r="A7" s="286"/>
      <c r="B7" s="147" t="s">
        <v>151</v>
      </c>
      <c r="C7" s="147" t="s">
        <v>152</v>
      </c>
      <c r="D7" s="147" t="s">
        <v>153</v>
      </c>
      <c r="E7" s="147" t="s">
        <v>154</v>
      </c>
      <c r="F7" s="147" t="s">
        <v>155</v>
      </c>
      <c r="G7" s="147" t="s">
        <v>156</v>
      </c>
      <c r="H7" s="168" t="s">
        <v>163</v>
      </c>
      <c r="I7" s="168" t="s">
        <v>164</v>
      </c>
      <c r="J7" s="168" t="s">
        <v>165</v>
      </c>
      <c r="K7" s="168" t="s">
        <v>166</v>
      </c>
      <c r="L7" s="168" t="s">
        <v>167</v>
      </c>
      <c r="M7" s="168" t="s">
        <v>168</v>
      </c>
      <c r="N7" s="168"/>
      <c r="O7" s="147" t="s">
        <v>151</v>
      </c>
      <c r="P7" s="147" t="s">
        <v>152</v>
      </c>
      <c r="Q7" s="147" t="s">
        <v>153</v>
      </c>
      <c r="R7" s="147" t="s">
        <v>154</v>
      </c>
      <c r="S7" s="147" t="s">
        <v>155</v>
      </c>
      <c r="T7" s="147" t="s">
        <v>156</v>
      </c>
      <c r="U7" s="147" t="s">
        <v>157</v>
      </c>
      <c r="V7" s="147" t="s">
        <v>158</v>
      </c>
      <c r="W7" s="147" t="s">
        <v>159</v>
      </c>
    </row>
    <row r="8" spans="1:32" x14ac:dyDescent="0.2">
      <c r="A8" s="161">
        <v>0</v>
      </c>
      <c r="B8" s="155">
        <v>0</v>
      </c>
      <c r="C8" s="155">
        <v>0</v>
      </c>
      <c r="D8" s="155">
        <v>0</v>
      </c>
      <c r="E8" s="155">
        <v>0</v>
      </c>
      <c r="F8" s="155">
        <v>0</v>
      </c>
      <c r="G8" s="155">
        <v>0</v>
      </c>
      <c r="H8" s="169">
        <f>B8/$H$5</f>
        <v>0</v>
      </c>
      <c r="I8" s="169">
        <f>C8/$I$5</f>
        <v>0</v>
      </c>
      <c r="J8" s="169">
        <f>D8/$J$5</f>
        <v>0</v>
      </c>
      <c r="K8" s="169">
        <f>E8/$K$5</f>
        <v>0</v>
      </c>
      <c r="L8" s="169">
        <f>F8/$L$5</f>
        <v>0</v>
      </c>
      <c r="M8" s="169">
        <f>G8/$M$5</f>
        <v>0</v>
      </c>
      <c r="N8" s="169"/>
      <c r="O8" s="155">
        <f>$H8*O$2+18</f>
        <v>18</v>
      </c>
      <c r="P8" s="155">
        <f>$I8*P$2+18</f>
        <v>18</v>
      </c>
      <c r="Q8" s="155">
        <f>$J8*Q$2+18</f>
        <v>18</v>
      </c>
      <c r="R8" s="155">
        <f>$K8*R$2+18</f>
        <v>18</v>
      </c>
      <c r="S8" s="155">
        <f>$L8*S$2+18</f>
        <v>18</v>
      </c>
      <c r="T8" s="155">
        <f>$M8*T$2+18</f>
        <v>18</v>
      </c>
      <c r="U8" s="159">
        <f>($T8-$Q8)*1.692+$Q8</f>
        <v>18</v>
      </c>
      <c r="V8" s="159">
        <f>($T8-$Q8)*1.99+$Q8</f>
        <v>18</v>
      </c>
      <c r="W8" s="159">
        <f>($T8-$Q8)*2.98+$Q8</f>
        <v>18</v>
      </c>
    </row>
    <row r="9" spans="1:32" x14ac:dyDescent="0.2">
      <c r="A9" s="161">
        <v>0.5</v>
      </c>
      <c r="B9" s="155">
        <v>0.11679963661045621</v>
      </c>
      <c r="C9" s="155">
        <v>0.41270082830197063</v>
      </c>
      <c r="D9" s="155">
        <v>0.73816365054099853</v>
      </c>
      <c r="E9" s="155">
        <v>1.3244783367572297</v>
      </c>
      <c r="F9" s="155">
        <v>1.9032123217972143</v>
      </c>
      <c r="G9" s="155">
        <v>2.616009058703062</v>
      </c>
      <c r="H9" s="169">
        <f t="shared" ref="H9:H72" si="2">B9/$H$5</f>
        <v>2.5904363617891943E-3</v>
      </c>
      <c r="I9" s="169">
        <f t="shared" ref="I9:I72" si="3">C9/$I$5</f>
        <v>4.469827790721536E-3</v>
      </c>
      <c r="J9" s="169">
        <f t="shared" ref="J9:J72" si="4">D9/$J$5</f>
        <v>5.354754066513907E-3</v>
      </c>
      <c r="K9" s="169">
        <f t="shared" ref="K9:K72" si="5">E9/$K$5</f>
        <v>6.2124621444414425E-3</v>
      </c>
      <c r="L9" s="169">
        <f t="shared" ref="L9:L72" si="6">F9/$L$5</f>
        <v>6.6810064795970155E-3</v>
      </c>
      <c r="M9" s="169">
        <f t="shared" ref="M9:M72" si="7">G9/$M$5</f>
        <v>7.074362920117188E-3</v>
      </c>
      <c r="N9" s="169"/>
      <c r="O9" s="155">
        <f t="shared" ref="O9:O72" si="8">$H9*O$2+18</f>
        <v>18.135997908993932</v>
      </c>
      <c r="P9" s="155">
        <f t="shared" ref="P9:P72" si="9">$I9*P$2+18</f>
        <v>18.480059504723492</v>
      </c>
      <c r="Q9" s="155">
        <f t="shared" ref="Q9:Q72" si="10">$J9*Q$2+18</f>
        <v>18.798929306723874</v>
      </c>
      <c r="R9" s="155">
        <f t="shared" ref="R9:R72" si="11">$K9*R$2+18</f>
        <v>19.294055864687152</v>
      </c>
      <c r="S9" s="155">
        <f t="shared" ref="S9:S72" si="12">$L9*S$2+18</f>
        <v>19.716350564608472</v>
      </c>
      <c r="T9" s="155">
        <f t="shared" ref="T9:T72" si="13">$M9*T$2+18</f>
        <v>20.193052505236327</v>
      </c>
      <c r="U9" s="159">
        <f t="shared" ref="U9:U72" si="14">($T9-$Q9)*1.692+$Q9</f>
        <v>21.157785758606945</v>
      </c>
      <c r="V9" s="159">
        <f t="shared" ref="V9:V72" si="15">($T9-$Q9)*1.99+$Q9</f>
        <v>21.573234471763655</v>
      </c>
      <c r="W9" s="159">
        <f t="shared" ref="W9:W72" si="16">($T9-$Q9)*2.98+$Q9</f>
        <v>22.953416438290986</v>
      </c>
      <c r="X9" s="148">
        <f t="shared" ref="X9:AC9" si="17">(O9+O8)*($A9-$A8)/2*(3600/1000000)</f>
        <v>3.2522398118094535E-2</v>
      </c>
      <c r="Y9" s="148">
        <f t="shared" si="17"/>
        <v>3.2832053554251145E-2</v>
      </c>
      <c r="Z9" s="148">
        <f t="shared" si="17"/>
        <v>3.3119036376051486E-2</v>
      </c>
      <c r="AA9" s="148">
        <f t="shared" si="17"/>
        <v>3.3564650278218436E-2</v>
      </c>
      <c r="AB9" s="148">
        <f t="shared" si="17"/>
        <v>3.3944715508147628E-2</v>
      </c>
      <c r="AC9" s="148">
        <f t="shared" si="17"/>
        <v>3.4373747254712692E-2</v>
      </c>
      <c r="AD9" s="148">
        <f t="shared" ref="AD9:AE9" si="18">(U9+U8)*($A9-$A8)/2*(3600/1000000)</f>
        <v>3.5242007182746254E-2</v>
      </c>
      <c r="AE9" s="148">
        <f t="shared" si="18"/>
        <v>3.5615911024587291E-2</v>
      </c>
      <c r="AF9" s="148">
        <f>(W9+W8)*($A9-$A8)/2*(3600/1000000)</f>
        <v>3.685807479446189E-2</v>
      </c>
    </row>
    <row r="10" spans="1:32" x14ac:dyDescent="0.2">
      <c r="A10" s="151">
        <v>1</v>
      </c>
      <c r="B10" s="155">
        <v>0.52784165620333423</v>
      </c>
      <c r="C10" s="155">
        <v>1.8650801924489753</v>
      </c>
      <c r="D10" s="155">
        <v>3.3359138363601626</v>
      </c>
      <c r="E10" s="155">
        <v>5.985590873120807</v>
      </c>
      <c r="F10" s="155">
        <v>8.6010091571988738</v>
      </c>
      <c r="G10" s="155">
        <v>11.822284677083776</v>
      </c>
      <c r="H10" s="169">
        <f t="shared" si="2"/>
        <v>1.1706716383514329E-2</v>
      </c>
      <c r="I10" s="169">
        <f t="shared" si="3"/>
        <v>2.0200074011077273E-2</v>
      </c>
      <c r="J10" s="169">
        <f t="shared" si="4"/>
        <v>2.4199238431339493E-2</v>
      </c>
      <c r="K10" s="169">
        <f t="shared" si="5"/>
        <v>2.8075398199731438E-2</v>
      </c>
      <c r="L10" s="169">
        <f t="shared" si="6"/>
        <v>3.0192846721408321E-2</v>
      </c>
      <c r="M10" s="169">
        <f t="shared" si="7"/>
        <v>3.1970505634294259E-2</v>
      </c>
      <c r="N10" s="169"/>
      <c r="O10" s="155">
        <f t="shared" si="8"/>
        <v>18.614602610134501</v>
      </c>
      <c r="P10" s="155">
        <f t="shared" si="9"/>
        <v>20.169487948789701</v>
      </c>
      <c r="Q10" s="155">
        <f t="shared" si="10"/>
        <v>21.610526373955853</v>
      </c>
      <c r="R10" s="155">
        <f t="shared" si="11"/>
        <v>23.848105445004059</v>
      </c>
      <c r="S10" s="155">
        <f t="shared" si="12"/>
        <v>25.756542322729796</v>
      </c>
      <c r="T10" s="155">
        <f t="shared" si="13"/>
        <v>27.910856746631218</v>
      </c>
      <c r="U10" s="159">
        <f t="shared" si="14"/>
        <v>32.270685364522571</v>
      </c>
      <c r="V10" s="159">
        <f t="shared" si="15"/>
        <v>34.148183815579827</v>
      </c>
      <c r="W10" s="159">
        <f t="shared" si="16"/>
        <v>40.385510884528443</v>
      </c>
      <c r="X10" s="148">
        <f t="shared" ref="X10:X41" si="19">(O10+O9)*($A10-$A9)/2*(3600/1000000)</f>
        <v>3.3075540467215586E-2</v>
      </c>
      <c r="Y10" s="148">
        <f t="shared" ref="Y10:Y41" si="20">(P10+P9)*($A10-$A9)/2*(3600/1000000)</f>
        <v>3.4784592708161872E-2</v>
      </c>
      <c r="Z10" s="148">
        <f t="shared" ref="Z10:Z41" si="21">(Q10+Q9)*($A10-$A9)/2*(3600/1000000)</f>
        <v>3.6368510112611753E-2</v>
      </c>
      <c r="AA10" s="148">
        <f t="shared" ref="AA10:AA41" si="22">(R10+R9)*($A10-$A9)/2*(3600/1000000)</f>
        <v>3.8827945178722088E-2</v>
      </c>
      <c r="AB10" s="148">
        <f t="shared" ref="AB10:AB41" si="23">(S10+S9)*($A10-$A9)/2*(3600/1000000)</f>
        <v>4.0925603598604442E-2</v>
      </c>
      <c r="AC10" s="148">
        <f t="shared" ref="AC10:AC41" si="24">(T10+T9)*($A10-$A9)/2*(3600/1000000)</f>
        <v>4.329351832668079E-2</v>
      </c>
      <c r="AD10" s="148">
        <f t="shared" ref="AD10:AD41" si="25">(U10+U9)*($A10-$A9)/2*(3600/1000000)</f>
        <v>4.8085624010816556E-2</v>
      </c>
      <c r="AE10" s="148">
        <f t="shared" ref="AE10:AE41" si="26">(V10+V9)*($A10-$A9)/2*(3600/1000000)</f>
        <v>5.0149276458609129E-2</v>
      </c>
      <c r="AF10" s="148">
        <f t="shared" ref="AF10:AF41" si="27">(W10+W9)*($A10-$A9)/2*(3600/1000000)</f>
        <v>5.7005034590537483E-2</v>
      </c>
    </row>
    <row r="11" spans="1:32" x14ac:dyDescent="0.2">
      <c r="A11" s="161">
        <v>1.5</v>
      </c>
      <c r="B11" s="155">
        <v>1.1273101227193119</v>
      </c>
      <c r="C11" s="155">
        <v>3.9832471649813894</v>
      </c>
      <c r="D11" s="155">
        <v>7.124502949042677</v>
      </c>
      <c r="E11" s="155">
        <v>12.783411658450285</v>
      </c>
      <c r="F11" s="155">
        <v>18.369154034286204</v>
      </c>
      <c r="G11" s="155">
        <v>25.248824213699422</v>
      </c>
      <c r="H11" s="169">
        <f t="shared" si="2"/>
        <v>2.5002005294284604E-2</v>
      </c>
      <c r="I11" s="169">
        <f t="shared" si="3"/>
        <v>4.3141248222354413E-2</v>
      </c>
      <c r="J11" s="169">
        <f t="shared" si="4"/>
        <v>5.1682253806884924E-2</v>
      </c>
      <c r="K11" s="169">
        <f t="shared" si="5"/>
        <v>5.9960558659926534E-2</v>
      </c>
      <c r="L11" s="169">
        <f t="shared" si="6"/>
        <v>6.4482788242928357E-2</v>
      </c>
      <c r="M11" s="169">
        <f t="shared" si="7"/>
        <v>6.8279329996856458E-2</v>
      </c>
      <c r="N11" s="169"/>
      <c r="O11" s="155">
        <f t="shared" si="8"/>
        <v>19.312605277949942</v>
      </c>
      <c r="P11" s="155">
        <f t="shared" si="9"/>
        <v>22.633370059080864</v>
      </c>
      <c r="Q11" s="155">
        <f t="shared" si="10"/>
        <v>25.71099226798723</v>
      </c>
      <c r="R11" s="155">
        <f t="shared" si="11"/>
        <v>30.489784368862697</v>
      </c>
      <c r="S11" s="155">
        <f t="shared" si="12"/>
        <v>34.565628299608292</v>
      </c>
      <c r="T11" s="155">
        <f t="shared" si="13"/>
        <v>39.166592299025503</v>
      </c>
      <c r="U11" s="159">
        <f t="shared" si="14"/>
        <v>48.477867520503992</v>
      </c>
      <c r="V11" s="159">
        <f t="shared" si="15"/>
        <v>52.487636329753393</v>
      </c>
      <c r="W11" s="159">
        <f t="shared" si="16"/>
        <v>65.808680360481276</v>
      </c>
      <c r="X11" s="148">
        <f t="shared" si="19"/>
        <v>3.4134487099275995E-2</v>
      </c>
      <c r="Y11" s="148">
        <f t="shared" si="20"/>
        <v>3.8522572207083508E-2</v>
      </c>
      <c r="Z11" s="148">
        <f t="shared" si="21"/>
        <v>4.2589366777748779E-2</v>
      </c>
      <c r="AA11" s="148">
        <f t="shared" si="22"/>
        <v>4.8904100832480077E-2</v>
      </c>
      <c r="AB11" s="148">
        <f t="shared" si="23"/>
        <v>5.4289953560104284E-2</v>
      </c>
      <c r="AC11" s="148">
        <f t="shared" si="24"/>
        <v>6.0369704141091045E-2</v>
      </c>
      <c r="AD11" s="148">
        <f t="shared" si="25"/>
        <v>7.2673697596523895E-2</v>
      </c>
      <c r="AE11" s="148">
        <f t="shared" si="26"/>
        <v>7.7972238130799884E-2</v>
      </c>
      <c r="AF11" s="148">
        <f t="shared" si="27"/>
        <v>9.5574772120508744E-2</v>
      </c>
    </row>
    <row r="12" spans="1:32" x14ac:dyDescent="0.2">
      <c r="A12" s="151">
        <v>2</v>
      </c>
      <c r="B12" s="155">
        <v>1.9306753196220856</v>
      </c>
      <c r="C12" s="155">
        <v>6.8218645769217723</v>
      </c>
      <c r="D12" s="155">
        <v>12.201701848566062</v>
      </c>
      <c r="E12" s="155">
        <v>21.893369794288994</v>
      </c>
      <c r="F12" s="155">
        <v>31.459730221160456</v>
      </c>
      <c r="G12" s="155">
        <v>43.242121911650337</v>
      </c>
      <c r="H12" s="169">
        <f t="shared" si="2"/>
        <v>4.2819410195924328E-2</v>
      </c>
      <c r="I12" s="169">
        <f t="shared" si="3"/>
        <v>7.3885385682222415E-2</v>
      </c>
      <c r="J12" s="169">
        <f t="shared" si="4"/>
        <v>8.8513045236126089E-2</v>
      </c>
      <c r="K12" s="169">
        <f t="shared" si="5"/>
        <v>0.1026907932630146</v>
      </c>
      <c r="L12" s="169">
        <f t="shared" si="6"/>
        <v>0.11043574016769203</v>
      </c>
      <c r="M12" s="169">
        <f t="shared" si="7"/>
        <v>0.11693784576978003</v>
      </c>
      <c r="N12" s="169"/>
      <c r="O12" s="155">
        <f t="shared" si="8"/>
        <v>20.248019035286028</v>
      </c>
      <c r="P12" s="155">
        <f t="shared" si="9"/>
        <v>25.93529042227069</v>
      </c>
      <c r="Q12" s="155">
        <f t="shared" si="10"/>
        <v>31.206146349230011</v>
      </c>
      <c r="R12" s="155">
        <f t="shared" si="11"/>
        <v>39.390492236685944</v>
      </c>
      <c r="S12" s="155">
        <f t="shared" si="12"/>
        <v>46.370941649080081</v>
      </c>
      <c r="T12" s="155">
        <f t="shared" si="13"/>
        <v>54.250732188631808</v>
      </c>
      <c r="U12" s="159">
        <f t="shared" si="14"/>
        <v>70.197585589497848</v>
      </c>
      <c r="V12" s="159">
        <f t="shared" si="15"/>
        <v>77.064872169639585</v>
      </c>
      <c r="W12" s="159">
        <f t="shared" si="16"/>
        <v>99.87901215064737</v>
      </c>
      <c r="X12" s="148">
        <f t="shared" si="19"/>
        <v>3.5604561881912369E-2</v>
      </c>
      <c r="Y12" s="148">
        <f t="shared" si="20"/>
        <v>4.3711794433216399E-2</v>
      </c>
      <c r="Z12" s="148">
        <f t="shared" si="21"/>
        <v>5.1225424755495512E-2</v>
      </c>
      <c r="AA12" s="148">
        <f t="shared" si="22"/>
        <v>6.2892248944993775E-2</v>
      </c>
      <c r="AB12" s="148">
        <f t="shared" si="23"/>
        <v>7.2842912953819533E-2</v>
      </c>
      <c r="AC12" s="148">
        <f t="shared" si="24"/>
        <v>8.4075592038891575E-2</v>
      </c>
      <c r="AD12" s="148">
        <f t="shared" si="25"/>
        <v>0.10680790779900165</v>
      </c>
      <c r="AE12" s="148">
        <f t="shared" si="26"/>
        <v>0.11659725764945368</v>
      </c>
      <c r="AF12" s="148">
        <f t="shared" si="27"/>
        <v>0.1491189232600158</v>
      </c>
    </row>
    <row r="13" spans="1:32" x14ac:dyDescent="0.2">
      <c r="A13" s="161">
        <v>2.5</v>
      </c>
      <c r="B13" s="155">
        <v>3.1682881435893844</v>
      </c>
      <c r="C13" s="155">
        <v>10.897318455516482</v>
      </c>
      <c r="D13" s="155">
        <v>19.342953398901944</v>
      </c>
      <c r="E13" s="155">
        <v>34.503098283774285</v>
      </c>
      <c r="F13" s="155">
        <v>49.431584594311929</v>
      </c>
      <c r="G13" s="155">
        <v>67.790050130414386</v>
      </c>
      <c r="H13" s="169">
        <f t="shared" si="2"/>
        <v>7.0267759814629335E-2</v>
      </c>
      <c r="I13" s="169">
        <f t="shared" si="3"/>
        <v>0.11802529468433749</v>
      </c>
      <c r="J13" s="169">
        <f t="shared" si="4"/>
        <v>0.14031679600485339</v>
      </c>
      <c r="K13" s="169">
        <f t="shared" si="5"/>
        <v>0.16183669147710597</v>
      </c>
      <c r="L13" s="169">
        <f t="shared" si="6"/>
        <v>0.17352385395418543</v>
      </c>
      <c r="M13" s="169">
        <f t="shared" si="7"/>
        <v>0.18332177230045443</v>
      </c>
      <c r="N13" s="169"/>
      <c r="O13" s="155">
        <f t="shared" si="8"/>
        <v>21.68905739026804</v>
      </c>
      <c r="P13" s="155">
        <f t="shared" si="9"/>
        <v>30.675916649097847</v>
      </c>
      <c r="Q13" s="155">
        <f t="shared" si="10"/>
        <v>38.935265963924124</v>
      </c>
      <c r="R13" s="155">
        <f t="shared" si="11"/>
        <v>51.710582834681176</v>
      </c>
      <c r="S13" s="155">
        <f t="shared" si="12"/>
        <v>62.578278080830231</v>
      </c>
      <c r="T13" s="155">
        <f t="shared" si="13"/>
        <v>74.829749413140874</v>
      </c>
      <c r="U13" s="159">
        <f t="shared" si="14"/>
        <v>99.668731959998865</v>
      </c>
      <c r="V13" s="159">
        <f t="shared" si="15"/>
        <v>110.36528802786546</v>
      </c>
      <c r="W13" s="159">
        <f t="shared" si="16"/>
        <v>145.90082664259003</v>
      </c>
      <c r="X13" s="148">
        <f t="shared" si="19"/>
        <v>3.7743368782998658E-2</v>
      </c>
      <c r="Y13" s="148">
        <f t="shared" si="20"/>
        <v>5.0950086364231685E-2</v>
      </c>
      <c r="Z13" s="148">
        <f t="shared" si="21"/>
        <v>6.3127271081838715E-2</v>
      </c>
      <c r="AA13" s="148">
        <f t="shared" si="22"/>
        <v>8.199096756423041E-2</v>
      </c>
      <c r="AB13" s="148">
        <f t="shared" si="23"/>
        <v>9.8054297756919276E-2</v>
      </c>
      <c r="AC13" s="148">
        <f t="shared" si="24"/>
        <v>0.1161724334415954</v>
      </c>
      <c r="AD13" s="148">
        <f t="shared" si="25"/>
        <v>0.15287968579454705</v>
      </c>
      <c r="AE13" s="148">
        <f t="shared" si="26"/>
        <v>0.16868714417775454</v>
      </c>
      <c r="AF13" s="148">
        <f t="shared" si="27"/>
        <v>0.22120185491391364</v>
      </c>
    </row>
    <row r="14" spans="1:32" x14ac:dyDescent="0.2">
      <c r="A14" s="151">
        <v>3</v>
      </c>
      <c r="B14" s="155">
        <v>5.1392235001184083</v>
      </c>
      <c r="C14" s="155">
        <v>16.81434132396512</v>
      </c>
      <c r="D14" s="155">
        <v>29.404785679364547</v>
      </c>
      <c r="E14" s="155">
        <v>51.839939882884899</v>
      </c>
      <c r="F14" s="155">
        <v>73.823925189191527</v>
      </c>
      <c r="G14" s="155">
        <v>100.77311483996273</v>
      </c>
      <c r="H14" s="169">
        <f t="shared" si="2"/>
        <v>0.11398007572976009</v>
      </c>
      <c r="I14" s="169">
        <f t="shared" si="3"/>
        <v>0.18211063554625284</v>
      </c>
      <c r="J14" s="169">
        <f t="shared" si="4"/>
        <v>0.21330689417739343</v>
      </c>
      <c r="K14" s="169">
        <f t="shared" si="5"/>
        <v>0.24315510126125486</v>
      </c>
      <c r="L14" s="169">
        <f t="shared" si="6"/>
        <v>0.25915034118343938</v>
      </c>
      <c r="M14" s="169">
        <f t="shared" si="7"/>
        <v>0.27251648253923877</v>
      </c>
      <c r="N14" s="169"/>
      <c r="O14" s="155">
        <f t="shared" si="8"/>
        <v>23.983953975812405</v>
      </c>
      <c r="P14" s="155">
        <f t="shared" si="9"/>
        <v>37.558682257667556</v>
      </c>
      <c r="Q14" s="155">
        <f t="shared" si="10"/>
        <v>49.825388611267101</v>
      </c>
      <c r="R14" s="155">
        <f t="shared" si="11"/>
        <v>68.649207592719392</v>
      </c>
      <c r="S14" s="155">
        <f t="shared" si="12"/>
        <v>84.575722650025568</v>
      </c>
      <c r="T14" s="155">
        <f t="shared" si="13"/>
        <v>102.48010958716402</v>
      </c>
      <c r="U14" s="159">
        <f t="shared" si="14"/>
        <v>138.91717650248469</v>
      </c>
      <c r="V14" s="159">
        <f t="shared" si="15"/>
        <v>154.60828335330197</v>
      </c>
      <c r="W14" s="159">
        <f t="shared" si="16"/>
        <v>206.73645711943993</v>
      </c>
      <c r="X14" s="148">
        <f t="shared" si="19"/>
        <v>4.1105710229472396E-2</v>
      </c>
      <c r="Y14" s="148">
        <f t="shared" si="20"/>
        <v>6.1411139016088856E-2</v>
      </c>
      <c r="Z14" s="148">
        <f t="shared" si="21"/>
        <v>7.98845891176721E-2</v>
      </c>
      <c r="AA14" s="148">
        <f t="shared" si="22"/>
        <v>0.1083238113846605</v>
      </c>
      <c r="AB14" s="148">
        <f t="shared" si="23"/>
        <v>0.13243860065777019</v>
      </c>
      <c r="AC14" s="148">
        <f t="shared" si="24"/>
        <v>0.15957887310027441</v>
      </c>
      <c r="AD14" s="148">
        <f t="shared" si="25"/>
        <v>0.2147273176162352</v>
      </c>
      <c r="AE14" s="148">
        <f t="shared" si="26"/>
        <v>0.23847621424305065</v>
      </c>
      <c r="AF14" s="148">
        <f t="shared" si="27"/>
        <v>0.31737355538582696</v>
      </c>
    </row>
    <row r="15" spans="1:32" x14ac:dyDescent="0.2">
      <c r="A15" s="161">
        <v>3.5</v>
      </c>
      <c r="B15" s="155">
        <v>7.5888442030772705</v>
      </c>
      <c r="C15" s="155">
        <v>23.942753669641032</v>
      </c>
      <c r="D15" s="155">
        <v>41.394288784526488</v>
      </c>
      <c r="E15" s="155">
        <v>72.306904040771585</v>
      </c>
      <c r="F15" s="155">
        <v>102.47578591397991</v>
      </c>
      <c r="G15" s="155">
        <v>139.36125991943777</v>
      </c>
      <c r="H15" s="169">
        <f t="shared" si="2"/>
        <v>0.16830889665494583</v>
      </c>
      <c r="I15" s="169">
        <f t="shared" si="3"/>
        <v>0.25931613992462277</v>
      </c>
      <c r="J15" s="169">
        <f t="shared" si="4"/>
        <v>0.30028061668566697</v>
      </c>
      <c r="K15" s="169">
        <f t="shared" si="5"/>
        <v>0.33915534264973812</v>
      </c>
      <c r="L15" s="169">
        <f t="shared" si="6"/>
        <v>0.35972938061192539</v>
      </c>
      <c r="M15" s="169">
        <f t="shared" si="7"/>
        <v>0.37686877512712424</v>
      </c>
      <c r="N15" s="169"/>
      <c r="O15" s="155">
        <f t="shared" si="8"/>
        <v>26.836217074384656</v>
      </c>
      <c r="P15" s="155">
        <f t="shared" si="9"/>
        <v>45.850553427904487</v>
      </c>
      <c r="Q15" s="155">
        <f t="shared" si="10"/>
        <v>62.801868009501511</v>
      </c>
      <c r="R15" s="155">
        <f t="shared" si="11"/>
        <v>88.64605787394045</v>
      </c>
      <c r="S15" s="155">
        <f t="shared" si="12"/>
        <v>110.41447787920363</v>
      </c>
      <c r="T15" s="155">
        <f t="shared" si="13"/>
        <v>134.82932028940851</v>
      </c>
      <c r="U15" s="159">
        <f t="shared" si="14"/>
        <v>184.67231726710418</v>
      </c>
      <c r="V15" s="159">
        <f t="shared" si="15"/>
        <v>206.13649804651646</v>
      </c>
      <c r="W15" s="159">
        <f t="shared" si="16"/>
        <v>277.44367580362439</v>
      </c>
      <c r="X15" s="148">
        <f t="shared" si="19"/>
        <v>4.5738153945177357E-2</v>
      </c>
      <c r="Y15" s="148">
        <f t="shared" si="20"/>
        <v>7.506831211701484E-2</v>
      </c>
      <c r="Z15" s="148">
        <f t="shared" si="21"/>
        <v>0.10136453095869175</v>
      </c>
      <c r="AA15" s="148">
        <f t="shared" si="22"/>
        <v>0.14156573891999383</v>
      </c>
      <c r="AB15" s="148">
        <f t="shared" si="23"/>
        <v>0.17549118047630627</v>
      </c>
      <c r="AC15" s="148">
        <f t="shared" si="24"/>
        <v>0.21357848688891529</v>
      </c>
      <c r="AD15" s="148">
        <f t="shared" si="25"/>
        <v>0.29123054439263002</v>
      </c>
      <c r="AE15" s="148">
        <f t="shared" si="26"/>
        <v>0.32467030325983653</v>
      </c>
      <c r="AF15" s="148">
        <f t="shared" si="27"/>
        <v>0.43576211963075789</v>
      </c>
    </row>
    <row r="16" spans="1:32" x14ac:dyDescent="0.2">
      <c r="A16" s="151">
        <v>4</v>
      </c>
      <c r="B16" s="155">
        <v>10.421413477986807</v>
      </c>
      <c r="C16" s="155">
        <v>31.904869043086915</v>
      </c>
      <c r="D16" s="155">
        <v>54.616300523424897</v>
      </c>
      <c r="E16" s="155">
        <v>94.629684434379953</v>
      </c>
      <c r="F16" s="155">
        <v>133.53648282051074</v>
      </c>
      <c r="G16" s="155">
        <v>180.99017447985557</v>
      </c>
      <c r="H16" s="169">
        <f t="shared" si="2"/>
        <v>0.23113092812653718</v>
      </c>
      <c r="I16" s="169">
        <f t="shared" si="3"/>
        <v>0.34555120932244604</v>
      </c>
      <c r="J16" s="169">
        <f t="shared" si="4"/>
        <v>0.39619514874704831</v>
      </c>
      <c r="K16" s="169">
        <f t="shared" si="5"/>
        <v>0.44386028519602821</v>
      </c>
      <c r="L16" s="169">
        <f t="shared" si="6"/>
        <v>0.4687643605333312</v>
      </c>
      <c r="M16" s="169">
        <f t="shared" si="7"/>
        <v>0.48944409232306291</v>
      </c>
      <c r="N16" s="169"/>
      <c r="O16" s="155">
        <f t="shared" si="8"/>
        <v>30.134373726643204</v>
      </c>
      <c r="P16" s="155">
        <f t="shared" si="9"/>
        <v>55.112199881230708</v>
      </c>
      <c r="Q16" s="155">
        <f t="shared" si="10"/>
        <v>77.112316193059598</v>
      </c>
      <c r="R16" s="155">
        <f t="shared" si="11"/>
        <v>110.45609740633269</v>
      </c>
      <c r="S16" s="155">
        <f t="shared" si="12"/>
        <v>138.42556422101279</v>
      </c>
      <c r="T16" s="155">
        <f t="shared" si="13"/>
        <v>169.7276686201495</v>
      </c>
      <c r="U16" s="159">
        <f t="shared" si="14"/>
        <v>233.8174924996957</v>
      </c>
      <c r="V16" s="159">
        <f t="shared" si="15"/>
        <v>261.41686752296852</v>
      </c>
      <c r="W16" s="159">
        <f t="shared" si="16"/>
        <v>353.1060664257875</v>
      </c>
      <c r="X16" s="148">
        <f t="shared" si="19"/>
        <v>5.1273531720925074E-2</v>
      </c>
      <c r="Y16" s="148">
        <f t="shared" si="20"/>
        <v>9.0866477978221671E-2</v>
      </c>
      <c r="Z16" s="148">
        <f t="shared" si="21"/>
        <v>0.12592276578230499</v>
      </c>
      <c r="AA16" s="148">
        <f t="shared" si="22"/>
        <v>0.17919193975224582</v>
      </c>
      <c r="AB16" s="148">
        <f t="shared" si="23"/>
        <v>0.22395603789019475</v>
      </c>
      <c r="AC16" s="148">
        <f t="shared" si="24"/>
        <v>0.27410129001860223</v>
      </c>
      <c r="AD16" s="148">
        <f t="shared" si="25"/>
        <v>0.3766408287901199</v>
      </c>
      <c r="AE16" s="148">
        <f t="shared" si="26"/>
        <v>0.42079802901253649</v>
      </c>
      <c r="AF16" s="148">
        <f t="shared" si="27"/>
        <v>0.5674947680064707</v>
      </c>
    </row>
    <row r="17" spans="1:32" x14ac:dyDescent="0.2">
      <c r="A17" s="161">
        <v>4.5</v>
      </c>
      <c r="B17" s="155">
        <v>13.485281974514304</v>
      </c>
      <c r="C17" s="155">
        <v>39.873543788069291</v>
      </c>
      <c r="D17" s="155">
        <v>67.455079116902667</v>
      </c>
      <c r="E17" s="155">
        <v>115.72818809475633</v>
      </c>
      <c r="F17" s="155">
        <v>162.45261096261379</v>
      </c>
      <c r="G17" s="155">
        <v>219.27035950528958</v>
      </c>
      <c r="H17" s="169">
        <f t="shared" si="2"/>
        <v>0.29908282071345899</v>
      </c>
      <c r="I17" s="169">
        <f t="shared" si="3"/>
        <v>0.43185732112961972</v>
      </c>
      <c r="J17" s="169">
        <f t="shared" si="4"/>
        <v>0.4893296478951859</v>
      </c>
      <c r="K17" s="169">
        <f t="shared" si="5"/>
        <v>0.54282276095486925</v>
      </c>
      <c r="L17" s="169">
        <f t="shared" si="6"/>
        <v>0.57027108013034322</v>
      </c>
      <c r="M17" s="169">
        <f t="shared" si="7"/>
        <v>0.59296358153057116</v>
      </c>
      <c r="N17" s="169"/>
      <c r="O17" s="155">
        <f t="shared" si="8"/>
        <v>33.701848087456597</v>
      </c>
      <c r="P17" s="155">
        <f t="shared" si="9"/>
        <v>64.381476289321171</v>
      </c>
      <c r="Q17" s="155">
        <f t="shared" si="10"/>
        <v>91.007983465961729</v>
      </c>
      <c r="R17" s="155">
        <f t="shared" si="11"/>
        <v>131.06998110689926</v>
      </c>
      <c r="S17" s="155">
        <f t="shared" si="12"/>
        <v>164.50264048548516</v>
      </c>
      <c r="T17" s="155">
        <f t="shared" si="13"/>
        <v>201.81871027447707</v>
      </c>
      <c r="U17" s="159">
        <f t="shared" si="14"/>
        <v>278.49973322596969</v>
      </c>
      <c r="V17" s="159">
        <f t="shared" si="15"/>
        <v>311.52132981490729</v>
      </c>
      <c r="W17" s="159">
        <f t="shared" si="16"/>
        <v>421.22394935533742</v>
      </c>
      <c r="X17" s="148">
        <f t="shared" si="19"/>
        <v>5.7452599632689817E-2</v>
      </c>
      <c r="Y17" s="148">
        <f t="shared" si="20"/>
        <v>0.10754430855349668</v>
      </c>
      <c r="Z17" s="148">
        <f t="shared" si="21"/>
        <v>0.1513082696931192</v>
      </c>
      <c r="AA17" s="148">
        <f t="shared" si="22"/>
        <v>0.21737347066190874</v>
      </c>
      <c r="AB17" s="148">
        <f t="shared" si="23"/>
        <v>0.2726353842358481</v>
      </c>
      <c r="AC17" s="148">
        <f t="shared" si="24"/>
        <v>0.33439174100516389</v>
      </c>
      <c r="AD17" s="148">
        <f t="shared" si="25"/>
        <v>0.46108550315309882</v>
      </c>
      <c r="AE17" s="148">
        <f t="shared" si="26"/>
        <v>0.51564437760408821</v>
      </c>
      <c r="AF17" s="148">
        <f t="shared" si="27"/>
        <v>0.69689701420301242</v>
      </c>
    </row>
    <row r="18" spans="1:32" x14ac:dyDescent="0.2">
      <c r="A18" s="151">
        <v>5</v>
      </c>
      <c r="B18" s="155">
        <v>17.044768648189244</v>
      </c>
      <c r="C18" s="155">
        <v>48.469774658800503</v>
      </c>
      <c r="D18" s="155">
        <v>80.878825595038066</v>
      </c>
      <c r="E18" s="155">
        <v>137.15343378818724</v>
      </c>
      <c r="F18" s="155">
        <v>191.32362173210188</v>
      </c>
      <c r="G18" s="155">
        <v>256.95636636079666</v>
      </c>
      <c r="H18" s="169">
        <f t="shared" si="2"/>
        <v>0.37802676246170047</v>
      </c>
      <c r="I18" s="169">
        <f t="shared" si="3"/>
        <v>0.52496028823425178</v>
      </c>
      <c r="J18" s="169">
        <f t="shared" si="4"/>
        <v>0.58670759516875581</v>
      </c>
      <c r="K18" s="169">
        <f t="shared" si="5"/>
        <v>0.64331781935777155</v>
      </c>
      <c r="L18" s="169">
        <f t="shared" si="6"/>
        <v>0.671619420415005</v>
      </c>
      <c r="M18" s="169">
        <f t="shared" si="7"/>
        <v>0.69487625978332002</v>
      </c>
      <c r="N18" s="169"/>
      <c r="O18" s="155">
        <f t="shared" si="8"/>
        <v>37.846405029239278</v>
      </c>
      <c r="P18" s="155">
        <f t="shared" si="9"/>
        <v>74.380734956358651</v>
      </c>
      <c r="Q18" s="155">
        <f t="shared" si="10"/>
        <v>105.53677319917836</v>
      </c>
      <c r="R18" s="155">
        <f t="shared" si="11"/>
        <v>152.00310177222383</v>
      </c>
      <c r="S18" s="155">
        <f t="shared" si="12"/>
        <v>190.53902910461477</v>
      </c>
      <c r="T18" s="155">
        <f t="shared" si="13"/>
        <v>233.41164053282921</v>
      </c>
      <c r="U18" s="159">
        <f t="shared" si="14"/>
        <v>321.90104872771559</v>
      </c>
      <c r="V18" s="159">
        <f t="shared" si="15"/>
        <v>360.00775919314356</v>
      </c>
      <c r="W18" s="159">
        <f t="shared" si="16"/>
        <v>486.6038778534579</v>
      </c>
      <c r="X18" s="148">
        <f t="shared" si="19"/>
        <v>6.4393427805026285E-2</v>
      </c>
      <c r="Y18" s="148">
        <f t="shared" si="20"/>
        <v>0.12488599012111183</v>
      </c>
      <c r="Z18" s="148">
        <f t="shared" si="21"/>
        <v>0.17689028099862608</v>
      </c>
      <c r="AA18" s="148">
        <f t="shared" si="22"/>
        <v>0.2547657745912108</v>
      </c>
      <c r="AB18" s="148">
        <f t="shared" si="23"/>
        <v>0.31953750263108988</v>
      </c>
      <c r="AC18" s="148">
        <f t="shared" si="24"/>
        <v>0.39170731572657569</v>
      </c>
      <c r="AD18" s="148">
        <f t="shared" si="25"/>
        <v>0.54036070375831668</v>
      </c>
      <c r="AE18" s="148">
        <f t="shared" si="26"/>
        <v>0.6043761801072457</v>
      </c>
      <c r="AF18" s="148">
        <f t="shared" si="27"/>
        <v>0.81704504448791571</v>
      </c>
    </row>
    <row r="19" spans="1:32" x14ac:dyDescent="0.2">
      <c r="A19" s="161">
        <v>5.5</v>
      </c>
      <c r="B19" s="155">
        <v>20.807292467463423</v>
      </c>
      <c r="C19" s="155">
        <v>57.040713398066146</v>
      </c>
      <c r="D19" s="155">
        <v>93.901616550174168</v>
      </c>
      <c r="E19" s="155">
        <v>157.38050556368901</v>
      </c>
      <c r="F19" s="155">
        <v>218.13186960665058</v>
      </c>
      <c r="G19" s="155">
        <v>291.4542363818868</v>
      </c>
      <c r="H19" s="169">
        <f t="shared" si="2"/>
        <v>0.46147375593182616</v>
      </c>
      <c r="I19" s="169">
        <f t="shared" si="3"/>
        <v>0.61778932452906077</v>
      </c>
      <c r="J19" s="169">
        <f t="shared" si="4"/>
        <v>0.68117694864243039</v>
      </c>
      <c r="K19" s="169">
        <f t="shared" si="5"/>
        <v>0.73819284615954062</v>
      </c>
      <c r="L19" s="169">
        <f t="shared" si="6"/>
        <v>0.76572667040767617</v>
      </c>
      <c r="M19" s="169">
        <f t="shared" si="7"/>
        <v>0.78816739411188963</v>
      </c>
      <c r="N19" s="169"/>
      <c r="O19" s="155">
        <f t="shared" si="8"/>
        <v>42.227372186420872</v>
      </c>
      <c r="P19" s="155">
        <f t="shared" si="9"/>
        <v>84.350573454421124</v>
      </c>
      <c r="Q19" s="155">
        <f t="shared" si="10"/>
        <v>119.63160073745061</v>
      </c>
      <c r="R19" s="155">
        <f t="shared" si="11"/>
        <v>171.76556985503231</v>
      </c>
      <c r="S19" s="155">
        <f t="shared" si="12"/>
        <v>214.71518162773199</v>
      </c>
      <c r="T19" s="155">
        <f t="shared" si="13"/>
        <v>262.33189217468578</v>
      </c>
      <c r="U19" s="159">
        <f t="shared" si="14"/>
        <v>361.08049384925249</v>
      </c>
      <c r="V19" s="159">
        <f t="shared" si="15"/>
        <v>403.60518069754858</v>
      </c>
      <c r="W19" s="159">
        <f t="shared" si="16"/>
        <v>544.87846922041138</v>
      </c>
      <c r="X19" s="148">
        <f t="shared" si="19"/>
        <v>7.2066399494094144E-2</v>
      </c>
      <c r="Y19" s="148">
        <f t="shared" si="20"/>
        <v>0.14285817756970179</v>
      </c>
      <c r="Z19" s="148">
        <f t="shared" si="21"/>
        <v>0.20265153654296605</v>
      </c>
      <c r="AA19" s="148">
        <f t="shared" si="22"/>
        <v>0.2913918044645305</v>
      </c>
      <c r="AB19" s="148">
        <f t="shared" si="23"/>
        <v>0.3647287896591121</v>
      </c>
      <c r="AC19" s="148">
        <f t="shared" si="24"/>
        <v>0.44616917943676349</v>
      </c>
      <c r="AD19" s="148">
        <f t="shared" si="25"/>
        <v>0.61468338831927127</v>
      </c>
      <c r="AE19" s="148">
        <f t="shared" si="26"/>
        <v>0.68725164590162291</v>
      </c>
      <c r="AF19" s="148">
        <f t="shared" si="27"/>
        <v>0.92833411236648233</v>
      </c>
    </row>
    <row r="20" spans="1:32" x14ac:dyDescent="0.2">
      <c r="A20" s="151">
        <v>6</v>
      </c>
      <c r="B20" s="155">
        <v>24.538972925537792</v>
      </c>
      <c r="C20" s="155">
        <v>65.042985342418532</v>
      </c>
      <c r="D20" s="155">
        <v>105.6936690138262</v>
      </c>
      <c r="E20" s="155">
        <v>175.116775979088</v>
      </c>
      <c r="F20" s="155">
        <v>241.16270260171734</v>
      </c>
      <c r="G20" s="155">
        <v>320.55714392113094</v>
      </c>
      <c r="H20" s="169">
        <f t="shared" si="2"/>
        <v>0.54423669107188821</v>
      </c>
      <c r="I20" s="169">
        <f t="shared" si="3"/>
        <v>0.70445931662223327</v>
      </c>
      <c r="J20" s="169">
        <f t="shared" si="4"/>
        <v>0.76671833345053941</v>
      </c>
      <c r="K20" s="169">
        <f t="shared" si="5"/>
        <v>0.82138477575275326</v>
      </c>
      <c r="L20" s="169">
        <f t="shared" si="6"/>
        <v>0.84657374285898224</v>
      </c>
      <c r="M20" s="169">
        <f t="shared" si="7"/>
        <v>0.8668691590305857</v>
      </c>
      <c r="N20" s="169"/>
      <c r="O20" s="155">
        <f t="shared" si="8"/>
        <v>46.572426281274133</v>
      </c>
      <c r="P20" s="155">
        <f t="shared" si="9"/>
        <v>93.658930605227852</v>
      </c>
      <c r="Q20" s="155">
        <f t="shared" si="10"/>
        <v>132.39437535082047</v>
      </c>
      <c r="R20" s="155">
        <f t="shared" si="11"/>
        <v>189.09444878929853</v>
      </c>
      <c r="S20" s="155">
        <f t="shared" si="12"/>
        <v>235.48479454047251</v>
      </c>
      <c r="T20" s="155">
        <f t="shared" si="13"/>
        <v>286.72943929948156</v>
      </c>
      <c r="U20" s="159">
        <f t="shared" si="14"/>
        <v>393.52930355195497</v>
      </c>
      <c r="V20" s="159">
        <f t="shared" si="15"/>
        <v>439.52115260865605</v>
      </c>
      <c r="W20" s="159">
        <f t="shared" si="16"/>
        <v>592.31286591783055</v>
      </c>
      <c r="X20" s="148">
        <f t="shared" si="19"/>
        <v>7.9919818620925509E-2</v>
      </c>
      <c r="Y20" s="148">
        <f t="shared" si="20"/>
        <v>0.16020855365368408</v>
      </c>
      <c r="Z20" s="148">
        <f t="shared" si="21"/>
        <v>0.22682337847944398</v>
      </c>
      <c r="AA20" s="148">
        <f t="shared" si="22"/>
        <v>0.3247740167798977</v>
      </c>
      <c r="AB20" s="148">
        <f t="shared" si="23"/>
        <v>0.40517997855138405</v>
      </c>
      <c r="AC20" s="148">
        <f t="shared" si="24"/>
        <v>0.49415519832675059</v>
      </c>
      <c r="AD20" s="148">
        <f t="shared" si="25"/>
        <v>0.6791488176610867</v>
      </c>
      <c r="AE20" s="148">
        <f t="shared" si="26"/>
        <v>0.75881369997558412</v>
      </c>
      <c r="AF20" s="148">
        <f t="shared" si="27"/>
        <v>1.0234722016244175</v>
      </c>
    </row>
    <row r="21" spans="1:32" x14ac:dyDescent="0.2">
      <c r="A21" s="161">
        <v>6.5</v>
      </c>
      <c r="B21" s="155">
        <v>27.796804316046142</v>
      </c>
      <c r="C21" s="155">
        <v>71.488128491353635</v>
      </c>
      <c r="D21" s="155">
        <v>114.787476416112</v>
      </c>
      <c r="E21" s="155">
        <v>188.15200905573943</v>
      </c>
      <c r="F21" s="155">
        <v>257.55247573586666</v>
      </c>
      <c r="G21" s="155">
        <v>340.6605076475405</v>
      </c>
      <c r="H21" s="169">
        <f t="shared" si="2"/>
        <v>0.61649038243136611</v>
      </c>
      <c r="I21" s="169">
        <f t="shared" si="3"/>
        <v>0.77426455563961061</v>
      </c>
      <c r="J21" s="169">
        <f t="shared" si="4"/>
        <v>0.83268622841772677</v>
      </c>
      <c r="K21" s="169">
        <f t="shared" si="5"/>
        <v>0.88252650211041994</v>
      </c>
      <c r="L21" s="169">
        <f t="shared" si="6"/>
        <v>0.90410814364773662</v>
      </c>
      <c r="M21" s="169">
        <f t="shared" si="7"/>
        <v>0.92123383733420305</v>
      </c>
      <c r="N21" s="169"/>
      <c r="O21" s="155">
        <f t="shared" si="8"/>
        <v>50.365745077646721</v>
      </c>
      <c r="P21" s="155">
        <f t="shared" si="9"/>
        <v>101.15601327569418</v>
      </c>
      <c r="Q21" s="155">
        <f t="shared" si="10"/>
        <v>142.23678527992485</v>
      </c>
      <c r="R21" s="155">
        <f t="shared" si="11"/>
        <v>201.83027038960049</v>
      </c>
      <c r="S21" s="155">
        <f t="shared" si="12"/>
        <v>250.26538210310352</v>
      </c>
      <c r="T21" s="155">
        <f t="shared" si="13"/>
        <v>303.58248957360297</v>
      </c>
      <c r="U21" s="159">
        <f t="shared" si="14"/>
        <v>415.23371694482825</v>
      </c>
      <c r="V21" s="159">
        <f t="shared" si="15"/>
        <v>463.31473682434432</v>
      </c>
      <c r="W21" s="159">
        <f t="shared" si="16"/>
        <v>623.04698407508567</v>
      </c>
      <c r="X21" s="148">
        <f t="shared" si="19"/>
        <v>8.7244354223028772E-2</v>
      </c>
      <c r="Y21" s="148">
        <f t="shared" si="20"/>
        <v>0.17533344949282983</v>
      </c>
      <c r="Z21" s="148">
        <f t="shared" si="21"/>
        <v>0.24716804456767075</v>
      </c>
      <c r="AA21" s="148">
        <f t="shared" si="22"/>
        <v>0.35183224726100909</v>
      </c>
      <c r="AB21" s="148">
        <f t="shared" si="23"/>
        <v>0.43717515897921844</v>
      </c>
      <c r="AC21" s="148">
        <f t="shared" si="24"/>
        <v>0.53128073598577608</v>
      </c>
      <c r="AD21" s="148">
        <f t="shared" si="25"/>
        <v>0.72788671844710484</v>
      </c>
      <c r="AE21" s="148">
        <f t="shared" si="26"/>
        <v>0.81255230048970029</v>
      </c>
      <c r="AF21" s="148">
        <f t="shared" si="27"/>
        <v>1.0938238649936245</v>
      </c>
    </row>
    <row r="22" spans="1:32" x14ac:dyDescent="0.2">
      <c r="A22" s="151">
        <v>7</v>
      </c>
      <c r="B22" s="155">
        <v>30.97332523497532</v>
      </c>
      <c r="C22" s="155">
        <v>77.250573078329893</v>
      </c>
      <c r="D22" s="155">
        <v>122.50802955227574</v>
      </c>
      <c r="E22" s="155">
        <v>198.54697852720207</v>
      </c>
      <c r="F22" s="155">
        <v>270.03988464403909</v>
      </c>
      <c r="G22" s="155">
        <v>355.30076088201827</v>
      </c>
      <c r="H22" s="169">
        <f t="shared" si="2"/>
        <v>0.68694073254522536</v>
      </c>
      <c r="I22" s="169">
        <f t="shared" si="3"/>
        <v>0.83667570965482141</v>
      </c>
      <c r="J22" s="169">
        <f t="shared" si="4"/>
        <v>0.88869232309782953</v>
      </c>
      <c r="K22" s="169">
        <f t="shared" si="5"/>
        <v>0.93128407899325194</v>
      </c>
      <c r="L22" s="169">
        <f t="shared" si="6"/>
        <v>0.94794374668234471</v>
      </c>
      <c r="M22" s="169">
        <f t="shared" si="7"/>
        <v>0.96082485643964233</v>
      </c>
      <c r="N22" s="169"/>
      <c r="O22" s="155">
        <f t="shared" si="8"/>
        <v>54.064388458624329</v>
      </c>
      <c r="P22" s="155">
        <f t="shared" si="9"/>
        <v>107.85897121692783</v>
      </c>
      <c r="Q22" s="155">
        <f t="shared" si="10"/>
        <v>150.59289460619615</v>
      </c>
      <c r="R22" s="155">
        <f t="shared" si="11"/>
        <v>211.9864736542944</v>
      </c>
      <c r="S22" s="155">
        <f t="shared" si="12"/>
        <v>261.52674852269433</v>
      </c>
      <c r="T22" s="155">
        <f t="shared" si="13"/>
        <v>315.85570549628915</v>
      </c>
      <c r="U22" s="159">
        <f t="shared" si="14"/>
        <v>430.21757063223345</v>
      </c>
      <c r="V22" s="159">
        <f t="shared" si="15"/>
        <v>479.46588827748121</v>
      </c>
      <c r="W22" s="159">
        <f t="shared" si="16"/>
        <v>643.07607105867328</v>
      </c>
      <c r="X22" s="148">
        <f t="shared" si="19"/>
        <v>9.3987120182643949E-2</v>
      </c>
      <c r="Y22" s="148">
        <f t="shared" si="20"/>
        <v>0.18811348604335981</v>
      </c>
      <c r="Z22" s="148">
        <f t="shared" si="21"/>
        <v>0.26354671189750889</v>
      </c>
      <c r="AA22" s="148">
        <f t="shared" si="22"/>
        <v>0.3724350696395054</v>
      </c>
      <c r="AB22" s="148">
        <f t="shared" si="23"/>
        <v>0.46061291756321809</v>
      </c>
      <c r="AC22" s="148">
        <f t="shared" si="24"/>
        <v>0.55749437556290293</v>
      </c>
      <c r="AD22" s="148">
        <f t="shared" si="25"/>
        <v>0.76090615881935553</v>
      </c>
      <c r="AE22" s="148">
        <f t="shared" si="26"/>
        <v>0.84850256259164292</v>
      </c>
      <c r="AF22" s="148">
        <f t="shared" si="27"/>
        <v>1.1395107496203831</v>
      </c>
    </row>
    <row r="23" spans="1:32" x14ac:dyDescent="0.2">
      <c r="A23" s="161">
        <v>7.5</v>
      </c>
      <c r="B23" s="155">
        <v>33.880231122659964</v>
      </c>
      <c r="C23" s="155">
        <v>82.121417888810598</v>
      </c>
      <c r="D23" s="155">
        <v>128.69359212774987</v>
      </c>
      <c r="E23" s="155">
        <v>206.29149027165843</v>
      </c>
      <c r="F23" s="155">
        <v>278.80663936806377</v>
      </c>
      <c r="G23" s="155">
        <v>364.92846886508039</v>
      </c>
      <c r="H23" s="169">
        <f t="shared" si="2"/>
        <v>0.75141143579639691</v>
      </c>
      <c r="I23" s="169">
        <f t="shared" si="3"/>
        <v>0.88943023788719044</v>
      </c>
      <c r="J23" s="169">
        <f t="shared" si="4"/>
        <v>0.93356335722477568</v>
      </c>
      <c r="K23" s="169">
        <f t="shared" si="5"/>
        <v>0.96760969089975768</v>
      </c>
      <c r="L23" s="169">
        <f t="shared" si="6"/>
        <v>0.97871842402414433</v>
      </c>
      <c r="M23" s="169">
        <f t="shared" si="7"/>
        <v>0.98686066091612135</v>
      </c>
      <c r="N23" s="169"/>
      <c r="O23" s="155">
        <f t="shared" si="8"/>
        <v>57.449100379310835</v>
      </c>
      <c r="P23" s="155">
        <f t="shared" si="9"/>
        <v>113.52480754908426</v>
      </c>
      <c r="Q23" s="155">
        <f t="shared" si="10"/>
        <v>157.28765289793651</v>
      </c>
      <c r="R23" s="155">
        <f t="shared" si="11"/>
        <v>219.55309861441953</v>
      </c>
      <c r="S23" s="155">
        <f t="shared" si="12"/>
        <v>269.43276313180263</v>
      </c>
      <c r="T23" s="155">
        <f t="shared" si="13"/>
        <v>323.92680488399759</v>
      </c>
      <c r="U23" s="159">
        <f t="shared" si="14"/>
        <v>439.24109805835189</v>
      </c>
      <c r="V23" s="159">
        <f t="shared" si="15"/>
        <v>488.89956535019803</v>
      </c>
      <c r="W23" s="159">
        <f t="shared" si="16"/>
        <v>653.87232581639853</v>
      </c>
      <c r="X23" s="148">
        <f t="shared" si="19"/>
        <v>0.10036213995414166</v>
      </c>
      <c r="Y23" s="148">
        <f t="shared" si="20"/>
        <v>0.19924540088941087</v>
      </c>
      <c r="Z23" s="148">
        <f t="shared" si="21"/>
        <v>0.27709249275371939</v>
      </c>
      <c r="AA23" s="148">
        <f t="shared" si="22"/>
        <v>0.38838561504184255</v>
      </c>
      <c r="AB23" s="148">
        <f t="shared" si="23"/>
        <v>0.47786356048904727</v>
      </c>
      <c r="AC23" s="148">
        <f t="shared" si="24"/>
        <v>0.5758042593422581</v>
      </c>
      <c r="AD23" s="148">
        <f t="shared" si="25"/>
        <v>0.78251280182152683</v>
      </c>
      <c r="AE23" s="148">
        <f t="shared" si="26"/>
        <v>0.87152890826491125</v>
      </c>
      <c r="AF23" s="148">
        <f t="shared" si="27"/>
        <v>1.1672535571875646</v>
      </c>
    </row>
    <row r="24" spans="1:32" x14ac:dyDescent="0.2">
      <c r="A24" s="151">
        <v>8</v>
      </c>
      <c r="B24" s="155">
        <v>36.389259196077461</v>
      </c>
      <c r="C24" s="155">
        <v>85.949090346121409</v>
      </c>
      <c r="D24" s="155">
        <v>133.21553938133047</v>
      </c>
      <c r="E24" s="155">
        <v>211.34501299902462</v>
      </c>
      <c r="F24" s="155">
        <v>283.92913249353029</v>
      </c>
      <c r="G24" s="155">
        <v>369.78722865121648</v>
      </c>
      <c r="H24" s="169">
        <f t="shared" si="2"/>
        <v>0.80705782086013877</v>
      </c>
      <c r="I24" s="169">
        <f t="shared" si="3"/>
        <v>0.93088650729634392</v>
      </c>
      <c r="J24" s="169">
        <f t="shared" si="4"/>
        <v>0.96636626675158022</v>
      </c>
      <c r="K24" s="169">
        <f t="shared" si="5"/>
        <v>0.99131322592072446</v>
      </c>
      <c r="L24" s="169">
        <f t="shared" si="6"/>
        <v>0.99670034299922516</v>
      </c>
      <c r="M24" s="170">
        <f t="shared" si="7"/>
        <v>1</v>
      </c>
      <c r="N24" s="170"/>
      <c r="O24" s="155">
        <f t="shared" si="8"/>
        <v>60.370535595157286</v>
      </c>
      <c r="P24" s="155">
        <f t="shared" si="9"/>
        <v>117.97721088362734</v>
      </c>
      <c r="Q24" s="155">
        <f t="shared" si="10"/>
        <v>162.18184699933576</v>
      </c>
      <c r="R24" s="155">
        <f t="shared" si="11"/>
        <v>224.49054495928692</v>
      </c>
      <c r="S24" s="155">
        <f t="shared" si="12"/>
        <v>274.05231811650094</v>
      </c>
      <c r="T24" s="155">
        <f t="shared" si="13"/>
        <v>328</v>
      </c>
      <c r="U24" s="160">
        <f t="shared" si="14"/>
        <v>442.74616187645961</v>
      </c>
      <c r="V24" s="160">
        <f t="shared" si="15"/>
        <v>492.15997147065764</v>
      </c>
      <c r="W24" s="160">
        <f t="shared" si="16"/>
        <v>656.31994294131516</v>
      </c>
      <c r="X24" s="148">
        <f t="shared" si="19"/>
        <v>0.10603767237702132</v>
      </c>
      <c r="Y24" s="148">
        <f t="shared" si="20"/>
        <v>0.20835181658944044</v>
      </c>
      <c r="Z24" s="148">
        <f t="shared" si="21"/>
        <v>0.28752254990754506</v>
      </c>
      <c r="AA24" s="148">
        <f t="shared" si="22"/>
        <v>0.3996392792163358</v>
      </c>
      <c r="AB24" s="148">
        <f t="shared" si="23"/>
        <v>0.4891365731234732</v>
      </c>
      <c r="AC24" s="148">
        <f t="shared" si="24"/>
        <v>0.58673412439559791</v>
      </c>
      <c r="AD24" s="148">
        <f t="shared" si="25"/>
        <v>0.79378853394133031</v>
      </c>
      <c r="AE24" s="148">
        <f t="shared" si="26"/>
        <v>0.88295358313877004</v>
      </c>
      <c r="AF24" s="148">
        <f t="shared" si="27"/>
        <v>1.1791730418819424</v>
      </c>
    </row>
    <row r="25" spans="1:32" x14ac:dyDescent="0.2">
      <c r="A25" s="152">
        <v>8.5</v>
      </c>
      <c r="B25" s="155">
        <v>38.275937828152003</v>
      </c>
      <c r="C25" s="155">
        <v>88.373758830104862</v>
      </c>
      <c r="D25" s="155">
        <v>135.6358603088332</v>
      </c>
      <c r="E25" s="155">
        <v>213.19700723525494</v>
      </c>
      <c r="F25" s="155">
        <v>284.86910282296452</v>
      </c>
      <c r="G25" s="155">
        <v>369.33860328169067</v>
      </c>
      <c r="H25" s="169">
        <f t="shared" si="2"/>
        <v>0.84890145217070967</v>
      </c>
      <c r="I25" s="169">
        <f t="shared" si="3"/>
        <v>0.95714729920603669</v>
      </c>
      <c r="J25" s="169">
        <f t="shared" si="4"/>
        <v>0.98392365164761986</v>
      </c>
      <c r="K25" s="170">
        <f t="shared" si="5"/>
        <v>1</v>
      </c>
      <c r="L25" s="170">
        <f t="shared" si="6"/>
        <v>1</v>
      </c>
      <c r="M25" s="169">
        <f t="shared" si="7"/>
        <v>0.99878680134205244</v>
      </c>
      <c r="N25" s="169"/>
      <c r="O25" s="155">
        <f t="shared" si="8"/>
        <v>62.567326238962259</v>
      </c>
      <c r="P25" s="155">
        <f t="shared" si="9"/>
        <v>120.79761993472835</v>
      </c>
      <c r="Q25" s="155">
        <f t="shared" si="10"/>
        <v>164.80140882582486</v>
      </c>
      <c r="R25" s="155">
        <f t="shared" si="11"/>
        <v>226.3</v>
      </c>
      <c r="S25" s="155">
        <f t="shared" si="12"/>
        <v>274.89999999999998</v>
      </c>
      <c r="T25" s="155">
        <f t="shared" si="13"/>
        <v>327.62390841603627</v>
      </c>
      <c r="U25" s="159">
        <f t="shared" si="14"/>
        <v>440.29707813246256</v>
      </c>
      <c r="V25" s="159">
        <f t="shared" si="15"/>
        <v>488.81818301034559</v>
      </c>
      <c r="W25" s="159">
        <f t="shared" si="16"/>
        <v>650.01245760465486</v>
      </c>
      <c r="X25" s="148">
        <f t="shared" si="19"/>
        <v>0.11064407565070759</v>
      </c>
      <c r="Y25" s="148">
        <f t="shared" si="20"/>
        <v>0.21489734773652008</v>
      </c>
      <c r="Z25" s="148">
        <f t="shared" si="21"/>
        <v>0.29428493024264457</v>
      </c>
      <c r="AA25" s="148">
        <f t="shared" si="22"/>
        <v>0.40571149046335825</v>
      </c>
      <c r="AB25" s="148">
        <f t="shared" si="23"/>
        <v>0.49405708630485079</v>
      </c>
      <c r="AC25" s="148">
        <f t="shared" si="24"/>
        <v>0.5900615175744327</v>
      </c>
      <c r="AD25" s="148">
        <f t="shared" si="25"/>
        <v>0.79473891600802993</v>
      </c>
      <c r="AE25" s="148">
        <f t="shared" si="26"/>
        <v>0.88288033903290286</v>
      </c>
      <c r="AF25" s="148">
        <f t="shared" si="27"/>
        <v>1.1756991604913729</v>
      </c>
    </row>
    <row r="26" spans="1:32" x14ac:dyDescent="0.2">
      <c r="A26" s="152">
        <v>9</v>
      </c>
      <c r="B26" s="155">
        <v>39.90412064547268</v>
      </c>
      <c r="C26" s="155">
        <v>90.047371707624166</v>
      </c>
      <c r="D26" s="155">
        <v>136.82849612638012</v>
      </c>
      <c r="E26" s="155">
        <v>213.03125315605868</v>
      </c>
      <c r="F26" s="155">
        <v>283.05909368869436</v>
      </c>
      <c r="G26" s="155">
        <v>365.27782071896593</v>
      </c>
      <c r="H26" s="169">
        <f t="shared" si="2"/>
        <v>0.8850120437446759</v>
      </c>
      <c r="I26" s="169">
        <f t="shared" si="3"/>
        <v>0.97527365330526228</v>
      </c>
      <c r="J26" s="169">
        <f t="shared" si="4"/>
        <v>0.9925752175831668</v>
      </c>
      <c r="K26" s="169">
        <f t="shared" si="5"/>
        <v>0.99922253092880731</v>
      </c>
      <c r="L26" s="169">
        <f t="shared" si="6"/>
        <v>0.99364617251806697</v>
      </c>
      <c r="M26" s="169">
        <f t="shared" si="7"/>
        <v>0.98780539839437276</v>
      </c>
      <c r="N26" s="169"/>
      <c r="O26" s="155">
        <f t="shared" si="8"/>
        <v>64.463132296595489</v>
      </c>
      <c r="P26" s="155">
        <f t="shared" si="9"/>
        <v>122.74439036498518</v>
      </c>
      <c r="Q26" s="155">
        <f t="shared" si="10"/>
        <v>166.09222246340846</v>
      </c>
      <c r="R26" s="155">
        <f t="shared" si="11"/>
        <v>226.13805319247058</v>
      </c>
      <c r="S26" s="155">
        <f t="shared" si="12"/>
        <v>273.26770171989142</v>
      </c>
      <c r="T26" s="155">
        <f t="shared" si="13"/>
        <v>324.21967350225555</v>
      </c>
      <c r="U26" s="159">
        <f t="shared" si="14"/>
        <v>433.6438696211377</v>
      </c>
      <c r="V26" s="159">
        <f t="shared" si="15"/>
        <v>480.76585003071415</v>
      </c>
      <c r="W26" s="159">
        <f t="shared" si="16"/>
        <v>637.31202655917275</v>
      </c>
      <c r="X26" s="148">
        <f t="shared" si="19"/>
        <v>0.11432741268200197</v>
      </c>
      <c r="Y26" s="148">
        <f t="shared" si="20"/>
        <v>0.21918780926974216</v>
      </c>
      <c r="Z26" s="148">
        <f t="shared" si="21"/>
        <v>0.29780426816030997</v>
      </c>
      <c r="AA26" s="148">
        <f t="shared" si="22"/>
        <v>0.4071942478732235</v>
      </c>
      <c r="AB26" s="148">
        <f t="shared" si="23"/>
        <v>0.49335093154790227</v>
      </c>
      <c r="AC26" s="148">
        <f t="shared" si="24"/>
        <v>0.58665922372646262</v>
      </c>
      <c r="AD26" s="148">
        <f t="shared" si="25"/>
        <v>0.78654685297824023</v>
      </c>
      <c r="AE26" s="148">
        <f t="shared" si="26"/>
        <v>0.87262562973695368</v>
      </c>
      <c r="AF26" s="148">
        <f t="shared" si="27"/>
        <v>1.1585920357474446</v>
      </c>
    </row>
    <row r="27" spans="1:32" x14ac:dyDescent="0.2">
      <c r="A27" s="152">
        <v>9.5</v>
      </c>
      <c r="B27" s="155">
        <v>41.318978841726626</v>
      </c>
      <c r="C27" s="155">
        <v>91.305559602670698</v>
      </c>
      <c r="D27" s="155">
        <v>137.45998854041162</v>
      </c>
      <c r="E27" s="155">
        <v>212.11890431223111</v>
      </c>
      <c r="F27" s="155">
        <v>280.3709024089726</v>
      </c>
      <c r="G27" s="155">
        <v>360.21820313829755</v>
      </c>
      <c r="H27" s="169">
        <f t="shared" si="2"/>
        <v>0.91639142320777589</v>
      </c>
      <c r="I27" s="169">
        <f t="shared" si="3"/>
        <v>0.98890067519026181</v>
      </c>
      <c r="J27" s="169">
        <f t="shared" si="4"/>
        <v>0.99715616188939149</v>
      </c>
      <c r="K27" s="169">
        <f t="shared" si="5"/>
        <v>0.99494316108370984</v>
      </c>
      <c r="L27" s="169">
        <f t="shared" si="6"/>
        <v>0.98420958830067506</v>
      </c>
      <c r="M27" s="169">
        <f t="shared" si="7"/>
        <v>0.97412288805153835</v>
      </c>
      <c r="N27" s="169"/>
      <c r="O27" s="155">
        <f t="shared" si="8"/>
        <v>66.110549718408237</v>
      </c>
      <c r="P27" s="155">
        <f t="shared" si="9"/>
        <v>124.20793251543412</v>
      </c>
      <c r="Q27" s="155">
        <f t="shared" si="10"/>
        <v>166.77569935389721</v>
      </c>
      <c r="R27" s="155">
        <f t="shared" si="11"/>
        <v>225.24666045373678</v>
      </c>
      <c r="S27" s="155">
        <f t="shared" si="12"/>
        <v>270.84344323444338</v>
      </c>
      <c r="T27" s="155">
        <f t="shared" si="13"/>
        <v>319.97809529597691</v>
      </c>
      <c r="U27" s="159">
        <f t="shared" si="14"/>
        <v>425.99415328789604</v>
      </c>
      <c r="V27" s="159">
        <f t="shared" si="15"/>
        <v>471.64846727863579</v>
      </c>
      <c r="W27" s="159">
        <f t="shared" si="16"/>
        <v>623.31883926129467</v>
      </c>
      <c r="X27" s="148">
        <f t="shared" si="19"/>
        <v>0.11751631381350335</v>
      </c>
      <c r="Y27" s="148">
        <f t="shared" si="20"/>
        <v>0.22225709059237736</v>
      </c>
      <c r="Z27" s="148">
        <f t="shared" si="21"/>
        <v>0.29958112963557509</v>
      </c>
      <c r="AA27" s="148">
        <f t="shared" si="22"/>
        <v>0.40624624228158662</v>
      </c>
      <c r="AB27" s="148">
        <f t="shared" si="23"/>
        <v>0.48970003045890131</v>
      </c>
      <c r="AC27" s="148">
        <f t="shared" si="24"/>
        <v>0.57977799191840917</v>
      </c>
      <c r="AD27" s="148">
        <f t="shared" si="25"/>
        <v>0.77367422061813029</v>
      </c>
      <c r="AE27" s="148">
        <f t="shared" si="26"/>
        <v>0.85717288557841487</v>
      </c>
      <c r="AF27" s="148">
        <f t="shared" si="27"/>
        <v>1.1345677792384208</v>
      </c>
    </row>
    <row r="28" spans="1:32" x14ac:dyDescent="0.2">
      <c r="A28" s="152">
        <v>10</v>
      </c>
      <c r="B28" s="155">
        <v>42.53086933419479</v>
      </c>
      <c r="C28" s="155">
        <v>92.30264585403151</v>
      </c>
      <c r="D28" s="155">
        <v>137.85201736100711</v>
      </c>
      <c r="E28" s="155">
        <v>211.09034765026584</v>
      </c>
      <c r="F28" s="155">
        <v>277.74331737018457</v>
      </c>
      <c r="G28" s="155">
        <v>355.48048690978436</v>
      </c>
      <c r="H28" s="169">
        <f t="shared" si="2"/>
        <v>0.94326929106164814</v>
      </c>
      <c r="I28" s="169">
        <f t="shared" si="3"/>
        <v>0.99969979050683666</v>
      </c>
      <c r="J28" s="170">
        <f t="shared" si="4"/>
        <v>1</v>
      </c>
      <c r="K28" s="169">
        <f t="shared" si="5"/>
        <v>0.99011871877420643</v>
      </c>
      <c r="L28" s="169">
        <f t="shared" si="6"/>
        <v>0.97498575527438525</v>
      </c>
      <c r="M28" s="169">
        <f t="shared" si="7"/>
        <v>0.96131088195334558</v>
      </c>
      <c r="N28" s="169"/>
      <c r="O28" s="155">
        <f t="shared" si="8"/>
        <v>67.521637780736526</v>
      </c>
      <c r="P28" s="155">
        <f t="shared" si="9"/>
        <v>125.36775750043427</v>
      </c>
      <c r="Q28" s="155">
        <f t="shared" si="10"/>
        <v>167.2</v>
      </c>
      <c r="R28" s="155">
        <f t="shared" si="11"/>
        <v>224.2417291206672</v>
      </c>
      <c r="S28" s="155">
        <f t="shared" si="12"/>
        <v>268.47384052998956</v>
      </c>
      <c r="T28" s="155">
        <f t="shared" si="13"/>
        <v>316.00637340553715</v>
      </c>
      <c r="U28" s="159">
        <f t="shared" si="14"/>
        <v>418.98038380216883</v>
      </c>
      <c r="V28" s="159">
        <f t="shared" si="15"/>
        <v>463.32468307701896</v>
      </c>
      <c r="W28" s="159">
        <f t="shared" si="16"/>
        <v>610.64299274850077</v>
      </c>
      <c r="X28" s="148">
        <f t="shared" si="19"/>
        <v>0.12026896874923029</v>
      </c>
      <c r="Y28" s="148">
        <f t="shared" si="20"/>
        <v>0.22461812101428155</v>
      </c>
      <c r="Z28" s="148">
        <f t="shared" si="21"/>
        <v>0.30057812941850748</v>
      </c>
      <c r="AA28" s="148">
        <f t="shared" si="22"/>
        <v>0.40453955061696356</v>
      </c>
      <c r="AB28" s="148">
        <f t="shared" si="23"/>
        <v>0.48538555538798961</v>
      </c>
      <c r="AC28" s="148">
        <f t="shared" si="24"/>
        <v>0.57238602183136267</v>
      </c>
      <c r="AD28" s="148">
        <f t="shared" si="25"/>
        <v>0.76047708338105835</v>
      </c>
      <c r="AE28" s="148">
        <f t="shared" si="26"/>
        <v>0.84147583532008929</v>
      </c>
      <c r="AF28" s="148">
        <f t="shared" si="27"/>
        <v>1.1105656488088158</v>
      </c>
    </row>
    <row r="29" spans="1:32" x14ac:dyDescent="0.2">
      <c r="A29" s="152">
        <v>10.5</v>
      </c>
      <c r="B29" s="155">
        <v>43.253159918313351</v>
      </c>
      <c r="C29" s="155">
        <v>92.330364305903373</v>
      </c>
      <c r="D29" s="155">
        <v>136.87095866843467</v>
      </c>
      <c r="E29" s="155">
        <v>208.0811034181348</v>
      </c>
      <c r="F29" s="155">
        <v>272.61211881820384</v>
      </c>
      <c r="G29" s="155">
        <v>347.65454646010551</v>
      </c>
      <c r="H29" s="169">
        <f t="shared" si="2"/>
        <v>0.95928858570311093</v>
      </c>
      <c r="I29" s="170">
        <f t="shared" si="3"/>
        <v>1</v>
      </c>
      <c r="J29" s="169">
        <f t="shared" si="4"/>
        <v>0.99288324747541956</v>
      </c>
      <c r="K29" s="169">
        <f t="shared" si="5"/>
        <v>0.97600386664211036</v>
      </c>
      <c r="L29" s="169">
        <f t="shared" si="6"/>
        <v>0.95697327690754186</v>
      </c>
      <c r="M29" s="169">
        <f t="shared" si="7"/>
        <v>0.94014752139537372</v>
      </c>
      <c r="N29" s="169"/>
      <c r="O29" s="155">
        <f t="shared" si="8"/>
        <v>68.362650749413319</v>
      </c>
      <c r="P29" s="155">
        <f t="shared" si="9"/>
        <v>125.4</v>
      </c>
      <c r="Q29" s="155">
        <f t="shared" si="10"/>
        <v>166.13818052333258</v>
      </c>
      <c r="R29" s="155">
        <f t="shared" si="11"/>
        <v>221.30160542155161</v>
      </c>
      <c r="S29" s="155">
        <f t="shared" si="12"/>
        <v>263.84643483754746</v>
      </c>
      <c r="T29" s="155">
        <f t="shared" si="13"/>
        <v>309.44573163256587</v>
      </c>
      <c r="U29" s="159">
        <f t="shared" si="14"/>
        <v>408.61455700015529</v>
      </c>
      <c r="V29" s="159">
        <f t="shared" si="15"/>
        <v>451.32020723070684</v>
      </c>
      <c r="W29" s="159">
        <f t="shared" si="16"/>
        <v>593.19468282884782</v>
      </c>
      <c r="X29" s="148">
        <f t="shared" si="19"/>
        <v>0.12229585967713484</v>
      </c>
      <c r="Y29" s="148">
        <f t="shared" si="20"/>
        <v>0.22569098175039085</v>
      </c>
      <c r="Z29" s="148">
        <f t="shared" si="21"/>
        <v>0.30000436247099926</v>
      </c>
      <c r="AA29" s="148">
        <f t="shared" si="22"/>
        <v>0.4009890010879969</v>
      </c>
      <c r="AB29" s="148">
        <f t="shared" si="23"/>
        <v>0.47908824783078335</v>
      </c>
      <c r="AC29" s="148">
        <f t="shared" si="24"/>
        <v>0.56290689453429266</v>
      </c>
      <c r="AD29" s="148">
        <f t="shared" si="25"/>
        <v>0.74483544672209168</v>
      </c>
      <c r="AE29" s="148">
        <f t="shared" si="26"/>
        <v>0.82318040127695313</v>
      </c>
      <c r="AF29" s="148">
        <f t="shared" si="27"/>
        <v>1.0834539080196137</v>
      </c>
    </row>
    <row r="30" spans="1:32" x14ac:dyDescent="0.2">
      <c r="A30" s="152">
        <v>11</v>
      </c>
      <c r="B30" s="155">
        <v>43.891916298197884</v>
      </c>
      <c r="C30" s="155">
        <v>92.323790779318898</v>
      </c>
      <c r="D30" s="155">
        <v>135.97101204888571</v>
      </c>
      <c r="E30" s="155">
        <v>205.42295840338656</v>
      </c>
      <c r="F30" s="155">
        <v>268.14005230127083</v>
      </c>
      <c r="G30" s="155">
        <v>340.90049647824458</v>
      </c>
      <c r="H30" s="169">
        <f t="shared" si="2"/>
        <v>0.97345522012763619</v>
      </c>
      <c r="I30" s="169">
        <f t="shared" si="3"/>
        <v>0.99992880428195108</v>
      </c>
      <c r="J30" s="169">
        <f t="shared" si="4"/>
        <v>0.9863548945591748</v>
      </c>
      <c r="K30" s="169">
        <f t="shared" si="5"/>
        <v>0.9635358444629103</v>
      </c>
      <c r="L30" s="169">
        <f t="shared" si="6"/>
        <v>0.94127460522775552</v>
      </c>
      <c r="M30" s="169">
        <f t="shared" si="7"/>
        <v>0.92188282900322149</v>
      </c>
      <c r="N30" s="169"/>
      <c r="O30" s="155">
        <f t="shared" si="8"/>
        <v>69.106399056700894</v>
      </c>
      <c r="P30" s="155">
        <f t="shared" si="9"/>
        <v>125.39235357988156</v>
      </c>
      <c r="Q30" s="155">
        <f t="shared" si="10"/>
        <v>165.16415026822887</v>
      </c>
      <c r="R30" s="155">
        <f t="shared" si="11"/>
        <v>218.70451640162423</v>
      </c>
      <c r="S30" s="155">
        <f t="shared" si="12"/>
        <v>259.81344608301038</v>
      </c>
      <c r="T30" s="155">
        <f t="shared" si="13"/>
        <v>303.78367699099869</v>
      </c>
      <c r="U30" s="159">
        <f t="shared" si="14"/>
        <v>399.70838948315543</v>
      </c>
      <c r="V30" s="159">
        <f t="shared" si="15"/>
        <v>441.01700844654079</v>
      </c>
      <c r="W30" s="159">
        <f t="shared" si="16"/>
        <v>578.25033990208294</v>
      </c>
      <c r="X30" s="148">
        <f t="shared" si="19"/>
        <v>0.12372214482550278</v>
      </c>
      <c r="Y30" s="148">
        <f t="shared" si="20"/>
        <v>0.22571311822189341</v>
      </c>
      <c r="Z30" s="148">
        <f t="shared" si="21"/>
        <v>0.29817209771240527</v>
      </c>
      <c r="AA30" s="148">
        <f t="shared" si="22"/>
        <v>0.39600550964085823</v>
      </c>
      <c r="AB30" s="148">
        <f t="shared" si="23"/>
        <v>0.47129389282850204</v>
      </c>
      <c r="AC30" s="148">
        <f t="shared" si="24"/>
        <v>0.551906467761208</v>
      </c>
      <c r="AD30" s="148">
        <f t="shared" si="25"/>
        <v>0.72749065183497963</v>
      </c>
      <c r="AE30" s="148">
        <f t="shared" si="26"/>
        <v>0.80310349410952286</v>
      </c>
      <c r="AF30" s="148">
        <f t="shared" si="27"/>
        <v>1.0543005204578377</v>
      </c>
    </row>
    <row r="31" spans="1:32" x14ac:dyDescent="0.2">
      <c r="A31" s="152">
        <v>11.5</v>
      </c>
      <c r="B31" s="155">
        <v>44.427100311595851</v>
      </c>
      <c r="C31" s="155">
        <v>92.109584537730484</v>
      </c>
      <c r="D31" s="155">
        <v>134.7749644297846</v>
      </c>
      <c r="E31" s="155">
        <v>202.33465262933882</v>
      </c>
      <c r="F31" s="155">
        <v>263.12172114684427</v>
      </c>
      <c r="G31" s="155">
        <v>333.46963394638908</v>
      </c>
      <c r="H31" s="169">
        <f t="shared" si="2"/>
        <v>0.9853247787049294</v>
      </c>
      <c r="I31" s="169">
        <f t="shared" si="3"/>
        <v>0.99760880648709005</v>
      </c>
      <c r="J31" s="169">
        <f t="shared" si="4"/>
        <v>0.97767857888387433</v>
      </c>
      <c r="K31" s="169">
        <f t="shared" si="5"/>
        <v>0.94905015437702689</v>
      </c>
      <c r="L31" s="169">
        <f t="shared" si="6"/>
        <v>0.92365833479092518</v>
      </c>
      <c r="M31" s="169">
        <f t="shared" si="7"/>
        <v>0.9017878609888873</v>
      </c>
      <c r="N31" s="169"/>
      <c r="O31" s="155">
        <f t="shared" si="8"/>
        <v>69.729550882008795</v>
      </c>
      <c r="P31" s="155">
        <f t="shared" si="9"/>
        <v>125.14318581671348</v>
      </c>
      <c r="Q31" s="155">
        <f t="shared" si="10"/>
        <v>163.86964396947403</v>
      </c>
      <c r="R31" s="155">
        <f t="shared" si="11"/>
        <v>215.68714715673471</v>
      </c>
      <c r="S31" s="155">
        <f t="shared" si="12"/>
        <v>255.28782620778867</v>
      </c>
      <c r="T31" s="155">
        <f t="shared" si="13"/>
        <v>297.55423690655505</v>
      </c>
      <c r="U31" s="159">
        <f t="shared" si="14"/>
        <v>390.06397521901511</v>
      </c>
      <c r="V31" s="159">
        <f t="shared" si="15"/>
        <v>429.9019839142652</v>
      </c>
      <c r="W31" s="159">
        <f t="shared" si="16"/>
        <v>562.24973092197547</v>
      </c>
      <c r="X31" s="148">
        <f t="shared" si="19"/>
        <v>0.12495235494483872</v>
      </c>
      <c r="Y31" s="148">
        <f t="shared" si="20"/>
        <v>0.22548198545693551</v>
      </c>
      <c r="Z31" s="148">
        <f t="shared" si="21"/>
        <v>0.2961304148139326</v>
      </c>
      <c r="AA31" s="148">
        <f t="shared" si="22"/>
        <v>0.39095249720252301</v>
      </c>
      <c r="AB31" s="148">
        <f t="shared" si="23"/>
        <v>0.46359114506171906</v>
      </c>
      <c r="AC31" s="148">
        <f t="shared" si="24"/>
        <v>0.54120412250779837</v>
      </c>
      <c r="AD31" s="148">
        <f t="shared" si="25"/>
        <v>0.71079512823195345</v>
      </c>
      <c r="AE31" s="148">
        <f t="shared" si="26"/>
        <v>0.78382709312472532</v>
      </c>
      <c r="AF31" s="148">
        <f t="shared" si="27"/>
        <v>1.0264500637416525</v>
      </c>
    </row>
    <row r="32" spans="1:32" x14ac:dyDescent="0.2">
      <c r="A32" s="152">
        <v>12</v>
      </c>
      <c r="B32" s="155">
        <v>44.96180126797158</v>
      </c>
      <c r="C32" s="155">
        <v>92.032735946100743</v>
      </c>
      <c r="D32" s="155">
        <v>133.8800897437371</v>
      </c>
      <c r="E32" s="155">
        <v>199.85305143007872</v>
      </c>
      <c r="F32" s="155">
        <v>259.01734974712042</v>
      </c>
      <c r="G32" s="155">
        <v>327.33468062003863</v>
      </c>
      <c r="H32" s="169">
        <f t="shared" si="2"/>
        <v>0.99718362382016446</v>
      </c>
      <c r="I32" s="169">
        <f t="shared" si="3"/>
        <v>0.99677648450712764</v>
      </c>
      <c r="J32" s="169">
        <f t="shared" si="4"/>
        <v>0.97118701856304124</v>
      </c>
      <c r="K32" s="169">
        <f t="shared" si="5"/>
        <v>0.93741021049863205</v>
      </c>
      <c r="L32" s="169">
        <f t="shared" si="6"/>
        <v>0.90925041424408182</v>
      </c>
      <c r="M32" s="169">
        <f t="shared" si="7"/>
        <v>0.88519736556067186</v>
      </c>
      <c r="N32" s="169"/>
      <c r="O32" s="155">
        <f t="shared" si="8"/>
        <v>70.352140250558634</v>
      </c>
      <c r="P32" s="155">
        <f t="shared" si="9"/>
        <v>125.05379443606552</v>
      </c>
      <c r="Q32" s="155">
        <f t="shared" si="10"/>
        <v>162.90110316960573</v>
      </c>
      <c r="R32" s="155">
        <f t="shared" si="11"/>
        <v>213.26254684686506</v>
      </c>
      <c r="S32" s="155">
        <f t="shared" si="12"/>
        <v>251.5864314193046</v>
      </c>
      <c r="T32" s="155">
        <f t="shared" si="13"/>
        <v>292.4111833238083</v>
      </c>
      <c r="U32" s="159">
        <f t="shared" si="14"/>
        <v>382.03215879051646</v>
      </c>
      <c r="V32" s="159">
        <f t="shared" si="15"/>
        <v>420.62616267646882</v>
      </c>
      <c r="W32" s="159">
        <f t="shared" si="16"/>
        <v>548.8411420291294</v>
      </c>
      <c r="X32" s="148">
        <f t="shared" si="19"/>
        <v>0.12607352201931066</v>
      </c>
      <c r="Y32" s="148">
        <f t="shared" si="20"/>
        <v>0.22517728222750108</v>
      </c>
      <c r="Z32" s="148">
        <f t="shared" si="21"/>
        <v>0.29409367242517176</v>
      </c>
      <c r="AA32" s="148">
        <f t="shared" si="22"/>
        <v>0.38605472460323981</v>
      </c>
      <c r="AB32" s="148">
        <f t="shared" si="23"/>
        <v>0.45618683186438391</v>
      </c>
      <c r="AC32" s="148">
        <f t="shared" si="24"/>
        <v>0.53096887820732708</v>
      </c>
      <c r="AD32" s="148">
        <f t="shared" si="25"/>
        <v>0.69488652060857847</v>
      </c>
      <c r="AE32" s="148">
        <f t="shared" si="26"/>
        <v>0.76547533193166051</v>
      </c>
      <c r="AF32" s="148">
        <f t="shared" si="27"/>
        <v>0.99998178565599427</v>
      </c>
    </row>
    <row r="33" spans="1:32" x14ac:dyDescent="0.2">
      <c r="A33" s="152">
        <v>12.5</v>
      </c>
      <c r="B33" s="155">
        <v>45.019446479735329</v>
      </c>
      <c r="C33" s="155">
        <v>91.072357276111291</v>
      </c>
      <c r="D33" s="155">
        <v>131.76906083681726</v>
      </c>
      <c r="E33" s="155">
        <v>195.6639848985474</v>
      </c>
      <c r="F33" s="155">
        <v>252.78826688800675</v>
      </c>
      <c r="G33" s="155">
        <v>318.61237313056637</v>
      </c>
      <c r="H33" s="169">
        <f t="shared" si="2"/>
        <v>0.99846210598816876</v>
      </c>
      <c r="I33" s="169">
        <f t="shared" si="3"/>
        <v>0.98637493700746015</v>
      </c>
      <c r="J33" s="169">
        <f t="shared" si="4"/>
        <v>0.95587328614669598</v>
      </c>
      <c r="K33" s="169">
        <f t="shared" si="5"/>
        <v>0.91776140498369885</v>
      </c>
      <c r="L33" s="169">
        <f t="shared" si="6"/>
        <v>0.88738394014287036</v>
      </c>
      <c r="M33" s="169">
        <f t="shared" si="7"/>
        <v>0.86160999743742295</v>
      </c>
      <c r="N33" s="169"/>
      <c r="O33" s="155">
        <f t="shared" si="8"/>
        <v>70.41926056437886</v>
      </c>
      <c r="P33" s="155">
        <f t="shared" si="9"/>
        <v>123.93666823460123</v>
      </c>
      <c r="Q33" s="155">
        <f t="shared" si="10"/>
        <v>160.61629429308704</v>
      </c>
      <c r="R33" s="155">
        <f t="shared" si="11"/>
        <v>209.16970065810449</v>
      </c>
      <c r="S33" s="155">
        <f t="shared" si="12"/>
        <v>245.96893422270338</v>
      </c>
      <c r="T33" s="155">
        <f t="shared" si="13"/>
        <v>285.09909920560114</v>
      </c>
      <c r="U33" s="159">
        <f t="shared" si="14"/>
        <v>371.24120020506086</v>
      </c>
      <c r="V33" s="159">
        <f t="shared" si="15"/>
        <v>408.33707606899009</v>
      </c>
      <c r="W33" s="159">
        <f t="shared" si="16"/>
        <v>531.57505293237909</v>
      </c>
      <c r="X33" s="148">
        <f t="shared" si="19"/>
        <v>0.12669426073344375</v>
      </c>
      <c r="Y33" s="148">
        <f t="shared" si="20"/>
        <v>0.22409141640360006</v>
      </c>
      <c r="Z33" s="148">
        <f t="shared" si="21"/>
        <v>0.2911656577164235</v>
      </c>
      <c r="AA33" s="148">
        <f t="shared" si="22"/>
        <v>0.38018902275447258</v>
      </c>
      <c r="AB33" s="148">
        <f t="shared" si="23"/>
        <v>0.44779982907780719</v>
      </c>
      <c r="AC33" s="148">
        <f t="shared" si="24"/>
        <v>0.51975925427646852</v>
      </c>
      <c r="AD33" s="148">
        <f t="shared" si="25"/>
        <v>0.67794602309601959</v>
      </c>
      <c r="AE33" s="148">
        <f t="shared" si="26"/>
        <v>0.74606691487091303</v>
      </c>
      <c r="AF33" s="148">
        <f t="shared" si="27"/>
        <v>0.97237457546535777</v>
      </c>
    </row>
    <row r="34" spans="1:32" x14ac:dyDescent="0.2">
      <c r="A34" s="152">
        <v>13</v>
      </c>
      <c r="B34" s="155">
        <v>45.088788257196796</v>
      </c>
      <c r="C34" s="155">
        <v>90.227803993465372</v>
      </c>
      <c r="D34" s="155">
        <v>129.89289527995152</v>
      </c>
      <c r="E34" s="155">
        <v>191.92769055969327</v>
      </c>
      <c r="F34" s="155">
        <v>247.22845962068189</v>
      </c>
      <c r="G34" s="155">
        <v>310.8263317754857</v>
      </c>
      <c r="H34" s="170">
        <f t="shared" si="2"/>
        <v>1</v>
      </c>
      <c r="I34" s="169">
        <f t="shared" si="3"/>
        <v>0.97722785642357124</v>
      </c>
      <c r="J34" s="169">
        <f t="shared" si="4"/>
        <v>0.94226328904413326</v>
      </c>
      <c r="K34" s="169">
        <f t="shared" si="5"/>
        <v>0.9002363262440557</v>
      </c>
      <c r="L34" s="169">
        <f t="shared" si="6"/>
        <v>0.86786688051011662</v>
      </c>
      <c r="M34" s="169">
        <f t="shared" si="7"/>
        <v>0.84055453431750959</v>
      </c>
      <c r="N34" s="169"/>
      <c r="O34" s="155">
        <f t="shared" si="8"/>
        <v>70.5</v>
      </c>
      <c r="P34" s="155">
        <f t="shared" si="9"/>
        <v>122.95427177989156</v>
      </c>
      <c r="Q34" s="155">
        <f t="shared" si="10"/>
        <v>158.58568272538466</v>
      </c>
      <c r="R34" s="155">
        <f t="shared" si="11"/>
        <v>205.51922675663681</v>
      </c>
      <c r="S34" s="155">
        <f t="shared" si="12"/>
        <v>240.95500160304894</v>
      </c>
      <c r="T34" s="155">
        <f t="shared" si="13"/>
        <v>278.57190563842795</v>
      </c>
      <c r="U34" s="159">
        <f t="shared" si="14"/>
        <v>361.60237189425391</v>
      </c>
      <c r="V34" s="159">
        <f t="shared" si="15"/>
        <v>397.3582663223408</v>
      </c>
      <c r="W34" s="159">
        <f t="shared" si="16"/>
        <v>516.1446270062537</v>
      </c>
      <c r="X34" s="148">
        <f t="shared" si="19"/>
        <v>0.12682733450794098</v>
      </c>
      <c r="Y34" s="148">
        <f t="shared" si="20"/>
        <v>0.22220184601304352</v>
      </c>
      <c r="Z34" s="148">
        <f t="shared" si="21"/>
        <v>0.28728177931662452</v>
      </c>
      <c r="AA34" s="148">
        <f t="shared" si="22"/>
        <v>0.3732200346732672</v>
      </c>
      <c r="AB34" s="148">
        <f t="shared" si="23"/>
        <v>0.43823154224317706</v>
      </c>
      <c r="AC34" s="148">
        <f t="shared" si="24"/>
        <v>0.50730390435962613</v>
      </c>
      <c r="AD34" s="148">
        <f t="shared" si="25"/>
        <v>0.65955921488938329</v>
      </c>
      <c r="AE34" s="148">
        <f t="shared" si="26"/>
        <v>0.72512580815219774</v>
      </c>
      <c r="AF34" s="148">
        <f t="shared" si="27"/>
        <v>0.94294771194476956</v>
      </c>
    </row>
    <row r="35" spans="1:32" x14ac:dyDescent="0.2">
      <c r="A35" s="152">
        <v>13.5</v>
      </c>
      <c r="B35" s="155">
        <v>45.019893264173014</v>
      </c>
      <c r="C35" s="155">
        <v>89.183337675361201</v>
      </c>
      <c r="D35" s="155">
        <v>127.79111704838655</v>
      </c>
      <c r="E35" s="155">
        <v>187.9593800387901</v>
      </c>
      <c r="F35" s="155">
        <v>241.45541499890572</v>
      </c>
      <c r="G35" s="155">
        <v>302.86921503742695</v>
      </c>
      <c r="H35" s="169">
        <f t="shared" si="2"/>
        <v>0.99847201498007021</v>
      </c>
      <c r="I35" s="169">
        <f t="shared" si="3"/>
        <v>0.96591558308905145</v>
      </c>
      <c r="J35" s="169">
        <f t="shared" si="4"/>
        <v>0.9270166624673104</v>
      </c>
      <c r="K35" s="169">
        <f t="shared" si="5"/>
        <v>0.8816229762145954</v>
      </c>
      <c r="L35" s="169">
        <f t="shared" si="6"/>
        <v>0.84760127583566414</v>
      </c>
      <c r="M35" s="169">
        <f t="shared" si="7"/>
        <v>0.81903643925759628</v>
      </c>
      <c r="N35" s="169"/>
      <c r="O35" s="155">
        <f t="shared" si="8"/>
        <v>70.419780786453686</v>
      </c>
      <c r="P35" s="155">
        <f t="shared" si="9"/>
        <v>121.73933362376413</v>
      </c>
      <c r="Q35" s="155">
        <f t="shared" si="10"/>
        <v>156.31088604012271</v>
      </c>
      <c r="R35" s="155">
        <f t="shared" si="11"/>
        <v>201.64206594550024</v>
      </c>
      <c r="S35" s="155">
        <f t="shared" si="12"/>
        <v>235.7487677621821</v>
      </c>
      <c r="T35" s="155">
        <f t="shared" si="13"/>
        <v>271.90129616985485</v>
      </c>
      <c r="U35" s="159">
        <f t="shared" si="14"/>
        <v>351.88985997962948</v>
      </c>
      <c r="V35" s="159">
        <f t="shared" si="15"/>
        <v>386.33580219828968</v>
      </c>
      <c r="W35" s="159">
        <f t="shared" si="16"/>
        <v>500.77030822672452</v>
      </c>
      <c r="X35" s="148">
        <f t="shared" si="19"/>
        <v>0.1268278027078083</v>
      </c>
      <c r="Y35" s="148">
        <f t="shared" si="20"/>
        <v>0.22022424486329012</v>
      </c>
      <c r="Z35" s="148">
        <f t="shared" si="21"/>
        <v>0.28340691188895661</v>
      </c>
      <c r="AA35" s="148">
        <f t="shared" si="22"/>
        <v>0.36644516343192335</v>
      </c>
      <c r="AB35" s="148">
        <f t="shared" si="23"/>
        <v>0.42903339242870792</v>
      </c>
      <c r="AC35" s="148">
        <f t="shared" si="24"/>
        <v>0.49542588162745443</v>
      </c>
      <c r="AD35" s="148">
        <f t="shared" si="25"/>
        <v>0.64214300868649499</v>
      </c>
      <c r="AE35" s="148">
        <f t="shared" si="26"/>
        <v>0.70532466166856744</v>
      </c>
      <c r="AF35" s="148">
        <f t="shared" si="27"/>
        <v>0.9152234417096804</v>
      </c>
    </row>
    <row r="36" spans="1:32" x14ac:dyDescent="0.2">
      <c r="A36" s="152">
        <v>14</v>
      </c>
      <c r="B36" s="155">
        <v>44.914326365235048</v>
      </c>
      <c r="C36" s="155">
        <v>88.128560823809778</v>
      </c>
      <c r="D36" s="155">
        <v>125.71369907393199</v>
      </c>
      <c r="E36" s="155">
        <v>184.08127817419066</v>
      </c>
      <c r="F36" s="155">
        <v>235.83843445509666</v>
      </c>
      <c r="G36" s="155">
        <v>295.14891459356562</v>
      </c>
      <c r="H36" s="169">
        <f t="shared" si="2"/>
        <v>0.99613070346963917</v>
      </c>
      <c r="I36" s="169">
        <f t="shared" si="3"/>
        <v>0.95449163973649631</v>
      </c>
      <c r="J36" s="169">
        <f t="shared" si="4"/>
        <v>0.91194674898890105</v>
      </c>
      <c r="K36" s="169">
        <f t="shared" si="5"/>
        <v>0.86343274964954753</v>
      </c>
      <c r="L36" s="169">
        <f t="shared" si="6"/>
        <v>0.82788351603599997</v>
      </c>
      <c r="M36" s="169">
        <f t="shared" si="7"/>
        <v>0.7981587565100855</v>
      </c>
      <c r="N36" s="169"/>
      <c r="O36" s="155">
        <f t="shared" si="8"/>
        <v>70.296861932156048</v>
      </c>
      <c r="P36" s="155">
        <f t="shared" si="9"/>
        <v>120.51240210769971</v>
      </c>
      <c r="Q36" s="155">
        <f t="shared" si="10"/>
        <v>154.06245494914401</v>
      </c>
      <c r="R36" s="155">
        <f t="shared" si="11"/>
        <v>197.85304175200076</v>
      </c>
      <c r="S36" s="155">
        <f t="shared" si="12"/>
        <v>230.68327526964836</v>
      </c>
      <c r="T36" s="155">
        <f t="shared" si="13"/>
        <v>265.42921451812651</v>
      </c>
      <c r="U36" s="159">
        <f t="shared" si="14"/>
        <v>342.49501213986241</v>
      </c>
      <c r="V36" s="159">
        <f t="shared" si="15"/>
        <v>375.68230649141918</v>
      </c>
      <c r="W36" s="159">
        <f t="shared" si="16"/>
        <v>485.93539846471185</v>
      </c>
      <c r="X36" s="148">
        <f t="shared" si="19"/>
        <v>0.12664497844674877</v>
      </c>
      <c r="Y36" s="148">
        <f t="shared" si="20"/>
        <v>0.21802656215831745</v>
      </c>
      <c r="Z36" s="148">
        <f t="shared" si="21"/>
        <v>0.27933600689033999</v>
      </c>
      <c r="AA36" s="148">
        <f t="shared" si="22"/>
        <v>0.3595455969277509</v>
      </c>
      <c r="AB36" s="148">
        <f t="shared" si="23"/>
        <v>0.41978883872864742</v>
      </c>
      <c r="AC36" s="148">
        <f t="shared" si="24"/>
        <v>0.48359745961918321</v>
      </c>
      <c r="AD36" s="148">
        <f t="shared" si="25"/>
        <v>0.62494638490754273</v>
      </c>
      <c r="AE36" s="148">
        <f t="shared" si="26"/>
        <v>0.68581629782073805</v>
      </c>
      <c r="AF36" s="148">
        <f t="shared" si="27"/>
        <v>0.88803513602229267</v>
      </c>
    </row>
    <row r="37" spans="1:32" x14ac:dyDescent="0.2">
      <c r="A37" s="152">
        <v>14.5</v>
      </c>
      <c r="B37" s="155">
        <v>44.341970508843282</v>
      </c>
      <c r="C37" s="155">
        <v>86.277172655535338</v>
      </c>
      <c r="D37" s="155">
        <v>122.58840216069281</v>
      </c>
      <c r="E37" s="155">
        <v>178.80582672773104</v>
      </c>
      <c r="F37" s="155">
        <v>228.54284169429334</v>
      </c>
      <c r="G37" s="155">
        <v>285.45105052496967</v>
      </c>
      <c r="H37" s="169">
        <f t="shared" si="2"/>
        <v>0.98343673056606684</v>
      </c>
      <c r="I37" s="169">
        <f t="shared" si="3"/>
        <v>0.93443985956436859</v>
      </c>
      <c r="J37" s="169">
        <f t="shared" si="4"/>
        <v>0.88927535851476214</v>
      </c>
      <c r="K37" s="169">
        <f t="shared" si="5"/>
        <v>0.83868825855714513</v>
      </c>
      <c r="L37" s="169">
        <f t="shared" si="6"/>
        <v>0.80227318241783552</v>
      </c>
      <c r="M37" s="169">
        <f t="shared" si="7"/>
        <v>0.7719332318915948</v>
      </c>
      <c r="N37" s="169"/>
      <c r="O37" s="155">
        <f t="shared" si="8"/>
        <v>69.630428354718504</v>
      </c>
      <c r="P37" s="155">
        <f t="shared" si="9"/>
        <v>118.35884091721319</v>
      </c>
      <c r="Q37" s="155">
        <f t="shared" si="10"/>
        <v>150.67988349040249</v>
      </c>
      <c r="R37" s="155">
        <f t="shared" si="11"/>
        <v>192.69876425745335</v>
      </c>
      <c r="S37" s="155">
        <f t="shared" si="12"/>
        <v>224.10398056314193</v>
      </c>
      <c r="T37" s="155">
        <f t="shared" si="13"/>
        <v>257.29930188639435</v>
      </c>
      <c r="U37" s="159">
        <f t="shared" si="14"/>
        <v>331.0799394164207</v>
      </c>
      <c r="V37" s="159">
        <f t="shared" si="15"/>
        <v>362.85252609842632</v>
      </c>
      <c r="W37" s="159">
        <f t="shared" si="16"/>
        <v>468.40575031045819</v>
      </c>
      <c r="X37" s="148">
        <f t="shared" si="19"/>
        <v>0.12593456125818708</v>
      </c>
      <c r="Y37" s="148">
        <f t="shared" si="20"/>
        <v>0.2149841187224216</v>
      </c>
      <c r="Z37" s="148">
        <f t="shared" si="21"/>
        <v>0.27426810459559187</v>
      </c>
      <c r="AA37" s="148">
        <f t="shared" si="22"/>
        <v>0.35149662540850873</v>
      </c>
      <c r="AB37" s="148">
        <f t="shared" si="23"/>
        <v>0.40930853024951125</v>
      </c>
      <c r="AC37" s="148">
        <f t="shared" si="24"/>
        <v>0.47045566476406875</v>
      </c>
      <c r="AD37" s="148">
        <f t="shared" si="25"/>
        <v>0.60621745640065483</v>
      </c>
      <c r="AE37" s="148">
        <f t="shared" si="26"/>
        <v>0.66468134933086098</v>
      </c>
      <c r="AF37" s="148">
        <f t="shared" si="27"/>
        <v>0.85890703389765299</v>
      </c>
    </row>
    <row r="38" spans="1:32" x14ac:dyDescent="0.2">
      <c r="A38" s="152">
        <v>15</v>
      </c>
      <c r="B38" s="155">
        <v>43.707299587933484</v>
      </c>
      <c r="C38" s="155">
        <v>84.340249796494732</v>
      </c>
      <c r="D38" s="155">
        <v>119.36394541263658</v>
      </c>
      <c r="E38" s="155">
        <v>173.41661573362146</v>
      </c>
      <c r="F38" s="155">
        <v>221.12445163858249</v>
      </c>
      <c r="G38" s="155">
        <v>275.62262175522864</v>
      </c>
      <c r="H38" s="169">
        <f t="shared" si="2"/>
        <v>0.96936070534025032</v>
      </c>
      <c r="I38" s="169">
        <f t="shared" si="3"/>
        <v>0.91346168111135928</v>
      </c>
      <c r="J38" s="169">
        <f t="shared" si="4"/>
        <v>0.86588464715787261</v>
      </c>
      <c r="K38" s="169">
        <f t="shared" si="5"/>
        <v>0.8134101786066007</v>
      </c>
      <c r="L38" s="169">
        <f t="shared" si="6"/>
        <v>0.77623178311479801</v>
      </c>
      <c r="M38" s="169">
        <f t="shared" si="7"/>
        <v>0.74535462666071695</v>
      </c>
      <c r="N38" s="169"/>
      <c r="O38" s="155">
        <f t="shared" si="8"/>
        <v>68.891437030363136</v>
      </c>
      <c r="P38" s="155">
        <f t="shared" si="9"/>
        <v>116.10578455135999</v>
      </c>
      <c r="Q38" s="155">
        <f t="shared" si="10"/>
        <v>147.18998935595459</v>
      </c>
      <c r="R38" s="155">
        <f t="shared" si="11"/>
        <v>187.43334020375494</v>
      </c>
      <c r="S38" s="155">
        <f t="shared" si="12"/>
        <v>217.41394508219159</v>
      </c>
      <c r="T38" s="155">
        <f t="shared" si="13"/>
        <v>249.05993426482226</v>
      </c>
      <c r="U38" s="159">
        <f t="shared" si="14"/>
        <v>319.55393614175864</v>
      </c>
      <c r="V38" s="159">
        <f t="shared" si="15"/>
        <v>349.91117972460125</v>
      </c>
      <c r="W38" s="159">
        <f t="shared" si="16"/>
        <v>450.76242518438022</v>
      </c>
      <c r="X38" s="148">
        <f t="shared" si="19"/>
        <v>0.12466967884657347</v>
      </c>
      <c r="Y38" s="148">
        <f t="shared" si="20"/>
        <v>0.21101816292171585</v>
      </c>
      <c r="Z38" s="148">
        <f t="shared" si="21"/>
        <v>0.26808288556172138</v>
      </c>
      <c r="AA38" s="148">
        <f t="shared" si="22"/>
        <v>0.34211889401508749</v>
      </c>
      <c r="AB38" s="148">
        <f t="shared" si="23"/>
        <v>0.39736613308080021</v>
      </c>
      <c r="AC38" s="148">
        <f t="shared" si="24"/>
        <v>0.45572331253609488</v>
      </c>
      <c r="AD38" s="148">
        <f t="shared" si="25"/>
        <v>0.58557048800236144</v>
      </c>
      <c r="AE38" s="148">
        <f t="shared" si="26"/>
        <v>0.64148733524072477</v>
      </c>
      <c r="AF38" s="148">
        <f t="shared" si="27"/>
        <v>0.82725135794535454</v>
      </c>
    </row>
    <row r="39" spans="1:32" x14ac:dyDescent="0.2">
      <c r="A39" s="152">
        <v>15.5</v>
      </c>
      <c r="B39" s="155">
        <v>43.002422048354234</v>
      </c>
      <c r="C39" s="155">
        <v>82.397872727464772</v>
      </c>
      <c r="D39" s="155">
        <v>116.23206179870429</v>
      </c>
      <c r="E39" s="155">
        <v>168.32045431107099</v>
      </c>
      <c r="F39" s="155">
        <v>214.21112174742342</v>
      </c>
      <c r="G39" s="155">
        <v>266.57040414883625</v>
      </c>
      <c r="H39" s="169">
        <f t="shared" si="2"/>
        <v>0.95372760525429401</v>
      </c>
      <c r="I39" s="169">
        <f t="shared" si="3"/>
        <v>0.89242442989252302</v>
      </c>
      <c r="J39" s="169">
        <f t="shared" si="4"/>
        <v>0.8431654757312369</v>
      </c>
      <c r="K39" s="169">
        <f t="shared" si="5"/>
        <v>0.78950664689835748</v>
      </c>
      <c r="L39" s="169">
        <f t="shared" si="6"/>
        <v>0.75196333903767587</v>
      </c>
      <c r="M39" s="169">
        <f t="shared" si="7"/>
        <v>0.72087509652818649</v>
      </c>
      <c r="N39" s="169"/>
      <c r="O39" s="155">
        <f t="shared" si="8"/>
        <v>68.070699275850444</v>
      </c>
      <c r="P39" s="155">
        <f t="shared" si="9"/>
        <v>113.84638377045698</v>
      </c>
      <c r="Q39" s="155">
        <f t="shared" si="10"/>
        <v>143.80028897910054</v>
      </c>
      <c r="R39" s="155">
        <f t="shared" si="11"/>
        <v>182.45423454892787</v>
      </c>
      <c r="S39" s="155">
        <f t="shared" si="12"/>
        <v>211.17938179877891</v>
      </c>
      <c r="T39" s="155">
        <f t="shared" si="13"/>
        <v>241.47127992373782</v>
      </c>
      <c r="U39" s="159">
        <f t="shared" si="14"/>
        <v>309.0596056574268</v>
      </c>
      <c r="V39" s="159">
        <f t="shared" si="15"/>
        <v>338.16556095892872</v>
      </c>
      <c r="W39" s="159">
        <f t="shared" si="16"/>
        <v>434.85984199411962</v>
      </c>
      <c r="X39" s="148">
        <f t="shared" si="19"/>
        <v>0.12326592267559222</v>
      </c>
      <c r="Y39" s="148">
        <f t="shared" si="20"/>
        <v>0.20695695148963528</v>
      </c>
      <c r="Z39" s="148">
        <f t="shared" si="21"/>
        <v>0.2618912505015496</v>
      </c>
      <c r="AA39" s="148">
        <f t="shared" si="22"/>
        <v>0.33289881727741449</v>
      </c>
      <c r="AB39" s="148">
        <f t="shared" si="23"/>
        <v>0.38573399419287341</v>
      </c>
      <c r="AC39" s="148">
        <f t="shared" si="24"/>
        <v>0.44147809276970401</v>
      </c>
      <c r="AD39" s="148">
        <f t="shared" si="25"/>
        <v>0.56575218761926693</v>
      </c>
      <c r="AE39" s="148">
        <f t="shared" si="26"/>
        <v>0.619269066615177</v>
      </c>
      <c r="AF39" s="148">
        <f t="shared" si="27"/>
        <v>0.79706004046064993</v>
      </c>
    </row>
    <row r="40" spans="1:32" x14ac:dyDescent="0.2">
      <c r="A40" s="152">
        <v>16</v>
      </c>
      <c r="B40" s="155">
        <v>42.257834579115404</v>
      </c>
      <c r="C40" s="155">
        <v>80.429947035057623</v>
      </c>
      <c r="D40" s="155">
        <v>113.09889087731199</v>
      </c>
      <c r="E40" s="155">
        <v>163.27345358155949</v>
      </c>
      <c r="F40" s="155">
        <v>207.40014964387697</v>
      </c>
      <c r="G40" s="155">
        <v>257.68803399123459</v>
      </c>
      <c r="H40" s="169">
        <f t="shared" si="2"/>
        <v>0.93721379998209353</v>
      </c>
      <c r="I40" s="169">
        <f t="shared" si="3"/>
        <v>0.8711104698837967</v>
      </c>
      <c r="J40" s="169">
        <f t="shared" si="4"/>
        <v>0.82043696597582905</v>
      </c>
      <c r="K40" s="169">
        <f t="shared" si="5"/>
        <v>0.76583370329112233</v>
      </c>
      <c r="L40" s="169">
        <f t="shared" si="6"/>
        <v>0.72805421012179194</v>
      </c>
      <c r="M40" s="169">
        <f t="shared" si="7"/>
        <v>0.69685487768504328</v>
      </c>
      <c r="N40" s="169"/>
      <c r="O40" s="155">
        <f t="shared" si="8"/>
        <v>67.203724499059916</v>
      </c>
      <c r="P40" s="155">
        <f t="shared" si="9"/>
        <v>111.55726446551976</v>
      </c>
      <c r="Q40" s="155">
        <f t="shared" si="10"/>
        <v>140.40919532359368</v>
      </c>
      <c r="R40" s="155">
        <f t="shared" si="11"/>
        <v>177.5231603955408</v>
      </c>
      <c r="S40" s="155">
        <f t="shared" si="12"/>
        <v>205.03712658028834</v>
      </c>
      <c r="T40" s="155">
        <f t="shared" si="13"/>
        <v>234.02501208236342</v>
      </c>
      <c r="U40" s="159">
        <f t="shared" si="14"/>
        <v>298.80715727943209</v>
      </c>
      <c r="V40" s="159">
        <f t="shared" si="15"/>
        <v>326.70467067354548</v>
      </c>
      <c r="W40" s="159">
        <f t="shared" si="16"/>
        <v>419.38432926472751</v>
      </c>
      <c r="X40" s="148">
        <f t="shared" si="19"/>
        <v>0.12174698139741932</v>
      </c>
      <c r="Y40" s="148">
        <f t="shared" si="20"/>
        <v>0.20286328341237905</v>
      </c>
      <c r="Z40" s="148">
        <f t="shared" si="21"/>
        <v>0.25578853587242484</v>
      </c>
      <c r="AA40" s="148">
        <f t="shared" si="22"/>
        <v>0.32397965545002178</v>
      </c>
      <c r="AB40" s="148">
        <f t="shared" si="23"/>
        <v>0.37459485754116051</v>
      </c>
      <c r="AC40" s="148">
        <f t="shared" si="24"/>
        <v>0.42794666280549115</v>
      </c>
      <c r="AD40" s="148">
        <f t="shared" si="25"/>
        <v>0.54708008664317298</v>
      </c>
      <c r="AE40" s="148">
        <f t="shared" si="26"/>
        <v>0.59838320846922677</v>
      </c>
      <c r="AF40" s="148">
        <f t="shared" si="27"/>
        <v>0.76881975413296244</v>
      </c>
    </row>
    <row r="41" spans="1:32" x14ac:dyDescent="0.2">
      <c r="A41" s="152">
        <v>16.5</v>
      </c>
      <c r="B41" s="155">
        <v>41.187245422198188</v>
      </c>
      <c r="C41" s="155">
        <v>77.928908017414344</v>
      </c>
      <c r="D41" s="155">
        <v>109.27815356010859</v>
      </c>
      <c r="E41" s="155">
        <v>157.32701743118395</v>
      </c>
      <c r="F41" s="155">
        <v>199.520715746147</v>
      </c>
      <c r="G41" s="155">
        <v>247.55826709166706</v>
      </c>
      <c r="H41" s="169">
        <f t="shared" si="2"/>
        <v>0.91346977850140232</v>
      </c>
      <c r="I41" s="169">
        <f t="shared" si="3"/>
        <v>0.84402253368377278</v>
      </c>
      <c r="J41" s="169">
        <f t="shared" si="4"/>
        <v>0.79272074251862967</v>
      </c>
      <c r="K41" s="169">
        <f t="shared" si="5"/>
        <v>0.73794196021513314</v>
      </c>
      <c r="L41" s="169">
        <f t="shared" si="6"/>
        <v>0.70039436979636804</v>
      </c>
      <c r="M41" s="169">
        <f t="shared" si="7"/>
        <v>0.66946137646404269</v>
      </c>
      <c r="N41" s="169"/>
      <c r="O41" s="155">
        <f t="shared" si="8"/>
        <v>65.957163371323617</v>
      </c>
      <c r="P41" s="155">
        <f t="shared" si="9"/>
        <v>108.6480201176372</v>
      </c>
      <c r="Q41" s="155">
        <f t="shared" si="10"/>
        <v>136.27393478377954</v>
      </c>
      <c r="R41" s="155">
        <f t="shared" si="11"/>
        <v>171.71331031281224</v>
      </c>
      <c r="S41" s="155">
        <f t="shared" si="12"/>
        <v>197.93131360068693</v>
      </c>
      <c r="T41" s="155">
        <f t="shared" si="13"/>
        <v>225.53302670385324</v>
      </c>
      <c r="U41" s="159">
        <f t="shared" si="14"/>
        <v>287.30031831254422</v>
      </c>
      <c r="V41" s="159">
        <f t="shared" si="15"/>
        <v>313.89952770472621</v>
      </c>
      <c r="W41" s="159">
        <f t="shared" si="16"/>
        <v>402.26602870559918</v>
      </c>
      <c r="X41" s="148">
        <f t="shared" si="19"/>
        <v>0.11984479908334518</v>
      </c>
      <c r="Y41" s="148">
        <f t="shared" si="20"/>
        <v>0.19818475612484127</v>
      </c>
      <c r="Z41" s="148">
        <f t="shared" si="21"/>
        <v>0.24901481709663592</v>
      </c>
      <c r="AA41" s="148">
        <f t="shared" si="22"/>
        <v>0.31431282363751778</v>
      </c>
      <c r="AB41" s="148">
        <f t="shared" si="23"/>
        <v>0.36267159616287775</v>
      </c>
      <c r="AC41" s="148">
        <f t="shared" si="24"/>
        <v>0.41360223490759501</v>
      </c>
      <c r="AD41" s="148">
        <f t="shared" si="25"/>
        <v>0.52749672803277858</v>
      </c>
      <c r="AE41" s="148">
        <f t="shared" si="26"/>
        <v>0.57654377854044447</v>
      </c>
      <c r="AF41" s="148">
        <f t="shared" si="27"/>
        <v>0.73948532217329399</v>
      </c>
    </row>
    <row r="42" spans="1:32" x14ac:dyDescent="0.2">
      <c r="A42" s="152">
        <v>17</v>
      </c>
      <c r="B42" s="155">
        <v>40.11140200470728</v>
      </c>
      <c r="C42" s="155">
        <v>75.4607742038948</v>
      </c>
      <c r="D42" s="155">
        <v>105.536105507469</v>
      </c>
      <c r="E42" s="155">
        <v>151.54464804158584</v>
      </c>
      <c r="F42" s="155">
        <v>191.89101721863196</v>
      </c>
      <c r="G42" s="155">
        <v>237.78448539179112</v>
      </c>
      <c r="H42" s="169">
        <f t="shared" si="2"/>
        <v>0.88960922559955791</v>
      </c>
      <c r="I42" s="169">
        <f t="shared" si="3"/>
        <v>0.81729098299539604</v>
      </c>
      <c r="J42" s="169">
        <f t="shared" si="4"/>
        <v>0.76557534323992416</v>
      </c>
      <c r="K42" s="169">
        <f t="shared" si="5"/>
        <v>0.71081977184774447</v>
      </c>
      <c r="L42" s="169">
        <f t="shared" si="6"/>
        <v>0.67361119657081603</v>
      </c>
      <c r="M42" s="169">
        <f t="shared" si="7"/>
        <v>0.64303055099847584</v>
      </c>
      <c r="N42" s="169"/>
      <c r="O42" s="155">
        <f t="shared" si="8"/>
        <v>64.704484343976787</v>
      </c>
      <c r="P42" s="155">
        <f t="shared" si="9"/>
        <v>105.77705157370553</v>
      </c>
      <c r="Q42" s="155">
        <f t="shared" si="10"/>
        <v>132.22384121139669</v>
      </c>
      <c r="R42" s="155">
        <f t="shared" si="11"/>
        <v>166.06375847588518</v>
      </c>
      <c r="S42" s="155">
        <f t="shared" si="12"/>
        <v>191.05071639904261</v>
      </c>
      <c r="T42" s="155">
        <f t="shared" si="13"/>
        <v>217.33947080952751</v>
      </c>
      <c r="U42" s="159">
        <f t="shared" si="14"/>
        <v>276.23948649143404</v>
      </c>
      <c r="V42" s="159">
        <f t="shared" si="15"/>
        <v>301.60394411167704</v>
      </c>
      <c r="W42" s="159">
        <f t="shared" si="16"/>
        <v>385.86841741382653</v>
      </c>
      <c r="X42" s="148">
        <f t="shared" ref="X42:X76" si="28">(O42+O41)*($A42-$A41)/2*(3600/1000000)</f>
        <v>0.11759548294377035</v>
      </c>
      <c r="Y42" s="148">
        <f t="shared" ref="Y42:Y76" si="29">(P42+P41)*($A42-$A41)/2*(3600/1000000)</f>
        <v>0.19298256452220847</v>
      </c>
      <c r="Z42" s="148">
        <f t="shared" ref="Z42:Z76" si="30">(Q42+Q41)*($A42-$A41)/2*(3600/1000000)</f>
        <v>0.24164799839565856</v>
      </c>
      <c r="AA42" s="148">
        <f t="shared" ref="AA42:AA76" si="31">(R42+R41)*($A42-$A41)/2*(3600/1000000)</f>
        <v>0.30399936190982768</v>
      </c>
      <c r="AB42" s="148">
        <f t="shared" ref="AB42:AB76" si="32">(S42+S41)*($A42-$A41)/2*(3600/1000000)</f>
        <v>0.3500838269997566</v>
      </c>
      <c r="AC42" s="148">
        <f t="shared" ref="AC42:AC76" si="33">(T42+T41)*($A42-$A41)/2*(3600/1000000)</f>
        <v>0.39858524776204263</v>
      </c>
      <c r="AD42" s="148">
        <f t="shared" ref="AD42:AD105" si="34">(U42+U41)*($A42-$A41)/2*(3600/1000000)</f>
        <v>0.5071858243235805</v>
      </c>
      <c r="AE42" s="148">
        <f t="shared" ref="AE42:AE105" si="35">(V42+V41)*($A42-$A41)/2*(3600/1000000)</f>
        <v>0.55395312463476287</v>
      </c>
      <c r="AF42" s="148">
        <f t="shared" ref="AF42:AF76" si="36">(W42+W41)*($A42-$A41)/2*(3600/1000000)</f>
        <v>0.70932100150748323</v>
      </c>
    </row>
    <row r="43" spans="1:32" x14ac:dyDescent="0.2">
      <c r="A43" s="152">
        <v>17.5</v>
      </c>
      <c r="B43" s="156">
        <v>39.07678869805796</v>
      </c>
      <c r="C43" s="156">
        <v>73.126492407246559</v>
      </c>
      <c r="D43" s="156">
        <v>102.0173941302005</v>
      </c>
      <c r="E43" s="156">
        <v>146.13327628628534</v>
      </c>
      <c r="F43" s="156">
        <v>184.76839456415445</v>
      </c>
      <c r="G43" s="156">
        <v>228.67713781494726</v>
      </c>
      <c r="H43" s="169">
        <f t="shared" si="2"/>
        <v>0.86666309316531176</v>
      </c>
      <c r="I43" s="169">
        <f t="shared" si="3"/>
        <v>0.79200913975567444</v>
      </c>
      <c r="J43" s="169">
        <f t="shared" si="4"/>
        <v>0.74005006298193787</v>
      </c>
      <c r="K43" s="169">
        <f t="shared" si="5"/>
        <v>0.68543774690529646</v>
      </c>
      <c r="L43" s="169">
        <f t="shared" si="6"/>
        <v>0.64860805448241643</v>
      </c>
      <c r="M43" s="169">
        <f t="shared" si="7"/>
        <v>0.61840193521295361</v>
      </c>
      <c r="N43" s="169"/>
      <c r="O43" s="155">
        <f t="shared" si="8"/>
        <v>63.499812391178864</v>
      </c>
      <c r="P43" s="155">
        <f t="shared" si="9"/>
        <v>103.06178160975944</v>
      </c>
      <c r="Q43" s="155">
        <f t="shared" si="10"/>
        <v>128.41546939690511</v>
      </c>
      <c r="R43" s="155">
        <f t="shared" si="11"/>
        <v>160.77668268037326</v>
      </c>
      <c r="S43" s="155">
        <f t="shared" si="12"/>
        <v>184.62740919653277</v>
      </c>
      <c r="T43" s="155">
        <f t="shared" si="13"/>
        <v>209.70459991601561</v>
      </c>
      <c r="U43" s="159">
        <f t="shared" si="14"/>
        <v>265.95667823524008</v>
      </c>
      <c r="V43" s="159">
        <f t="shared" si="15"/>
        <v>290.18083912993501</v>
      </c>
      <c r="W43" s="159">
        <f t="shared" si="16"/>
        <v>370.65707834385444</v>
      </c>
      <c r="X43" s="148">
        <f t="shared" si="28"/>
        <v>0.11538386706164008</v>
      </c>
      <c r="Y43" s="148">
        <f t="shared" si="29"/>
        <v>0.18795494986511846</v>
      </c>
      <c r="Z43" s="148">
        <f t="shared" si="30"/>
        <v>0.23457537954747162</v>
      </c>
      <c r="AA43" s="148">
        <f t="shared" si="31"/>
        <v>0.29415639704063257</v>
      </c>
      <c r="AB43" s="148">
        <f t="shared" si="32"/>
        <v>0.3381103130360178</v>
      </c>
      <c r="AC43" s="148">
        <f t="shared" si="33"/>
        <v>0.38433966365298877</v>
      </c>
      <c r="AD43" s="148">
        <f t="shared" si="34"/>
        <v>0.48797654825400671</v>
      </c>
      <c r="AE43" s="148">
        <f t="shared" si="35"/>
        <v>0.53260630491745087</v>
      </c>
      <c r="AF43" s="148">
        <f t="shared" si="36"/>
        <v>0.68087294618191285</v>
      </c>
    </row>
    <row r="44" spans="1:32" x14ac:dyDescent="0.2">
      <c r="A44" s="152">
        <v>18</v>
      </c>
      <c r="B44" s="156">
        <v>38.111941120895573</v>
      </c>
      <c r="C44" s="156">
        <v>70.982380056913229</v>
      </c>
      <c r="D44" s="156">
        <v>98.808515526626223</v>
      </c>
      <c r="E44" s="156">
        <v>141.23440675024079</v>
      </c>
      <c r="F44" s="156">
        <v>178.34972620405557</v>
      </c>
      <c r="G44" s="156">
        <v>220.50266819660487</v>
      </c>
      <c r="H44" s="169">
        <f t="shared" si="2"/>
        <v>0.84526425734699973</v>
      </c>
      <c r="I44" s="169">
        <f t="shared" si="3"/>
        <v>0.76878695963701282</v>
      </c>
      <c r="J44" s="169">
        <f t="shared" si="4"/>
        <v>0.71677235791092053</v>
      </c>
      <c r="K44" s="169">
        <f t="shared" si="5"/>
        <v>0.66245961227023176</v>
      </c>
      <c r="L44" s="169">
        <f t="shared" si="6"/>
        <v>0.62607606243241209</v>
      </c>
      <c r="M44" s="169">
        <f t="shared" si="7"/>
        <v>0.59629606192966478</v>
      </c>
      <c r="N44" s="169"/>
      <c r="O44" s="155">
        <f t="shared" si="8"/>
        <v>62.376373510717485</v>
      </c>
      <c r="P44" s="155">
        <f t="shared" si="9"/>
        <v>100.56771946501519</v>
      </c>
      <c r="Q44" s="155">
        <f t="shared" si="10"/>
        <v>124.94243580030934</v>
      </c>
      <c r="R44" s="155">
        <f t="shared" si="11"/>
        <v>155.99033723588929</v>
      </c>
      <c r="S44" s="155">
        <f t="shared" si="12"/>
        <v>178.83894043888665</v>
      </c>
      <c r="T44" s="155">
        <f t="shared" si="13"/>
        <v>202.85177919819608</v>
      </c>
      <c r="U44" s="159">
        <f t="shared" si="14"/>
        <v>256.76504482953374</v>
      </c>
      <c r="V44" s="159">
        <f t="shared" si="15"/>
        <v>279.98202916210397</v>
      </c>
      <c r="W44" s="159">
        <f t="shared" si="16"/>
        <v>357.1122791260118</v>
      </c>
      <c r="X44" s="148">
        <f t="shared" si="28"/>
        <v>0.11328856731170671</v>
      </c>
      <c r="Y44" s="148">
        <f t="shared" si="29"/>
        <v>0.18326655096729716</v>
      </c>
      <c r="Z44" s="148">
        <f t="shared" si="30"/>
        <v>0.228022114677493</v>
      </c>
      <c r="AA44" s="148">
        <f t="shared" si="31"/>
        <v>0.28509031792463629</v>
      </c>
      <c r="AB44" s="148">
        <f t="shared" si="32"/>
        <v>0.32711971467187745</v>
      </c>
      <c r="AC44" s="148">
        <f t="shared" si="33"/>
        <v>0.37130074120279055</v>
      </c>
      <c r="AD44" s="148">
        <f t="shared" si="34"/>
        <v>0.47044955075829648</v>
      </c>
      <c r="AE44" s="148">
        <f t="shared" si="35"/>
        <v>0.51314658146283509</v>
      </c>
      <c r="AF44" s="148">
        <f t="shared" si="36"/>
        <v>0.65499242172287964</v>
      </c>
    </row>
    <row r="45" spans="1:32" x14ac:dyDescent="0.2">
      <c r="A45" s="152">
        <v>18.5</v>
      </c>
      <c r="B45" s="156">
        <v>36.918443302534342</v>
      </c>
      <c r="C45" s="156">
        <v>68.455485887986313</v>
      </c>
      <c r="D45" s="156">
        <v>95.094291750535973</v>
      </c>
      <c r="E45" s="156">
        <v>135.65111911589145</v>
      </c>
      <c r="F45" s="156">
        <v>171.09467523972924</v>
      </c>
      <c r="G45" s="156">
        <v>211.32243992926891</v>
      </c>
      <c r="H45" s="169">
        <f t="shared" si="2"/>
        <v>0.8187943107262734</v>
      </c>
      <c r="I45" s="169">
        <f t="shared" si="3"/>
        <v>0.74141899474352491</v>
      </c>
      <c r="J45" s="169">
        <f t="shared" si="4"/>
        <v>0.68982880026704918</v>
      </c>
      <c r="K45" s="169">
        <f t="shared" si="5"/>
        <v>0.6362712163506381</v>
      </c>
      <c r="L45" s="169">
        <f t="shared" si="6"/>
        <v>0.60060804609637908</v>
      </c>
      <c r="M45" s="169">
        <f t="shared" si="7"/>
        <v>0.57147035796790147</v>
      </c>
      <c r="N45" s="169"/>
      <c r="O45" s="155">
        <f t="shared" si="8"/>
        <v>60.986701313129352</v>
      </c>
      <c r="P45" s="155">
        <f t="shared" si="9"/>
        <v>97.628400035454575</v>
      </c>
      <c r="Q45" s="155">
        <f t="shared" si="10"/>
        <v>120.92245699984373</v>
      </c>
      <c r="R45" s="155">
        <f t="shared" si="11"/>
        <v>150.53529436583793</v>
      </c>
      <c r="S45" s="155">
        <f t="shared" si="12"/>
        <v>172.29620704215978</v>
      </c>
      <c r="T45" s="155">
        <f t="shared" si="13"/>
        <v>195.15581097004946</v>
      </c>
      <c r="U45" s="159">
        <f t="shared" si="14"/>
        <v>246.52529191743182</v>
      </c>
      <c r="V45" s="159">
        <f t="shared" si="15"/>
        <v>268.64683140055314</v>
      </c>
      <c r="W45" s="159">
        <f t="shared" si="16"/>
        <v>342.13785183105682</v>
      </c>
      <c r="X45" s="148">
        <f t="shared" si="28"/>
        <v>0.11102676734146215</v>
      </c>
      <c r="Y45" s="148">
        <f t="shared" si="29"/>
        <v>0.17837650755042278</v>
      </c>
      <c r="Z45" s="148">
        <f t="shared" si="30"/>
        <v>0.22127840352013778</v>
      </c>
      <c r="AA45" s="148">
        <f t="shared" si="31"/>
        <v>0.27587306844155451</v>
      </c>
      <c r="AB45" s="148">
        <f t="shared" si="32"/>
        <v>0.31602163273294176</v>
      </c>
      <c r="AC45" s="148">
        <f t="shared" si="33"/>
        <v>0.35820683115142099</v>
      </c>
      <c r="AD45" s="148">
        <f t="shared" si="34"/>
        <v>0.45296130307226895</v>
      </c>
      <c r="AE45" s="148">
        <f t="shared" si="35"/>
        <v>0.49376597450639137</v>
      </c>
      <c r="AF45" s="148">
        <f t="shared" si="36"/>
        <v>0.6293251178613618</v>
      </c>
    </row>
    <row r="46" spans="1:32" x14ac:dyDescent="0.2">
      <c r="A46" s="152">
        <v>19</v>
      </c>
      <c r="B46" s="156">
        <v>35.773030317042988</v>
      </c>
      <c r="C46" s="156">
        <v>66.03646808611505</v>
      </c>
      <c r="D46" s="156">
        <v>91.54110389770463</v>
      </c>
      <c r="E46" s="156">
        <v>130.31207264011687</v>
      </c>
      <c r="F46" s="156">
        <v>164.15769074722462</v>
      </c>
      <c r="G46" s="156">
        <v>202.5445920679619</v>
      </c>
      <c r="H46" s="169">
        <f t="shared" si="2"/>
        <v>0.79339081176866877</v>
      </c>
      <c r="I46" s="169">
        <f t="shared" si="3"/>
        <v>0.71521940352500968</v>
      </c>
      <c r="J46" s="169">
        <f t="shared" si="4"/>
        <v>0.66405342228671649</v>
      </c>
      <c r="K46" s="169">
        <f t="shared" si="5"/>
        <v>0.61122843294100448</v>
      </c>
      <c r="L46" s="169">
        <f t="shared" si="6"/>
        <v>0.5762565652802385</v>
      </c>
      <c r="M46" s="169">
        <f t="shared" si="7"/>
        <v>0.54773279436051614</v>
      </c>
      <c r="N46" s="169"/>
      <c r="O46" s="155">
        <f t="shared" si="8"/>
        <v>59.653017617855113</v>
      </c>
      <c r="P46" s="155">
        <f t="shared" si="9"/>
        <v>94.814563938586048</v>
      </c>
      <c r="Q46" s="155">
        <f t="shared" si="10"/>
        <v>117.0767706051781</v>
      </c>
      <c r="R46" s="155">
        <f t="shared" si="11"/>
        <v>145.31888258161123</v>
      </c>
      <c r="S46" s="155">
        <f t="shared" si="12"/>
        <v>166.04031162049327</v>
      </c>
      <c r="T46" s="155">
        <f t="shared" si="13"/>
        <v>187.79716625175999</v>
      </c>
      <c r="U46" s="159">
        <f t="shared" si="14"/>
        <v>236.73568003919468</v>
      </c>
      <c r="V46" s="159">
        <f t="shared" si="15"/>
        <v>257.81035794187608</v>
      </c>
      <c r="W46" s="159">
        <f t="shared" si="16"/>
        <v>327.82354963199214</v>
      </c>
      <c r="X46" s="148">
        <f t="shared" si="28"/>
        <v>0.10857574703788601</v>
      </c>
      <c r="Y46" s="148">
        <f t="shared" si="29"/>
        <v>0.17319866757663654</v>
      </c>
      <c r="Z46" s="148">
        <f t="shared" si="30"/>
        <v>0.21419930484451963</v>
      </c>
      <c r="AA46" s="148">
        <f t="shared" si="31"/>
        <v>0.26626875925270421</v>
      </c>
      <c r="AB46" s="148">
        <f t="shared" si="32"/>
        <v>0.30450286679638772</v>
      </c>
      <c r="AC46" s="148">
        <f t="shared" si="33"/>
        <v>0.34465767949962844</v>
      </c>
      <c r="AD46" s="148">
        <f t="shared" si="34"/>
        <v>0.43493487476096382</v>
      </c>
      <c r="AE46" s="148">
        <f t="shared" si="35"/>
        <v>0.47381147040818633</v>
      </c>
      <c r="AF46" s="148">
        <f t="shared" si="36"/>
        <v>0.60296526131674411</v>
      </c>
    </row>
    <row r="47" spans="1:32" x14ac:dyDescent="0.2">
      <c r="A47" s="152">
        <v>19.5</v>
      </c>
      <c r="B47" s="156">
        <v>34.678264508923277</v>
      </c>
      <c r="C47" s="156">
        <v>63.735066297564231</v>
      </c>
      <c r="D47" s="156">
        <v>88.165277094087742</v>
      </c>
      <c r="E47" s="156">
        <v>125.24394545113047</v>
      </c>
      <c r="F47" s="156">
        <v>157.57459096526392</v>
      </c>
      <c r="G47" s="156">
        <v>194.21530224038332</v>
      </c>
      <c r="H47" s="169">
        <f t="shared" si="2"/>
        <v>0.76911058933565701</v>
      </c>
      <c r="I47" s="169">
        <f t="shared" si="3"/>
        <v>0.69029367290700883</v>
      </c>
      <c r="J47" s="169">
        <f t="shared" si="4"/>
        <v>0.63956464897572263</v>
      </c>
      <c r="K47" s="169">
        <f t="shared" si="5"/>
        <v>0.58745639573133623</v>
      </c>
      <c r="L47" s="169">
        <f t="shared" si="6"/>
        <v>0.55314735576357199</v>
      </c>
      <c r="M47" s="169">
        <f t="shared" si="7"/>
        <v>0.52520824731772253</v>
      </c>
      <c r="N47" s="169"/>
      <c r="O47" s="155">
        <f t="shared" si="8"/>
        <v>58.37830594012199</v>
      </c>
      <c r="P47" s="155">
        <f t="shared" si="9"/>
        <v>92.137540470212755</v>
      </c>
      <c r="Q47" s="155">
        <f t="shared" si="10"/>
        <v>113.42304562717781</v>
      </c>
      <c r="R47" s="155">
        <f t="shared" si="11"/>
        <v>140.36716723083734</v>
      </c>
      <c r="S47" s="155">
        <f t="shared" si="12"/>
        <v>160.10355569566164</v>
      </c>
      <c r="T47" s="155">
        <f t="shared" si="13"/>
        <v>180.81455666849399</v>
      </c>
      <c r="U47" s="159">
        <f t="shared" si="14"/>
        <v>227.44948230908477</v>
      </c>
      <c r="V47" s="159">
        <f t="shared" si="15"/>
        <v>247.53215259939702</v>
      </c>
      <c r="W47" s="159">
        <f t="shared" si="16"/>
        <v>314.2497485303</v>
      </c>
      <c r="X47" s="148">
        <f t="shared" si="28"/>
        <v>0.10622819120217938</v>
      </c>
      <c r="Y47" s="148">
        <f t="shared" si="29"/>
        <v>0.1682568939679189</v>
      </c>
      <c r="Z47" s="148">
        <f t="shared" si="30"/>
        <v>0.20744983460912031</v>
      </c>
      <c r="AA47" s="148">
        <f t="shared" si="31"/>
        <v>0.25711744483120369</v>
      </c>
      <c r="AB47" s="148">
        <f t="shared" si="32"/>
        <v>0.29352948058453943</v>
      </c>
      <c r="AC47" s="148">
        <f t="shared" si="33"/>
        <v>0.33175055062822861</v>
      </c>
      <c r="AD47" s="148">
        <f t="shared" si="34"/>
        <v>0.41776664611345149</v>
      </c>
      <c r="AE47" s="148">
        <f t="shared" si="35"/>
        <v>0.45480825948714576</v>
      </c>
      <c r="AF47" s="148">
        <f t="shared" si="36"/>
        <v>0.57786596834606285</v>
      </c>
    </row>
    <row r="48" spans="1:32" x14ac:dyDescent="0.2">
      <c r="A48" s="152">
        <v>20</v>
      </c>
      <c r="B48" s="156">
        <v>33.679638430394888</v>
      </c>
      <c r="C48" s="156">
        <v>61.636179875867001</v>
      </c>
      <c r="D48" s="156">
        <v>85.084838679650872</v>
      </c>
      <c r="E48" s="156">
        <v>120.6149861606637</v>
      </c>
      <c r="F48" s="156">
        <v>151.55733573828047</v>
      </c>
      <c r="G48" s="156">
        <v>186.59596915852484</v>
      </c>
      <c r="H48" s="169">
        <f t="shared" si="2"/>
        <v>0.74696259829114287</v>
      </c>
      <c r="I48" s="169">
        <f t="shared" si="3"/>
        <v>0.66756132004047708</v>
      </c>
      <c r="J48" s="169">
        <f t="shared" si="4"/>
        <v>0.61721866903717881</v>
      </c>
      <c r="K48" s="169">
        <f t="shared" si="5"/>
        <v>0.56574427439110142</v>
      </c>
      <c r="L48" s="169">
        <f t="shared" si="6"/>
        <v>0.5320244780370853</v>
      </c>
      <c r="M48" s="169">
        <f t="shared" si="7"/>
        <v>0.50460360634715773</v>
      </c>
      <c r="N48" s="169"/>
      <c r="O48" s="155">
        <f t="shared" si="8"/>
        <v>57.215536410284997</v>
      </c>
      <c r="P48" s="155">
        <f t="shared" si="9"/>
        <v>89.696085772347246</v>
      </c>
      <c r="Q48" s="155">
        <f t="shared" si="10"/>
        <v>110.08902542034707</v>
      </c>
      <c r="R48" s="155">
        <f t="shared" si="11"/>
        <v>135.84453235566644</v>
      </c>
      <c r="S48" s="155">
        <f t="shared" si="12"/>
        <v>154.67708840772721</v>
      </c>
      <c r="T48" s="155">
        <f t="shared" si="13"/>
        <v>174.4271179676189</v>
      </c>
      <c r="U48" s="159">
        <f t="shared" si="14"/>
        <v>218.94907801033099</v>
      </c>
      <c r="V48" s="159">
        <f t="shared" si="15"/>
        <v>238.12182958941801</v>
      </c>
      <c r="W48" s="159">
        <f t="shared" si="16"/>
        <v>301.8165412112171</v>
      </c>
      <c r="X48" s="148">
        <f t="shared" si="28"/>
        <v>0.10403445811536628</v>
      </c>
      <c r="Y48" s="148">
        <f t="shared" si="29"/>
        <v>0.16365026361830401</v>
      </c>
      <c r="Z48" s="148">
        <f t="shared" si="30"/>
        <v>0.20116086394277241</v>
      </c>
      <c r="AA48" s="148">
        <f t="shared" si="31"/>
        <v>0.24859052962785338</v>
      </c>
      <c r="AB48" s="148">
        <f t="shared" si="32"/>
        <v>0.28330257969304995</v>
      </c>
      <c r="AC48" s="148">
        <f t="shared" si="33"/>
        <v>0.31971750717250158</v>
      </c>
      <c r="AD48" s="148">
        <f t="shared" si="34"/>
        <v>0.40175870428747418</v>
      </c>
      <c r="AE48" s="148">
        <f t="shared" si="35"/>
        <v>0.4370885839699335</v>
      </c>
      <c r="AF48" s="148">
        <f t="shared" si="36"/>
        <v>0.5544596607673653</v>
      </c>
    </row>
    <row r="49" spans="1:32" x14ac:dyDescent="0.2">
      <c r="A49" s="152">
        <v>20.5</v>
      </c>
      <c r="B49" s="156">
        <v>32.492861156805311</v>
      </c>
      <c r="C49" s="156">
        <v>59.241190992823</v>
      </c>
      <c r="D49" s="156">
        <v>81.63092913725761</v>
      </c>
      <c r="E49" s="156">
        <v>115.5100493980858</v>
      </c>
      <c r="F49" s="156">
        <v>144.98496483878947</v>
      </c>
      <c r="G49" s="156">
        <v>178.3399991607113</v>
      </c>
      <c r="H49" s="169">
        <f t="shared" si="2"/>
        <v>0.72064170302068387</v>
      </c>
      <c r="I49" s="169">
        <f t="shared" si="3"/>
        <v>0.64162197818854771</v>
      </c>
      <c r="J49" s="169">
        <f t="shared" si="4"/>
        <v>0.59216347138020031</v>
      </c>
      <c r="K49" s="169">
        <f t="shared" si="5"/>
        <v>0.54179958197360978</v>
      </c>
      <c r="L49" s="169">
        <f t="shared" si="6"/>
        <v>0.50895293102001371</v>
      </c>
      <c r="M49" s="169">
        <f t="shared" si="7"/>
        <v>0.4822773350264124</v>
      </c>
      <c r="N49" s="169"/>
      <c r="O49" s="155">
        <f t="shared" si="8"/>
        <v>55.833689408585904</v>
      </c>
      <c r="P49" s="155">
        <f t="shared" si="9"/>
        <v>86.910200457450031</v>
      </c>
      <c r="Q49" s="155">
        <f t="shared" si="10"/>
        <v>106.35078992992588</v>
      </c>
      <c r="R49" s="155">
        <f t="shared" si="11"/>
        <v>130.85685292510294</v>
      </c>
      <c r="S49" s="155">
        <f t="shared" si="12"/>
        <v>148.7500079790415</v>
      </c>
      <c r="T49" s="155">
        <f t="shared" si="13"/>
        <v>167.50597385818784</v>
      </c>
      <c r="U49" s="159">
        <f t="shared" si="14"/>
        <v>209.8253611365451</v>
      </c>
      <c r="V49" s="159">
        <f t="shared" si="15"/>
        <v>228.04960594716718</v>
      </c>
      <c r="W49" s="159">
        <f t="shared" si="16"/>
        <v>288.59323803614654</v>
      </c>
      <c r="X49" s="148">
        <f t="shared" si="28"/>
        <v>0.1017443032369838</v>
      </c>
      <c r="Y49" s="148">
        <f t="shared" si="29"/>
        <v>0.15894565760681753</v>
      </c>
      <c r="Z49" s="148">
        <f t="shared" si="30"/>
        <v>0.19479583381524565</v>
      </c>
      <c r="AA49" s="148">
        <f t="shared" si="31"/>
        <v>0.24003124675269244</v>
      </c>
      <c r="AB49" s="148">
        <f t="shared" si="32"/>
        <v>0.27308438674809182</v>
      </c>
      <c r="AC49" s="148">
        <f t="shared" si="33"/>
        <v>0.30773978264322605</v>
      </c>
      <c r="AD49" s="148">
        <f t="shared" si="34"/>
        <v>0.38589699523218846</v>
      </c>
      <c r="AE49" s="148">
        <f t="shared" si="35"/>
        <v>0.41955429198292665</v>
      </c>
      <c r="AF49" s="148">
        <f t="shared" si="36"/>
        <v>0.53136880132262732</v>
      </c>
    </row>
    <row r="50" spans="1:32" x14ac:dyDescent="0.2">
      <c r="A50" s="152">
        <v>21</v>
      </c>
      <c r="B50" s="156">
        <v>31.396296427500534</v>
      </c>
      <c r="C50" s="156">
        <v>57.051616756203025</v>
      </c>
      <c r="D50" s="156">
        <v>78.492857751759587</v>
      </c>
      <c r="E50" s="156">
        <v>110.90449486500532</v>
      </c>
      <c r="F50" s="156">
        <v>139.08346279266621</v>
      </c>
      <c r="G50" s="156">
        <v>170.95874686553691</v>
      </c>
      <c r="H50" s="169">
        <f t="shared" si="2"/>
        <v>0.69632158328160987</v>
      </c>
      <c r="I50" s="169">
        <f t="shared" si="3"/>
        <v>0.61790741523755999</v>
      </c>
      <c r="J50" s="169">
        <f t="shared" si="4"/>
        <v>0.56939941289507823</v>
      </c>
      <c r="K50" s="169">
        <f t="shared" si="5"/>
        <v>0.52019724058615113</v>
      </c>
      <c r="L50" s="169">
        <f t="shared" si="6"/>
        <v>0.48823639143168635</v>
      </c>
      <c r="M50" s="169">
        <f t="shared" si="7"/>
        <v>0.46231652588192895</v>
      </c>
      <c r="N50" s="169"/>
      <c r="O50" s="155">
        <f t="shared" si="8"/>
        <v>54.556883122284518</v>
      </c>
      <c r="P50" s="155">
        <f t="shared" si="9"/>
        <v>84.363256396513947</v>
      </c>
      <c r="Q50" s="155">
        <f t="shared" si="10"/>
        <v>102.95439240394566</v>
      </c>
      <c r="R50" s="155">
        <f t="shared" si="11"/>
        <v>126.35708521409529</v>
      </c>
      <c r="S50" s="155">
        <f t="shared" si="12"/>
        <v>143.42792895880021</v>
      </c>
      <c r="T50" s="155">
        <f t="shared" si="13"/>
        <v>161.31812302339799</v>
      </c>
      <c r="U50" s="159">
        <f t="shared" si="14"/>
        <v>201.70582461205899</v>
      </c>
      <c r="V50" s="159">
        <f t="shared" si="15"/>
        <v>219.09821633665581</v>
      </c>
      <c r="W50" s="159">
        <f t="shared" si="16"/>
        <v>276.8783096499136</v>
      </c>
      <c r="X50" s="148">
        <f t="shared" si="28"/>
        <v>9.9351515277783381E-2</v>
      </c>
      <c r="Y50" s="148">
        <f t="shared" si="29"/>
        <v>0.15414611116856758</v>
      </c>
      <c r="Z50" s="148">
        <f t="shared" si="30"/>
        <v>0.18837466410048437</v>
      </c>
      <c r="AA50" s="148">
        <f t="shared" si="31"/>
        <v>0.23149254432527844</v>
      </c>
      <c r="AB50" s="148">
        <f t="shared" si="32"/>
        <v>0.26296014324405753</v>
      </c>
      <c r="AC50" s="148">
        <f t="shared" si="33"/>
        <v>0.29594168719342723</v>
      </c>
      <c r="AD50" s="148">
        <f t="shared" si="34"/>
        <v>0.37037806717374372</v>
      </c>
      <c r="AE50" s="148">
        <f t="shared" si="35"/>
        <v>0.40243304005544067</v>
      </c>
      <c r="AF50" s="148">
        <f t="shared" si="36"/>
        <v>0.50892439291745417</v>
      </c>
    </row>
    <row r="51" spans="1:32" x14ac:dyDescent="0.2">
      <c r="A51" s="152">
        <v>21.5</v>
      </c>
      <c r="B51" s="156">
        <v>30.350047522757325</v>
      </c>
      <c r="C51" s="156">
        <v>54.967193778477004</v>
      </c>
      <c r="D51" s="156">
        <v>75.507506808670144</v>
      </c>
      <c r="E51" s="156">
        <v>106.52489488041647</v>
      </c>
      <c r="F51" s="156">
        <v>133.4721414340209</v>
      </c>
      <c r="G51" s="156">
        <v>163.94050757845889</v>
      </c>
      <c r="H51" s="169">
        <f t="shared" si="2"/>
        <v>0.6731173911712528</v>
      </c>
      <c r="I51" s="169">
        <f t="shared" si="3"/>
        <v>0.59533171120567685</v>
      </c>
      <c r="J51" s="169">
        <f t="shared" si="4"/>
        <v>0.54774321228053524</v>
      </c>
      <c r="K51" s="169">
        <f t="shared" si="5"/>
        <v>0.49965473841229968</v>
      </c>
      <c r="L51" s="169">
        <f t="shared" si="6"/>
        <v>0.46853849754625315</v>
      </c>
      <c r="M51" s="169">
        <f t="shared" si="7"/>
        <v>0.44333739749862394</v>
      </c>
      <c r="N51" s="169"/>
      <c r="O51" s="155">
        <f t="shared" si="8"/>
        <v>53.338663036490772</v>
      </c>
      <c r="P51" s="155">
        <f t="shared" si="9"/>
        <v>81.938625783489698</v>
      </c>
      <c r="Q51" s="155">
        <f t="shared" si="10"/>
        <v>99.723287272255845</v>
      </c>
      <c r="R51" s="155">
        <f t="shared" si="11"/>
        <v>122.07808201128204</v>
      </c>
      <c r="S51" s="155">
        <f t="shared" si="12"/>
        <v>138.36754001963243</v>
      </c>
      <c r="T51" s="155">
        <f t="shared" si="13"/>
        <v>155.43459322457343</v>
      </c>
      <c r="U51" s="159">
        <f t="shared" si="14"/>
        <v>193.9868169435772</v>
      </c>
      <c r="V51" s="159">
        <f t="shared" si="15"/>
        <v>210.58878611736785</v>
      </c>
      <c r="W51" s="159">
        <f t="shared" si="16"/>
        <v>265.74297901016223</v>
      </c>
      <c r="X51" s="148">
        <f t="shared" si="28"/>
        <v>9.7105991542897757E-2</v>
      </c>
      <c r="Y51" s="148">
        <f t="shared" si="29"/>
        <v>0.14967169396200328</v>
      </c>
      <c r="Z51" s="148">
        <f t="shared" si="30"/>
        <v>0.18240991170858134</v>
      </c>
      <c r="AA51" s="148">
        <f t="shared" si="31"/>
        <v>0.22359165050283958</v>
      </c>
      <c r="AB51" s="148">
        <f t="shared" si="32"/>
        <v>0.25361592208058936</v>
      </c>
      <c r="AC51" s="148">
        <f t="shared" si="33"/>
        <v>0.28507744462317425</v>
      </c>
      <c r="AD51" s="148">
        <f t="shared" si="34"/>
        <v>0.3561233774000726</v>
      </c>
      <c r="AE51" s="148">
        <f t="shared" si="35"/>
        <v>0.38671830220862125</v>
      </c>
      <c r="AF51" s="148">
        <f t="shared" si="36"/>
        <v>0.48835915979406824</v>
      </c>
    </row>
    <row r="52" spans="1:32" x14ac:dyDescent="0.2">
      <c r="A52" s="152">
        <v>22</v>
      </c>
      <c r="B52" s="156">
        <v>29.385093100644088</v>
      </c>
      <c r="C52" s="156">
        <v>53.04138743742574</v>
      </c>
      <c r="D52" s="156">
        <v>72.746581827091092</v>
      </c>
      <c r="E52" s="156">
        <v>102.46998717191548</v>
      </c>
      <c r="F52" s="156">
        <v>128.27291639094133</v>
      </c>
      <c r="G52" s="156">
        <v>157.43319250597949</v>
      </c>
      <c r="H52" s="169">
        <f t="shared" si="2"/>
        <v>0.65171618569620393</v>
      </c>
      <c r="I52" s="169">
        <f t="shared" si="3"/>
        <v>0.57447393212586306</v>
      </c>
      <c r="J52" s="169">
        <f t="shared" si="4"/>
        <v>0.52771503253798757</v>
      </c>
      <c r="K52" s="169">
        <f t="shared" si="5"/>
        <v>0.48063520450286468</v>
      </c>
      <c r="L52" s="169">
        <f t="shared" si="6"/>
        <v>0.45028722005930616</v>
      </c>
      <c r="M52" s="169">
        <f t="shared" si="7"/>
        <v>0.42573993991142017</v>
      </c>
      <c r="N52" s="169"/>
      <c r="O52" s="155">
        <f t="shared" si="8"/>
        <v>52.215099749050708</v>
      </c>
      <c r="P52" s="155">
        <f t="shared" si="9"/>
        <v>79.698500310317698</v>
      </c>
      <c r="Q52" s="155">
        <f t="shared" si="10"/>
        <v>96.735082854667738</v>
      </c>
      <c r="R52" s="155">
        <f t="shared" si="11"/>
        <v>118.11631309794672</v>
      </c>
      <c r="S52" s="155">
        <f t="shared" si="12"/>
        <v>133.67878683323573</v>
      </c>
      <c r="T52" s="155">
        <f t="shared" si="13"/>
        <v>149.97938137254025</v>
      </c>
      <c r="U52" s="159">
        <f t="shared" si="14"/>
        <v>186.82443594690801</v>
      </c>
      <c r="V52" s="159">
        <f t="shared" si="15"/>
        <v>202.69123690523404</v>
      </c>
      <c r="W52" s="159">
        <f t="shared" si="16"/>
        <v>255.4030924379278</v>
      </c>
      <c r="X52" s="148">
        <f t="shared" si="28"/>
        <v>9.4998386506987331E-2</v>
      </c>
      <c r="Y52" s="148">
        <f t="shared" si="29"/>
        <v>0.14547341348442666</v>
      </c>
      <c r="Z52" s="148">
        <f t="shared" si="30"/>
        <v>0.1768125331142312</v>
      </c>
      <c r="AA52" s="148">
        <f t="shared" si="31"/>
        <v>0.21617495559830588</v>
      </c>
      <c r="AB52" s="148">
        <f t="shared" si="32"/>
        <v>0.24484169416758134</v>
      </c>
      <c r="AC52" s="148">
        <f t="shared" si="33"/>
        <v>0.27487257713740232</v>
      </c>
      <c r="AD52" s="148">
        <f t="shared" si="34"/>
        <v>0.34273012760143667</v>
      </c>
      <c r="AE52" s="148">
        <f t="shared" si="35"/>
        <v>0.37195202072034167</v>
      </c>
      <c r="AF52" s="148">
        <f t="shared" si="36"/>
        <v>0.46903146430328096</v>
      </c>
    </row>
    <row r="53" spans="1:32" x14ac:dyDescent="0.2">
      <c r="A53" s="152">
        <v>22.5</v>
      </c>
      <c r="B53" s="156">
        <v>28.317781330503045</v>
      </c>
      <c r="C53" s="156">
        <v>50.954521235504316</v>
      </c>
      <c r="D53" s="156">
        <v>69.779689771864781</v>
      </c>
      <c r="E53" s="156">
        <v>98.145097029168042</v>
      </c>
      <c r="F53" s="156">
        <v>122.75024163735033</v>
      </c>
      <c r="G53" s="156">
        <v>150.54332760907789</v>
      </c>
      <c r="H53" s="169">
        <f t="shared" si="2"/>
        <v>0.62804485161526014</v>
      </c>
      <c r="I53" s="169">
        <f t="shared" si="3"/>
        <v>0.55187176633122426</v>
      </c>
      <c r="J53" s="169">
        <f t="shared" si="4"/>
        <v>0.5061927355703878</v>
      </c>
      <c r="K53" s="169">
        <f t="shared" si="5"/>
        <v>0.46034931869783985</v>
      </c>
      <c r="L53" s="169">
        <f t="shared" si="6"/>
        <v>0.43090050981638051</v>
      </c>
      <c r="M53" s="169">
        <f t="shared" si="7"/>
        <v>0.40710796897496543</v>
      </c>
      <c r="N53" s="169"/>
      <c r="O53" s="155">
        <f t="shared" si="8"/>
        <v>50.972354709801159</v>
      </c>
      <c r="P53" s="155">
        <f t="shared" si="9"/>
        <v>77.271027703973488</v>
      </c>
      <c r="Q53" s="155">
        <f t="shared" si="10"/>
        <v>93.523956147101856</v>
      </c>
      <c r="R53" s="155">
        <f t="shared" si="11"/>
        <v>113.89076308476004</v>
      </c>
      <c r="S53" s="155">
        <f t="shared" si="12"/>
        <v>128.69834097182815</v>
      </c>
      <c r="T53" s="155">
        <f t="shared" si="13"/>
        <v>144.20347038223929</v>
      </c>
      <c r="U53" s="159">
        <f t="shared" si="14"/>
        <v>179.27369423295437</v>
      </c>
      <c r="V53" s="159">
        <f t="shared" si="15"/>
        <v>194.37618947502534</v>
      </c>
      <c r="W53" s="159">
        <f t="shared" si="16"/>
        <v>244.5489085678114</v>
      </c>
      <c r="X53" s="148">
        <f t="shared" si="28"/>
        <v>9.2868709012966691E-2</v>
      </c>
      <c r="Y53" s="148">
        <f t="shared" si="29"/>
        <v>0.14127257521286207</v>
      </c>
      <c r="Z53" s="148">
        <f t="shared" si="30"/>
        <v>0.17123313510159263</v>
      </c>
      <c r="AA53" s="148">
        <f t="shared" si="31"/>
        <v>0.20880636856443607</v>
      </c>
      <c r="AB53" s="148">
        <f t="shared" si="32"/>
        <v>0.23613941502455749</v>
      </c>
      <c r="AC53" s="148">
        <f t="shared" si="33"/>
        <v>0.26476456657930159</v>
      </c>
      <c r="AD53" s="148">
        <f t="shared" si="34"/>
        <v>0.32948831716187615</v>
      </c>
      <c r="AE53" s="148">
        <f t="shared" si="35"/>
        <v>0.3573606837422334</v>
      </c>
      <c r="AF53" s="148">
        <f t="shared" si="36"/>
        <v>0.44995680090516527</v>
      </c>
    </row>
    <row r="54" spans="1:32" x14ac:dyDescent="0.2">
      <c r="A54" s="152">
        <v>23</v>
      </c>
      <c r="B54" s="156">
        <v>27.373748482025707</v>
      </c>
      <c r="C54" s="156">
        <v>49.104698684639771</v>
      </c>
      <c r="D54" s="156">
        <v>67.146702200343952</v>
      </c>
      <c r="E54" s="156">
        <v>94.302015436811672</v>
      </c>
      <c r="F54" s="156">
        <v>117.83864016920353</v>
      </c>
      <c r="G54" s="156">
        <v>144.41101022500592</v>
      </c>
      <c r="H54" s="169">
        <f t="shared" si="2"/>
        <v>0.60710765447675297</v>
      </c>
      <c r="I54" s="169">
        <f t="shared" si="3"/>
        <v>0.5318369428495815</v>
      </c>
      <c r="J54" s="169">
        <f t="shared" si="4"/>
        <v>0.48709263372258127</v>
      </c>
      <c r="K54" s="169">
        <f t="shared" si="5"/>
        <v>0.44232335462736078</v>
      </c>
      <c r="L54" s="169">
        <f t="shared" si="6"/>
        <v>0.4136589015848301</v>
      </c>
      <c r="M54" s="169">
        <f t="shared" si="7"/>
        <v>0.39052460181423537</v>
      </c>
      <c r="N54" s="169"/>
      <c r="O54" s="155">
        <f t="shared" si="8"/>
        <v>49.87315186002953</v>
      </c>
      <c r="P54" s="155">
        <f t="shared" si="9"/>
        <v>75.119287662045053</v>
      </c>
      <c r="Q54" s="155">
        <f t="shared" si="10"/>
        <v>90.674220951409126</v>
      </c>
      <c r="R54" s="155">
        <f t="shared" si="11"/>
        <v>110.13595476887926</v>
      </c>
      <c r="S54" s="155">
        <f t="shared" si="12"/>
        <v>124.26897181714284</v>
      </c>
      <c r="T54" s="155">
        <f t="shared" si="13"/>
        <v>139.06262656241296</v>
      </c>
      <c r="U54" s="159">
        <f t="shared" si="14"/>
        <v>172.5474032452276</v>
      </c>
      <c r="V54" s="159">
        <f t="shared" si="15"/>
        <v>186.96714811730675</v>
      </c>
      <c r="W54" s="159">
        <f t="shared" si="16"/>
        <v>234.87166967220054</v>
      </c>
      <c r="X54" s="148">
        <f t="shared" si="28"/>
        <v>9.0760955912847621E-2</v>
      </c>
      <c r="Y54" s="148">
        <f t="shared" si="29"/>
        <v>0.13715128382941669</v>
      </c>
      <c r="Z54" s="148">
        <f t="shared" si="30"/>
        <v>0.1657783593886599</v>
      </c>
      <c r="AA54" s="148">
        <f t="shared" si="31"/>
        <v>0.20162404606827536</v>
      </c>
      <c r="AB54" s="148">
        <f t="shared" si="32"/>
        <v>0.22767058151007388</v>
      </c>
      <c r="AC54" s="148">
        <f t="shared" si="33"/>
        <v>0.254939487250187</v>
      </c>
      <c r="AD54" s="148">
        <f t="shared" si="34"/>
        <v>0.31663898773036375</v>
      </c>
      <c r="AE54" s="148">
        <f t="shared" si="35"/>
        <v>0.34320900383309888</v>
      </c>
      <c r="AF54" s="148">
        <f t="shared" si="36"/>
        <v>0.4314785204160107</v>
      </c>
    </row>
    <row r="55" spans="1:32" x14ac:dyDescent="0.2">
      <c r="A55" s="152">
        <v>23.5</v>
      </c>
      <c r="B55" s="156">
        <v>26.52918765851296</v>
      </c>
      <c r="C55" s="156">
        <v>47.453844349740287</v>
      </c>
      <c r="D55" s="156">
        <v>64.801497205148706</v>
      </c>
      <c r="E55" s="156">
        <v>90.887492212306782</v>
      </c>
      <c r="F55" s="156">
        <v>113.48260029527252</v>
      </c>
      <c r="G55" s="156">
        <v>138.98170131558197</v>
      </c>
      <c r="H55" s="169">
        <f t="shared" si="2"/>
        <v>0.58837659391475294</v>
      </c>
      <c r="I55" s="169">
        <f t="shared" si="3"/>
        <v>0.51395707908742871</v>
      </c>
      <c r="J55" s="169">
        <f t="shared" si="4"/>
        <v>0.47008015149641535</v>
      </c>
      <c r="K55" s="169">
        <f t="shared" si="5"/>
        <v>0.42630754245070535</v>
      </c>
      <c r="L55" s="169">
        <f t="shared" si="6"/>
        <v>0.39836752800038727</v>
      </c>
      <c r="M55" s="169">
        <f t="shared" si="7"/>
        <v>0.37584235080944234</v>
      </c>
      <c r="N55" s="169"/>
      <c r="O55" s="155">
        <f t="shared" si="8"/>
        <v>48.889771180524534</v>
      </c>
      <c r="P55" s="155">
        <f t="shared" si="9"/>
        <v>73.198990293989851</v>
      </c>
      <c r="Q55" s="155">
        <f t="shared" si="10"/>
        <v>88.135958603265166</v>
      </c>
      <c r="R55" s="155">
        <f t="shared" si="11"/>
        <v>106.79986109248193</v>
      </c>
      <c r="S55" s="155">
        <f t="shared" si="12"/>
        <v>120.34061794329948</v>
      </c>
      <c r="T55" s="155">
        <f t="shared" si="13"/>
        <v>134.51112875092713</v>
      </c>
      <c r="U55" s="159">
        <f t="shared" si="14"/>
        <v>166.60274649310921</v>
      </c>
      <c r="V55" s="159">
        <f t="shared" si="15"/>
        <v>180.42254719711246</v>
      </c>
      <c r="W55" s="159">
        <f t="shared" si="16"/>
        <v>226.3339656432978</v>
      </c>
      <c r="X55" s="148">
        <f t="shared" si="28"/>
        <v>8.8886630736498648E-2</v>
      </c>
      <c r="Y55" s="148">
        <f t="shared" si="29"/>
        <v>0.1334864501604314</v>
      </c>
      <c r="Z55" s="148">
        <f t="shared" si="30"/>
        <v>0.16092916159920684</v>
      </c>
      <c r="AA55" s="148">
        <f t="shared" si="31"/>
        <v>0.19524223427522508</v>
      </c>
      <c r="AB55" s="148">
        <f t="shared" si="32"/>
        <v>0.22014863078439806</v>
      </c>
      <c r="AC55" s="148">
        <f t="shared" si="33"/>
        <v>0.24621637978200608</v>
      </c>
      <c r="AD55" s="148">
        <f t="shared" si="34"/>
        <v>0.30523513476450315</v>
      </c>
      <c r="AE55" s="148">
        <f t="shared" si="35"/>
        <v>0.33065072578297727</v>
      </c>
      <c r="AF55" s="148">
        <f t="shared" si="36"/>
        <v>0.41508507178394849</v>
      </c>
    </row>
    <row r="56" spans="1:32" x14ac:dyDescent="0.2">
      <c r="A56" s="152">
        <v>24</v>
      </c>
      <c r="B56" s="156">
        <v>25.785741019483591</v>
      </c>
      <c r="C56" s="156">
        <v>45.999330266770222</v>
      </c>
      <c r="D56" s="156">
        <v>62.736000611057975</v>
      </c>
      <c r="E56" s="156">
        <v>87.883024766258728</v>
      </c>
      <c r="F56" s="156">
        <v>109.65298397008382</v>
      </c>
      <c r="G56" s="156">
        <v>134.21293493357305</v>
      </c>
      <c r="H56" s="169">
        <f t="shared" si="2"/>
        <v>0.5718880905025836</v>
      </c>
      <c r="I56" s="169">
        <f t="shared" si="3"/>
        <v>0.49820371242517819</v>
      </c>
      <c r="J56" s="169">
        <f t="shared" si="4"/>
        <v>0.45509671756754072</v>
      </c>
      <c r="K56" s="169">
        <f t="shared" si="5"/>
        <v>0.41221509582112986</v>
      </c>
      <c r="L56" s="169">
        <f t="shared" si="6"/>
        <v>0.38492410332835936</v>
      </c>
      <c r="M56" s="169">
        <f t="shared" si="7"/>
        <v>0.36294637709125094</v>
      </c>
      <c r="N56" s="169"/>
      <c r="O56" s="155">
        <f t="shared" si="8"/>
        <v>48.024124751385642</v>
      </c>
      <c r="P56" s="155">
        <f t="shared" si="9"/>
        <v>71.507078714464143</v>
      </c>
      <c r="Q56" s="155">
        <f t="shared" si="10"/>
        <v>85.900430261077076</v>
      </c>
      <c r="R56" s="155">
        <f t="shared" si="11"/>
        <v>103.86440445954136</v>
      </c>
      <c r="S56" s="155">
        <f t="shared" si="12"/>
        <v>116.8870021450555</v>
      </c>
      <c r="T56" s="155">
        <f t="shared" si="13"/>
        <v>130.51337689828779</v>
      </c>
      <c r="U56" s="159">
        <f t="shared" si="14"/>
        <v>161.3855359712376</v>
      </c>
      <c r="V56" s="159">
        <f t="shared" si="15"/>
        <v>174.6801940691264</v>
      </c>
      <c r="W56" s="159">
        <f t="shared" si="16"/>
        <v>218.84701123996498</v>
      </c>
      <c r="X56" s="148">
        <f t="shared" si="28"/>
        <v>8.7222506338719155E-2</v>
      </c>
      <c r="Y56" s="148">
        <f t="shared" si="29"/>
        <v>0.13023546210760858</v>
      </c>
      <c r="Z56" s="148">
        <f t="shared" si="30"/>
        <v>0.15663274997790802</v>
      </c>
      <c r="AA56" s="148">
        <f t="shared" si="31"/>
        <v>0.18959783899682095</v>
      </c>
      <c r="AB56" s="148">
        <f t="shared" si="32"/>
        <v>0.21350485807951947</v>
      </c>
      <c r="AC56" s="148">
        <f t="shared" si="33"/>
        <v>0.23852205508429342</v>
      </c>
      <c r="AD56" s="148">
        <f t="shared" si="34"/>
        <v>0.2951894542179121</v>
      </c>
      <c r="AE56" s="148">
        <f t="shared" si="35"/>
        <v>0.31959246713961498</v>
      </c>
      <c r="AF56" s="148">
        <f t="shared" si="36"/>
        <v>0.40066287919493654</v>
      </c>
    </row>
    <row r="57" spans="1:32" x14ac:dyDescent="0.2">
      <c r="A57" s="152">
        <v>24.5</v>
      </c>
      <c r="B57" s="156">
        <v>24.901770124427198</v>
      </c>
      <c r="C57" s="156">
        <v>44.311092583607589</v>
      </c>
      <c r="D57" s="156">
        <v>60.36235864666213</v>
      </c>
      <c r="E57" s="156">
        <v>84.461075329519787</v>
      </c>
      <c r="F57" s="156">
        <v>105.31260860927891</v>
      </c>
      <c r="G57" s="156">
        <v>128.82903534434035</v>
      </c>
      <c r="H57" s="169">
        <f t="shared" si="2"/>
        <v>0.55228297514632207</v>
      </c>
      <c r="I57" s="169">
        <f t="shared" si="3"/>
        <v>0.4799189618357701</v>
      </c>
      <c r="J57" s="169">
        <f t="shared" si="4"/>
        <v>0.43787794913864103</v>
      </c>
      <c r="K57" s="169">
        <f t="shared" si="5"/>
        <v>0.39616445101558173</v>
      </c>
      <c r="L57" s="169">
        <f t="shared" si="6"/>
        <v>0.36968771820342605</v>
      </c>
      <c r="M57" s="169">
        <f t="shared" si="7"/>
        <v>0.34838692459509457</v>
      </c>
      <c r="N57" s="169"/>
      <c r="O57" s="155">
        <f t="shared" si="8"/>
        <v>46.99485619518191</v>
      </c>
      <c r="P57" s="155">
        <f t="shared" si="9"/>
        <v>69.543296501161706</v>
      </c>
      <c r="Q57" s="155">
        <f t="shared" si="10"/>
        <v>83.33139001148524</v>
      </c>
      <c r="R57" s="155">
        <f t="shared" si="11"/>
        <v>100.52105514654568</v>
      </c>
      <c r="S57" s="155">
        <f t="shared" si="12"/>
        <v>112.97277480646015</v>
      </c>
      <c r="T57" s="155">
        <f t="shared" si="13"/>
        <v>125.99994662447932</v>
      </c>
      <c r="U57" s="159">
        <f t="shared" si="14"/>
        <v>155.52658780067122</v>
      </c>
      <c r="V57" s="159">
        <f t="shared" si="15"/>
        <v>168.24181767134345</v>
      </c>
      <c r="W57" s="159">
        <f t="shared" si="16"/>
        <v>210.48368871820759</v>
      </c>
      <c r="X57" s="148">
        <f t="shared" si="28"/>
        <v>8.55170828519108E-2</v>
      </c>
      <c r="Y57" s="148">
        <f t="shared" si="29"/>
        <v>0.12694533769406327</v>
      </c>
      <c r="Z57" s="148">
        <f t="shared" si="30"/>
        <v>0.15230863824530608</v>
      </c>
      <c r="AA57" s="148">
        <f t="shared" si="31"/>
        <v>0.18394691364547833</v>
      </c>
      <c r="AB57" s="148">
        <f t="shared" si="32"/>
        <v>0.20687379925636407</v>
      </c>
      <c r="AC57" s="148">
        <f t="shared" si="33"/>
        <v>0.23086199117049039</v>
      </c>
      <c r="AD57" s="148">
        <f t="shared" si="34"/>
        <v>0.28522091139471789</v>
      </c>
      <c r="AE57" s="148">
        <f t="shared" si="35"/>
        <v>0.30862981056642291</v>
      </c>
      <c r="AF57" s="148">
        <f t="shared" si="36"/>
        <v>0.38639762996235527</v>
      </c>
    </row>
    <row r="58" spans="1:32" x14ac:dyDescent="0.2">
      <c r="A58" s="153">
        <v>25</v>
      </c>
      <c r="B58" s="157">
        <v>23.988205540870723</v>
      </c>
      <c r="C58" s="157">
        <v>42.584436855746048</v>
      </c>
      <c r="D58" s="157">
        <v>57.945109354261071</v>
      </c>
      <c r="E58" s="157">
        <v>80.989526074230412</v>
      </c>
      <c r="F58" s="157">
        <v>100.91836844369791</v>
      </c>
      <c r="G58" s="157">
        <v>123.38696324803018</v>
      </c>
      <c r="H58" s="169">
        <f t="shared" si="2"/>
        <v>0.53202151727911806</v>
      </c>
      <c r="I58" s="169">
        <f t="shared" si="3"/>
        <v>0.46121811796017476</v>
      </c>
      <c r="J58" s="169">
        <f t="shared" si="4"/>
        <v>0.42034284636193836</v>
      </c>
      <c r="K58" s="169">
        <f t="shared" si="5"/>
        <v>0.37988115839197262</v>
      </c>
      <c r="L58" s="169">
        <f t="shared" si="6"/>
        <v>0.35426224691842029</v>
      </c>
      <c r="M58" s="169">
        <f t="shared" si="7"/>
        <v>0.33367015864252259</v>
      </c>
      <c r="N58" s="169"/>
      <c r="O58" s="155">
        <f t="shared" si="8"/>
        <v>45.931129657153697</v>
      </c>
      <c r="P58" s="155">
        <f t="shared" si="9"/>
        <v>67.534825868922781</v>
      </c>
      <c r="Q58" s="155">
        <f t="shared" si="10"/>
        <v>80.715152677201189</v>
      </c>
      <c r="R58" s="155">
        <f t="shared" si="11"/>
        <v>97.129245293047902</v>
      </c>
      <c r="S58" s="155">
        <f t="shared" si="12"/>
        <v>109.00997123334217</v>
      </c>
      <c r="T58" s="155">
        <f t="shared" si="13"/>
        <v>121.43774917918201</v>
      </c>
      <c r="U58" s="159">
        <f t="shared" si="14"/>
        <v>149.61778595855273</v>
      </c>
      <c r="V58" s="159">
        <f t="shared" si="15"/>
        <v>161.75311971614303</v>
      </c>
      <c r="W58" s="159">
        <f t="shared" si="16"/>
        <v>202.06849025310402</v>
      </c>
      <c r="X58" s="148">
        <f t="shared" si="28"/>
        <v>8.3633387267102038E-2</v>
      </c>
      <c r="Y58" s="148">
        <f t="shared" si="29"/>
        <v>0.12337031013307603</v>
      </c>
      <c r="Z58" s="148">
        <f t="shared" si="30"/>
        <v>0.14764188841981779</v>
      </c>
      <c r="AA58" s="148">
        <f t="shared" si="31"/>
        <v>0.17788527039563423</v>
      </c>
      <c r="AB58" s="148">
        <f t="shared" si="32"/>
        <v>0.19978447143582209</v>
      </c>
      <c r="AC58" s="148">
        <f t="shared" si="33"/>
        <v>0.22269392622329517</v>
      </c>
      <c r="AD58" s="148">
        <f t="shared" si="34"/>
        <v>0.27462993638330158</v>
      </c>
      <c r="AE58" s="148">
        <f t="shared" si="35"/>
        <v>0.29699544364873787</v>
      </c>
      <c r="AF58" s="148">
        <f t="shared" si="36"/>
        <v>0.37129696107418042</v>
      </c>
    </row>
    <row r="59" spans="1:32" x14ac:dyDescent="0.2">
      <c r="A59" s="154">
        <v>25.5</v>
      </c>
      <c r="B59" s="158">
        <v>23.0740844880686</v>
      </c>
      <c r="C59" s="158">
        <v>40.871876776474686</v>
      </c>
      <c r="D59" s="158">
        <v>55.556316124902054</v>
      </c>
      <c r="E59" s="158">
        <v>77.569934277946217</v>
      </c>
      <c r="F59" s="158">
        <v>96.597424502098292</v>
      </c>
      <c r="G59" s="158">
        <v>118.04280555787278</v>
      </c>
      <c r="H59" s="169">
        <f t="shared" si="2"/>
        <v>0.51174771777961137</v>
      </c>
      <c r="I59" s="169">
        <f t="shared" si="3"/>
        <v>0.44266993944766053</v>
      </c>
      <c r="J59" s="169">
        <f t="shared" si="4"/>
        <v>0.40301416829766862</v>
      </c>
      <c r="K59" s="169">
        <f t="shared" si="5"/>
        <v>0.3638415720927578</v>
      </c>
      <c r="L59" s="169">
        <f t="shared" si="6"/>
        <v>0.33909407354061127</v>
      </c>
      <c r="M59" s="169">
        <f t="shared" si="7"/>
        <v>0.31921817848720463</v>
      </c>
      <c r="N59" s="169"/>
      <c r="O59" s="155">
        <f t="shared" si="8"/>
        <v>44.866755183429596</v>
      </c>
      <c r="P59" s="155">
        <f t="shared" si="9"/>
        <v>65.542751496678747</v>
      </c>
      <c r="Q59" s="155">
        <f t="shared" si="10"/>
        <v>78.129713910012157</v>
      </c>
      <c r="R59" s="155">
        <f t="shared" si="11"/>
        <v>93.788199466921455</v>
      </c>
      <c r="S59" s="155">
        <f t="shared" si="12"/>
        <v>105.11326749258303</v>
      </c>
      <c r="T59" s="155">
        <f t="shared" si="13"/>
        <v>116.95763533103343</v>
      </c>
      <c r="U59" s="159">
        <f t="shared" si="14"/>
        <v>143.82655695438015</v>
      </c>
      <c r="V59" s="159">
        <f t="shared" si="15"/>
        <v>155.3972775378445</v>
      </c>
      <c r="W59" s="159">
        <f t="shared" si="16"/>
        <v>193.83691974465555</v>
      </c>
      <c r="X59" s="148">
        <f t="shared" si="28"/>
        <v>8.1718096356524966E-2</v>
      </c>
      <c r="Y59" s="148">
        <f t="shared" si="29"/>
        <v>0.11976981962904139</v>
      </c>
      <c r="Z59" s="148">
        <f t="shared" si="30"/>
        <v>0.142960379928492</v>
      </c>
      <c r="AA59" s="148">
        <f t="shared" si="31"/>
        <v>0.17182570028397243</v>
      </c>
      <c r="AB59" s="148">
        <f t="shared" si="32"/>
        <v>0.19271091485333267</v>
      </c>
      <c r="AC59" s="148">
        <f t="shared" si="33"/>
        <v>0.21455584605919387</v>
      </c>
      <c r="AD59" s="148">
        <f t="shared" si="34"/>
        <v>0.26409990862163957</v>
      </c>
      <c r="AE59" s="148">
        <f t="shared" si="35"/>
        <v>0.28543535752858878</v>
      </c>
      <c r="AF59" s="148">
        <f t="shared" si="36"/>
        <v>0.35631486899798359</v>
      </c>
    </row>
    <row r="60" spans="1:32" x14ac:dyDescent="0.2">
      <c r="A60" s="154">
        <v>26</v>
      </c>
      <c r="B60" s="158">
        <v>22.145317622338155</v>
      </c>
      <c r="C60" s="158">
        <v>39.146867782340799</v>
      </c>
      <c r="D60" s="158">
        <v>53.158880453115287</v>
      </c>
      <c r="E60" s="158">
        <v>74.149119222855091</v>
      </c>
      <c r="F60" s="158">
        <v>92.282552875888143</v>
      </c>
      <c r="G60" s="158">
        <v>112.71342872865523</v>
      </c>
      <c r="H60" s="169">
        <f t="shared" si="2"/>
        <v>0.49114909666713996</v>
      </c>
      <c r="I60" s="169">
        <f t="shared" si="3"/>
        <v>0.42398693080687699</v>
      </c>
      <c r="J60" s="169">
        <f t="shared" si="4"/>
        <v>0.38562279661024268</v>
      </c>
      <c r="K60" s="169">
        <f t="shared" si="5"/>
        <v>0.34779624810133619</v>
      </c>
      <c r="L60" s="169">
        <f t="shared" si="6"/>
        <v>0.32394721632285373</v>
      </c>
      <c r="M60" s="169">
        <f t="shared" si="7"/>
        <v>0.30480616959047713</v>
      </c>
      <c r="N60" s="169"/>
      <c r="O60" s="155">
        <f t="shared" si="8"/>
        <v>43.785327575024851</v>
      </c>
      <c r="P60" s="155">
        <f t="shared" si="9"/>
        <v>63.536196368658594</v>
      </c>
      <c r="Q60" s="155">
        <f t="shared" si="10"/>
        <v>75.534921254248204</v>
      </c>
      <c r="R60" s="155">
        <f t="shared" si="11"/>
        <v>90.445958479508334</v>
      </c>
      <c r="S60" s="155">
        <f t="shared" si="12"/>
        <v>101.22203987334112</v>
      </c>
      <c r="T60" s="155">
        <f t="shared" si="13"/>
        <v>112.4899125730479</v>
      </c>
      <c r="U60" s="159">
        <f t="shared" si="14"/>
        <v>138.06276656565728</v>
      </c>
      <c r="V60" s="159">
        <f t="shared" si="15"/>
        <v>149.07535397865962</v>
      </c>
      <c r="W60" s="159">
        <f t="shared" si="16"/>
        <v>185.6607953842713</v>
      </c>
      <c r="X60" s="148">
        <f t="shared" si="28"/>
        <v>7.9786874482608988E-2</v>
      </c>
      <c r="Y60" s="148">
        <f t="shared" si="29"/>
        <v>0.1161710530788036</v>
      </c>
      <c r="Z60" s="148">
        <f t="shared" si="30"/>
        <v>0.13829817164783431</v>
      </c>
      <c r="AA60" s="148">
        <f t="shared" si="31"/>
        <v>0.16581074215178679</v>
      </c>
      <c r="AB60" s="148">
        <f t="shared" si="32"/>
        <v>0.18570177662933174</v>
      </c>
      <c r="AC60" s="148">
        <f t="shared" si="33"/>
        <v>0.20650279311367317</v>
      </c>
      <c r="AD60" s="148">
        <f t="shared" si="34"/>
        <v>0.25370039116803372</v>
      </c>
      <c r="AE60" s="148">
        <f t="shared" si="35"/>
        <v>0.27402536836485369</v>
      </c>
      <c r="AF60" s="148">
        <f t="shared" si="36"/>
        <v>0.34154794361603419</v>
      </c>
    </row>
    <row r="61" spans="1:32" x14ac:dyDescent="0.2">
      <c r="A61" s="154">
        <v>26.5</v>
      </c>
      <c r="B61" s="158">
        <v>20.968153661826197</v>
      </c>
      <c r="C61" s="158">
        <v>37.009211627669892</v>
      </c>
      <c r="D61" s="158">
        <v>50.219732643017657</v>
      </c>
      <c r="E61" s="158">
        <v>69.999997707316538</v>
      </c>
      <c r="F61" s="158">
        <v>87.0826623123437</v>
      </c>
      <c r="G61" s="158">
        <v>106.32593862332428</v>
      </c>
      <c r="H61" s="169">
        <f t="shared" si="2"/>
        <v>0.46504140990037335</v>
      </c>
      <c r="I61" s="169">
        <f t="shared" si="3"/>
        <v>0.40083467563339414</v>
      </c>
      <c r="J61" s="169">
        <f t="shared" si="4"/>
        <v>0.36430176071708931</v>
      </c>
      <c r="K61" s="169">
        <f t="shared" si="5"/>
        <v>0.32833480457853781</v>
      </c>
      <c r="L61" s="169">
        <f t="shared" si="6"/>
        <v>0.30569360260337647</v>
      </c>
      <c r="M61" s="169">
        <f t="shared" si="7"/>
        <v>0.28753274960615516</v>
      </c>
      <c r="N61" s="169"/>
      <c r="O61" s="155">
        <f t="shared" si="8"/>
        <v>42.414674019769599</v>
      </c>
      <c r="P61" s="155">
        <f t="shared" si="9"/>
        <v>61.049644163026535</v>
      </c>
      <c r="Q61" s="155">
        <f t="shared" si="10"/>
        <v>72.353822698989717</v>
      </c>
      <c r="R61" s="155">
        <f t="shared" si="11"/>
        <v>86.392139793709433</v>
      </c>
      <c r="S61" s="155">
        <f t="shared" si="12"/>
        <v>96.532686508807402</v>
      </c>
      <c r="T61" s="155">
        <f t="shared" si="13"/>
        <v>107.1351523779081</v>
      </c>
      <c r="U61" s="159">
        <f t="shared" si="14"/>
        <v>131.20383251571963</v>
      </c>
      <c r="V61" s="159">
        <f t="shared" si="15"/>
        <v>141.5686687600373</v>
      </c>
      <c r="W61" s="159">
        <f t="shared" si="16"/>
        <v>176.0021851421665</v>
      </c>
      <c r="X61" s="148">
        <f t="shared" si="28"/>
        <v>7.7580001435315016E-2</v>
      </c>
      <c r="Y61" s="148">
        <f t="shared" si="29"/>
        <v>0.11212725647851662</v>
      </c>
      <c r="Z61" s="148">
        <f t="shared" si="30"/>
        <v>0.13309986955791411</v>
      </c>
      <c r="AA61" s="148">
        <f t="shared" si="31"/>
        <v>0.15915428844589599</v>
      </c>
      <c r="AB61" s="148">
        <f t="shared" si="32"/>
        <v>0.17797925374393367</v>
      </c>
      <c r="AC61" s="148">
        <f t="shared" si="33"/>
        <v>0.19766255845586042</v>
      </c>
      <c r="AD61" s="148">
        <f t="shared" si="34"/>
        <v>0.2423399391732392</v>
      </c>
      <c r="AE61" s="148">
        <f t="shared" si="35"/>
        <v>0.26157962046482719</v>
      </c>
      <c r="AF61" s="148">
        <f t="shared" si="36"/>
        <v>0.32549668247379399</v>
      </c>
    </row>
    <row r="62" spans="1:32" x14ac:dyDescent="0.2">
      <c r="A62" s="154">
        <v>27</v>
      </c>
      <c r="B62" s="158">
        <v>19.666661573191686</v>
      </c>
      <c r="C62" s="158">
        <v>34.668864950864972</v>
      </c>
      <c r="D62" s="158">
        <v>47.016456423830348</v>
      </c>
      <c r="E62" s="158">
        <v>65.497751985366534</v>
      </c>
      <c r="F62" s="158">
        <v>81.454598732717926</v>
      </c>
      <c r="G62" s="158">
        <v>99.427002281905743</v>
      </c>
      <c r="H62" s="169">
        <f t="shared" si="2"/>
        <v>0.43617631640505694</v>
      </c>
      <c r="I62" s="169">
        <f t="shared" si="3"/>
        <v>0.37548714565884511</v>
      </c>
      <c r="J62" s="169">
        <f t="shared" si="4"/>
        <v>0.34106469621480812</v>
      </c>
      <c r="K62" s="169">
        <f t="shared" si="5"/>
        <v>0.30721703289714669</v>
      </c>
      <c r="L62" s="169">
        <f t="shared" si="6"/>
        <v>0.28593693708980056</v>
      </c>
      <c r="M62" s="169">
        <f t="shared" si="7"/>
        <v>0.26887624714504499</v>
      </c>
      <c r="N62" s="169"/>
      <c r="O62" s="155">
        <f t="shared" si="8"/>
        <v>40.899256611265486</v>
      </c>
      <c r="P62" s="155">
        <f t="shared" si="9"/>
        <v>58.327319443759968</v>
      </c>
      <c r="Q62" s="155">
        <f t="shared" si="10"/>
        <v>68.886852675249372</v>
      </c>
      <c r="R62" s="155">
        <f t="shared" si="11"/>
        <v>81.993307952475661</v>
      </c>
      <c r="S62" s="155">
        <f t="shared" si="12"/>
        <v>91.457199138369759</v>
      </c>
      <c r="T62" s="155">
        <f t="shared" si="13"/>
        <v>101.35163661496395</v>
      </c>
      <c r="U62" s="159">
        <f t="shared" si="14"/>
        <v>123.81726710124644</v>
      </c>
      <c r="V62" s="159">
        <f t="shared" si="15"/>
        <v>133.4917727152814</v>
      </c>
      <c r="W62" s="159">
        <f t="shared" si="16"/>
        <v>165.63190881559882</v>
      </c>
      <c r="X62" s="148">
        <f t="shared" si="28"/>
        <v>7.4982537567931565E-2</v>
      </c>
      <c r="Y62" s="148">
        <f t="shared" si="29"/>
        <v>0.10743926724610785</v>
      </c>
      <c r="Z62" s="148">
        <f t="shared" si="30"/>
        <v>0.12711660783681517</v>
      </c>
      <c r="AA62" s="148">
        <f t="shared" si="31"/>
        <v>0.15154690297156659</v>
      </c>
      <c r="AB62" s="148">
        <f t="shared" si="32"/>
        <v>0.16919089708245946</v>
      </c>
      <c r="AC62" s="148">
        <f t="shared" si="33"/>
        <v>0.18763811009358483</v>
      </c>
      <c r="AD62" s="148">
        <f t="shared" si="34"/>
        <v>0.22951898965526946</v>
      </c>
      <c r="AE62" s="148">
        <f t="shared" si="35"/>
        <v>0.24755439732778683</v>
      </c>
      <c r="AF62" s="148">
        <f t="shared" si="36"/>
        <v>0.30747068456198878</v>
      </c>
    </row>
    <row r="63" spans="1:32" x14ac:dyDescent="0.2">
      <c r="A63" s="154">
        <v>27.5</v>
      </c>
      <c r="B63" s="158">
        <v>18.274202145209092</v>
      </c>
      <c r="C63" s="158">
        <v>32.180027875453199</v>
      </c>
      <c r="D63" s="158">
        <v>43.619114760595558</v>
      </c>
      <c r="E63" s="158">
        <v>60.734745410737986</v>
      </c>
      <c r="F63" s="158">
        <v>75.508984548821545</v>
      </c>
      <c r="G63" s="158">
        <v>92.147009932058253</v>
      </c>
      <c r="H63" s="169">
        <f t="shared" si="2"/>
        <v>0.40529370718434143</v>
      </c>
      <c r="I63" s="169">
        <f t="shared" si="3"/>
        <v>0.34853136470724061</v>
      </c>
      <c r="J63" s="169">
        <f t="shared" si="4"/>
        <v>0.31641985076189155</v>
      </c>
      <c r="K63" s="169">
        <f t="shared" si="5"/>
        <v>0.2848761631241824</v>
      </c>
      <c r="L63" s="169">
        <f t="shared" si="6"/>
        <v>0.26506554694963724</v>
      </c>
      <c r="M63" s="169">
        <f t="shared" si="7"/>
        <v>0.24918927099824575</v>
      </c>
      <c r="N63" s="169"/>
      <c r="O63" s="155">
        <f t="shared" si="8"/>
        <v>39.277919627177923</v>
      </c>
      <c r="P63" s="155">
        <f t="shared" si="9"/>
        <v>55.432268569557642</v>
      </c>
      <c r="Q63" s="155">
        <f t="shared" si="10"/>
        <v>65.20984173367421</v>
      </c>
      <c r="R63" s="155">
        <f t="shared" si="11"/>
        <v>77.339704778767199</v>
      </c>
      <c r="S63" s="155">
        <f t="shared" si="12"/>
        <v>86.095339011361801</v>
      </c>
      <c r="T63" s="155">
        <f t="shared" si="13"/>
        <v>95.248674009456181</v>
      </c>
      <c r="U63" s="159">
        <f t="shared" si="14"/>
        <v>116.0355459442973</v>
      </c>
      <c r="V63" s="159">
        <f t="shared" si="15"/>
        <v>124.98711796248034</v>
      </c>
      <c r="W63" s="159">
        <f t="shared" si="16"/>
        <v>154.7255619155045</v>
      </c>
      <c r="X63" s="148">
        <f t="shared" si="28"/>
        <v>7.2159458614599062E-2</v>
      </c>
      <c r="Y63" s="148">
        <f t="shared" si="29"/>
        <v>0.10238362921198585</v>
      </c>
      <c r="Z63" s="148">
        <f t="shared" si="30"/>
        <v>0.12068702496803121</v>
      </c>
      <c r="AA63" s="148">
        <f t="shared" si="31"/>
        <v>0.14339971145811858</v>
      </c>
      <c r="AB63" s="148">
        <f t="shared" si="32"/>
        <v>0.1597972843347584</v>
      </c>
      <c r="AC63" s="148">
        <f t="shared" si="33"/>
        <v>0.17694027956197811</v>
      </c>
      <c r="AD63" s="148">
        <f t="shared" si="34"/>
        <v>0.21586753174098935</v>
      </c>
      <c r="AE63" s="148">
        <f t="shared" si="35"/>
        <v>0.23263100160998557</v>
      </c>
      <c r="AF63" s="148">
        <f t="shared" si="36"/>
        <v>0.28832172365799297</v>
      </c>
    </row>
    <row r="64" spans="1:32" x14ac:dyDescent="0.2">
      <c r="A64" s="154">
        <v>28</v>
      </c>
      <c r="B64" s="158">
        <v>16.844071987007268</v>
      </c>
      <c r="C64" s="158">
        <v>29.633774125070495</v>
      </c>
      <c r="D64" s="158">
        <v>40.149371442720508</v>
      </c>
      <c r="E64" s="158">
        <v>55.87795678187382</v>
      </c>
      <c r="F64" s="158">
        <v>69.451651884685589</v>
      </c>
      <c r="G64" s="158">
        <v>84.735375948692905</v>
      </c>
      <c r="H64" s="169">
        <f t="shared" si="2"/>
        <v>0.37357561908572073</v>
      </c>
      <c r="I64" s="169">
        <f t="shared" si="3"/>
        <v>0.32095372251418469</v>
      </c>
      <c r="J64" s="169">
        <f t="shared" si="4"/>
        <v>0.29124979243196175</v>
      </c>
      <c r="K64" s="169">
        <f t="shared" si="5"/>
        <v>0.26209540887323329</v>
      </c>
      <c r="L64" s="169">
        <f t="shared" si="6"/>
        <v>0.24380198202065875</v>
      </c>
      <c r="M64" s="169">
        <f t="shared" si="7"/>
        <v>0.22914630193628283</v>
      </c>
      <c r="N64" s="169"/>
      <c r="O64" s="155">
        <f t="shared" si="8"/>
        <v>37.612720002000337</v>
      </c>
      <c r="P64" s="155">
        <f t="shared" si="9"/>
        <v>52.470429798023439</v>
      </c>
      <c r="Q64" s="155">
        <f t="shared" si="10"/>
        <v>61.454469030848692</v>
      </c>
      <c r="R64" s="155">
        <f t="shared" si="11"/>
        <v>72.594473668294498</v>
      </c>
      <c r="S64" s="155">
        <f t="shared" si="12"/>
        <v>80.632729181107237</v>
      </c>
      <c r="T64" s="155">
        <f t="shared" si="13"/>
        <v>89.035353600247674</v>
      </c>
      <c r="U64" s="159">
        <f t="shared" si="14"/>
        <v>108.12132572227176</v>
      </c>
      <c r="V64" s="159">
        <f t="shared" si="15"/>
        <v>116.34042932395266</v>
      </c>
      <c r="W64" s="159">
        <f t="shared" si="16"/>
        <v>143.64550504765765</v>
      </c>
      <c r="X64" s="148">
        <f t="shared" si="28"/>
        <v>6.9201575666260423E-2</v>
      </c>
      <c r="Y64" s="148">
        <f t="shared" si="29"/>
        <v>9.711242853082297E-2</v>
      </c>
      <c r="Z64" s="148">
        <f t="shared" si="30"/>
        <v>0.1139978796880706</v>
      </c>
      <c r="AA64" s="148">
        <f t="shared" si="31"/>
        <v>0.13494076060235552</v>
      </c>
      <c r="AB64" s="148">
        <f t="shared" si="32"/>
        <v>0.15005526137322214</v>
      </c>
      <c r="AC64" s="148">
        <f t="shared" si="33"/>
        <v>0.16585562484873345</v>
      </c>
      <c r="AD64" s="148">
        <f t="shared" si="34"/>
        <v>0.20174118449991216</v>
      </c>
      <c r="AE64" s="148">
        <f t="shared" si="35"/>
        <v>0.2171947925577897</v>
      </c>
      <c r="AF64" s="148">
        <f t="shared" si="36"/>
        <v>0.26853396026684595</v>
      </c>
    </row>
    <row r="65" spans="1:32" x14ac:dyDescent="0.2">
      <c r="A65" s="154">
        <v>28.5</v>
      </c>
      <c r="B65" s="158">
        <v>15.343502895964324</v>
      </c>
      <c r="C65" s="158">
        <v>26.974969551276889</v>
      </c>
      <c r="D65" s="158">
        <v>36.534244647992516</v>
      </c>
      <c r="E65" s="158">
        <v>50.828271523536159</v>
      </c>
      <c r="F65" s="158">
        <v>63.161281255404518</v>
      </c>
      <c r="G65" s="158">
        <v>77.04601788533634</v>
      </c>
      <c r="H65" s="169">
        <f t="shared" si="2"/>
        <v>0.34029530375581313</v>
      </c>
      <c r="I65" s="169">
        <f t="shared" si="3"/>
        <v>0.29215707913709787</v>
      </c>
      <c r="J65" s="169">
        <f t="shared" si="4"/>
        <v>0.26502509972209237</v>
      </c>
      <c r="K65" s="169">
        <f t="shared" si="5"/>
        <v>0.23840987349062109</v>
      </c>
      <c r="L65" s="169">
        <f t="shared" si="6"/>
        <v>0.22172036429888603</v>
      </c>
      <c r="M65" s="169">
        <f t="shared" si="7"/>
        <v>0.20835229536281846</v>
      </c>
      <c r="N65" s="169"/>
      <c r="O65" s="155">
        <f t="shared" si="8"/>
        <v>35.865503447180188</v>
      </c>
      <c r="P65" s="155">
        <f t="shared" si="9"/>
        <v>49.377670299324315</v>
      </c>
      <c r="Q65" s="155">
        <f t="shared" si="10"/>
        <v>57.541744878536178</v>
      </c>
      <c r="R65" s="155">
        <f t="shared" si="11"/>
        <v>67.660776648096373</v>
      </c>
      <c r="S65" s="155">
        <f t="shared" si="12"/>
        <v>74.959961588383806</v>
      </c>
      <c r="T65" s="155">
        <f t="shared" si="13"/>
        <v>82.589211562473722</v>
      </c>
      <c r="U65" s="159">
        <f t="shared" si="14"/>
        <v>99.922058507758493</v>
      </c>
      <c r="V65" s="159">
        <f t="shared" si="15"/>
        <v>107.38620357957188</v>
      </c>
      <c r="W65" s="159">
        <f t="shared" si="16"/>
        <v>132.18319559667006</v>
      </c>
      <c r="X65" s="148">
        <f t="shared" si="28"/>
        <v>6.6130401104262465E-2</v>
      </c>
      <c r="Y65" s="148">
        <f t="shared" si="29"/>
        <v>9.1663290087612981E-2</v>
      </c>
      <c r="Z65" s="148">
        <f t="shared" si="30"/>
        <v>0.10709659251844637</v>
      </c>
      <c r="AA65" s="148">
        <f t="shared" si="31"/>
        <v>0.12622972528475176</v>
      </c>
      <c r="AB65" s="148">
        <f t="shared" si="32"/>
        <v>0.14003342169254193</v>
      </c>
      <c r="AC65" s="148">
        <f t="shared" si="33"/>
        <v>0.15446210864644927</v>
      </c>
      <c r="AD65" s="148">
        <f t="shared" si="34"/>
        <v>0.18723904580702722</v>
      </c>
      <c r="AE65" s="148">
        <f t="shared" si="35"/>
        <v>0.20135396961317209</v>
      </c>
      <c r="AF65" s="148">
        <f t="shared" si="36"/>
        <v>0.24824583057989491</v>
      </c>
    </row>
    <row r="66" spans="1:32" x14ac:dyDescent="0.2">
      <c r="A66" s="154">
        <v>29</v>
      </c>
      <c r="B66" s="158">
        <v>13.83625931000913</v>
      </c>
      <c r="C66" s="158">
        <v>24.311712078275697</v>
      </c>
      <c r="D66" s="158">
        <v>32.91750384438155</v>
      </c>
      <c r="E66" s="158">
        <v>45.782046453714948</v>
      </c>
      <c r="F66" s="158">
        <v>56.879153914673353</v>
      </c>
      <c r="G66" s="158">
        <v>69.37049362805439</v>
      </c>
      <c r="H66" s="169">
        <f t="shared" si="2"/>
        <v>0.30686695839071859</v>
      </c>
      <c r="I66" s="169">
        <f t="shared" si="3"/>
        <v>0.26331220786400888</v>
      </c>
      <c r="J66" s="169">
        <f t="shared" si="4"/>
        <v>0.23878869874045536</v>
      </c>
      <c r="K66" s="169">
        <f t="shared" si="5"/>
        <v>0.21474056811311693</v>
      </c>
      <c r="L66" s="169">
        <f t="shared" si="6"/>
        <v>0.19966768368706386</v>
      </c>
      <c r="M66" s="169">
        <f t="shared" si="7"/>
        <v>0.18759569896743156</v>
      </c>
      <c r="N66" s="169"/>
      <c r="O66" s="155">
        <f t="shared" si="8"/>
        <v>34.110515315512728</v>
      </c>
      <c r="P66" s="155">
        <f t="shared" si="9"/>
        <v>46.279731124594555</v>
      </c>
      <c r="Q66" s="155">
        <f t="shared" si="10"/>
        <v>53.627273852075938</v>
      </c>
      <c r="R66" s="155">
        <f t="shared" si="11"/>
        <v>62.730460337962256</v>
      </c>
      <c r="S66" s="155">
        <f t="shared" si="12"/>
        <v>69.294627939206691</v>
      </c>
      <c r="T66" s="155">
        <f t="shared" si="13"/>
        <v>76.154666679903784</v>
      </c>
      <c r="U66" s="159">
        <f t="shared" si="14"/>
        <v>91.743622516760652</v>
      </c>
      <c r="V66" s="159">
        <f t="shared" si="15"/>
        <v>98.456785579453353</v>
      </c>
      <c r="W66" s="159">
        <f t="shared" si="16"/>
        <v>120.75890447900292</v>
      </c>
      <c r="X66" s="148">
        <f t="shared" si="28"/>
        <v>6.2978416886423624E-2</v>
      </c>
      <c r="Y66" s="148">
        <f t="shared" si="29"/>
        <v>8.6091661281526982E-2</v>
      </c>
      <c r="Z66" s="148">
        <f t="shared" si="30"/>
        <v>0.1000521168575509</v>
      </c>
      <c r="AA66" s="148">
        <f t="shared" si="31"/>
        <v>0.11735211328745276</v>
      </c>
      <c r="AB66" s="148">
        <f t="shared" si="32"/>
        <v>0.12982913057483145</v>
      </c>
      <c r="AC66" s="148">
        <f t="shared" si="33"/>
        <v>0.14286949041813973</v>
      </c>
      <c r="AD66" s="148">
        <f t="shared" si="34"/>
        <v>0.17249911292206721</v>
      </c>
      <c r="AE66" s="148">
        <f t="shared" si="35"/>
        <v>0.18525869024312272</v>
      </c>
      <c r="AF66" s="148">
        <f t="shared" si="36"/>
        <v>0.22764789006810568</v>
      </c>
    </row>
    <row r="67" spans="1:32" x14ac:dyDescent="0.2">
      <c r="A67" s="154">
        <v>29.5</v>
      </c>
      <c r="B67" s="158">
        <v>12.389485332442263</v>
      </c>
      <c r="C67" s="158">
        <v>21.760742182843071</v>
      </c>
      <c r="D67" s="158">
        <v>29.457053094558816</v>
      </c>
      <c r="E67" s="158">
        <v>40.959421021935121</v>
      </c>
      <c r="F67" s="158">
        <v>50.879708976820389</v>
      </c>
      <c r="G67" s="158">
        <v>62.044951660032964</v>
      </c>
      <c r="H67" s="169">
        <f t="shared" si="2"/>
        <v>0.27477973596828098</v>
      </c>
      <c r="I67" s="169">
        <f t="shared" si="3"/>
        <v>0.23568348664526761</v>
      </c>
      <c r="J67" s="169">
        <f t="shared" si="4"/>
        <v>0.21368605014619868</v>
      </c>
      <c r="K67" s="169">
        <f t="shared" si="5"/>
        <v>0.19212005624796566</v>
      </c>
      <c r="L67" s="169">
        <f t="shared" si="6"/>
        <v>0.17860732691828718</v>
      </c>
      <c r="M67" s="169">
        <f t="shared" si="7"/>
        <v>0.16778554491008071</v>
      </c>
      <c r="N67" s="169"/>
      <c r="O67" s="155">
        <f t="shared" si="8"/>
        <v>32.425936138334748</v>
      </c>
      <c r="P67" s="155">
        <f t="shared" si="9"/>
        <v>43.312406465701741</v>
      </c>
      <c r="Q67" s="155">
        <f t="shared" si="10"/>
        <v>49.88195868181284</v>
      </c>
      <c r="R67" s="155">
        <f t="shared" si="11"/>
        <v>58.01860771645125</v>
      </c>
      <c r="S67" s="155">
        <f t="shared" si="12"/>
        <v>63.88422228530797</v>
      </c>
      <c r="T67" s="155">
        <f t="shared" si="13"/>
        <v>70.01351892212503</v>
      </c>
      <c r="U67" s="159">
        <f t="shared" si="14"/>
        <v>83.944558608421062</v>
      </c>
      <c r="V67" s="159">
        <f t="shared" si="15"/>
        <v>89.9437635600341</v>
      </c>
      <c r="W67" s="159">
        <f t="shared" si="16"/>
        <v>109.87400819794317</v>
      </c>
      <c r="X67" s="148">
        <f t="shared" si="28"/>
        <v>5.9882806308462724E-2</v>
      </c>
      <c r="Y67" s="148">
        <f t="shared" si="29"/>
        <v>8.0632923831266662E-2</v>
      </c>
      <c r="Z67" s="148">
        <f t="shared" si="30"/>
        <v>9.3158309280499896E-2</v>
      </c>
      <c r="AA67" s="148">
        <f t="shared" si="31"/>
        <v>0.10867416124897214</v>
      </c>
      <c r="AB67" s="148">
        <f t="shared" si="32"/>
        <v>0.11986096520206319</v>
      </c>
      <c r="AC67" s="148">
        <f t="shared" si="33"/>
        <v>0.13155136704182593</v>
      </c>
      <c r="AD67" s="148">
        <f t="shared" si="34"/>
        <v>0.15811936301266352</v>
      </c>
      <c r="AE67" s="148">
        <f t="shared" si="35"/>
        <v>0.1695604942255387</v>
      </c>
      <c r="AF67" s="148">
        <f t="shared" si="36"/>
        <v>0.20756962140925148</v>
      </c>
    </row>
    <row r="68" spans="1:32" x14ac:dyDescent="0.2">
      <c r="A68" s="154">
        <v>30</v>
      </c>
      <c r="B68" s="158">
        <v>11.056974798565783</v>
      </c>
      <c r="C68" s="158">
        <v>19.41092708851566</v>
      </c>
      <c r="D68" s="158">
        <v>26.269028707908994</v>
      </c>
      <c r="E68" s="158">
        <v>36.515573642264272</v>
      </c>
      <c r="F68" s="158">
        <v>45.350619502689284</v>
      </c>
      <c r="G68" s="158">
        <v>55.292697700761678</v>
      </c>
      <c r="H68" s="169">
        <f t="shared" si="2"/>
        <v>0.24522670104803573</v>
      </c>
      <c r="I68" s="169">
        <f t="shared" si="3"/>
        <v>0.21023340733504042</v>
      </c>
      <c r="J68" s="169">
        <f t="shared" si="4"/>
        <v>0.19055962481213179</v>
      </c>
      <c r="K68" s="169">
        <f t="shared" si="5"/>
        <v>0.17127620183697373</v>
      </c>
      <c r="L68" s="169">
        <f t="shared" si="6"/>
        <v>0.15919809854167652</v>
      </c>
      <c r="M68" s="169">
        <f t="shared" si="7"/>
        <v>0.14952570942603802</v>
      </c>
      <c r="N68" s="169"/>
      <c r="O68" s="155">
        <f t="shared" si="8"/>
        <v>30.874401805021876</v>
      </c>
      <c r="P68" s="155">
        <f t="shared" si="9"/>
        <v>40.579067947783344</v>
      </c>
      <c r="Q68" s="155">
        <f t="shared" si="10"/>
        <v>46.431496021970062</v>
      </c>
      <c r="R68" s="155">
        <f t="shared" si="11"/>
        <v>53.67683284264163</v>
      </c>
      <c r="S68" s="155">
        <f t="shared" si="12"/>
        <v>58.897991515356694</v>
      </c>
      <c r="T68" s="155">
        <f t="shared" si="13"/>
        <v>64.352969922071793</v>
      </c>
      <c r="U68" s="159">
        <f t="shared" si="14"/>
        <v>76.754629860942188</v>
      </c>
      <c r="V68" s="159">
        <f t="shared" si="15"/>
        <v>82.095229083172512</v>
      </c>
      <c r="W68" s="159">
        <f t="shared" si="16"/>
        <v>99.837488244273217</v>
      </c>
      <c r="X68" s="148">
        <f t="shared" si="28"/>
        <v>5.6970304149020962E-2</v>
      </c>
      <c r="Y68" s="148">
        <f t="shared" si="29"/>
        <v>7.5502326972136574E-2</v>
      </c>
      <c r="Z68" s="148">
        <f t="shared" si="30"/>
        <v>8.6682109233404608E-2</v>
      </c>
      <c r="AA68" s="148">
        <f t="shared" si="31"/>
        <v>0.10052589650318358</v>
      </c>
      <c r="AB68" s="148">
        <f t="shared" si="32"/>
        <v>0.11050399242059819</v>
      </c>
      <c r="AC68" s="148">
        <f t="shared" si="33"/>
        <v>0.12092983995977714</v>
      </c>
      <c r="AD68" s="148">
        <f t="shared" si="34"/>
        <v>0.14462926962242692</v>
      </c>
      <c r="AE68" s="148">
        <f t="shared" si="35"/>
        <v>0.15483509337888593</v>
      </c>
      <c r="AF68" s="148">
        <f t="shared" si="36"/>
        <v>0.18874034679799476</v>
      </c>
    </row>
    <row r="69" spans="1:32" x14ac:dyDescent="0.2">
      <c r="A69" s="154">
        <v>30.5</v>
      </c>
      <c r="B69" s="158">
        <v>9.8010195920294905</v>
      </c>
      <c r="C69" s="158">
        <v>17.197595873686776</v>
      </c>
      <c r="D69" s="158">
        <v>23.266902224830424</v>
      </c>
      <c r="E69" s="158">
        <v>32.331581960577012</v>
      </c>
      <c r="F69" s="158">
        <v>40.14518271672533</v>
      </c>
      <c r="G69" s="158">
        <v>48.935864769281736</v>
      </c>
      <c r="H69" s="169">
        <f t="shared" si="2"/>
        <v>0.21737154558517352</v>
      </c>
      <c r="I69" s="169">
        <f t="shared" si="3"/>
        <v>0.18626154031742734</v>
      </c>
      <c r="J69" s="169">
        <f t="shared" si="4"/>
        <v>0.16878173181825129</v>
      </c>
      <c r="K69" s="169">
        <f t="shared" si="5"/>
        <v>0.15165119989184611</v>
      </c>
      <c r="L69" s="169">
        <f t="shared" si="6"/>
        <v>0.14092501545060174</v>
      </c>
      <c r="M69" s="169">
        <f t="shared" si="7"/>
        <v>0.13233519434344249</v>
      </c>
      <c r="N69" s="169"/>
      <c r="O69" s="155">
        <f t="shared" si="8"/>
        <v>29.41200614322161</v>
      </c>
      <c r="P69" s="155">
        <f t="shared" si="9"/>
        <v>38.004489430091695</v>
      </c>
      <c r="Q69" s="155">
        <f t="shared" si="10"/>
        <v>43.182234387283088</v>
      </c>
      <c r="R69" s="155">
        <f t="shared" si="11"/>
        <v>49.588944937471545</v>
      </c>
      <c r="S69" s="155">
        <f t="shared" si="12"/>
        <v>54.203636469259585</v>
      </c>
      <c r="T69" s="155">
        <f t="shared" si="13"/>
        <v>59.023910246467167</v>
      </c>
      <c r="U69" s="159">
        <f t="shared" si="14"/>
        <v>69.986349941022553</v>
      </c>
      <c r="V69" s="159">
        <f t="shared" si="15"/>
        <v>74.707169347059406</v>
      </c>
      <c r="W69" s="159">
        <f t="shared" si="16"/>
        <v>90.390428447651644</v>
      </c>
      <c r="X69" s="148">
        <f t="shared" si="28"/>
        <v>5.4257767153419137E-2</v>
      </c>
      <c r="Y69" s="148">
        <f t="shared" si="29"/>
        <v>7.0725201640087526E-2</v>
      </c>
      <c r="Z69" s="148">
        <f t="shared" si="30"/>
        <v>8.0652357368327834E-2</v>
      </c>
      <c r="AA69" s="148">
        <f t="shared" si="31"/>
        <v>9.293920000210186E-2</v>
      </c>
      <c r="AB69" s="148">
        <f t="shared" si="32"/>
        <v>0.10179146518615464</v>
      </c>
      <c r="AC69" s="148">
        <f t="shared" si="33"/>
        <v>0.11103919215168506</v>
      </c>
      <c r="AD69" s="148">
        <f t="shared" si="34"/>
        <v>0.13206688182176826</v>
      </c>
      <c r="AE69" s="148">
        <f t="shared" si="35"/>
        <v>0.1411221585872087</v>
      </c>
      <c r="AF69" s="148">
        <f t="shared" si="36"/>
        <v>0.17120512502273236</v>
      </c>
    </row>
    <row r="70" spans="1:32" x14ac:dyDescent="0.2">
      <c r="A70" s="154">
        <v>31</v>
      </c>
      <c r="B70" s="158">
        <v>8.6588958481043221</v>
      </c>
      <c r="C70" s="158">
        <v>15.184407341764146</v>
      </c>
      <c r="D70" s="158">
        <v>20.535671019338807</v>
      </c>
      <c r="E70" s="158">
        <v>28.524022389414768</v>
      </c>
      <c r="F70" s="158">
        <v>35.407030041882265</v>
      </c>
      <c r="G70" s="158">
        <v>43.148416999457282</v>
      </c>
      <c r="H70" s="169">
        <f t="shared" si="2"/>
        <v>0.1920409969483321</v>
      </c>
      <c r="I70" s="169">
        <f t="shared" si="3"/>
        <v>0.16445735328690014</v>
      </c>
      <c r="J70" s="169">
        <f t="shared" si="4"/>
        <v>0.14896895535130222</v>
      </c>
      <c r="K70" s="169">
        <f t="shared" si="5"/>
        <v>0.13379185176806715</v>
      </c>
      <c r="L70" s="169">
        <f t="shared" si="6"/>
        <v>0.12429227912402423</v>
      </c>
      <c r="M70" s="169">
        <f t="shared" si="7"/>
        <v>0.11668444352942998</v>
      </c>
      <c r="N70" s="169"/>
      <c r="O70" s="155">
        <f t="shared" si="8"/>
        <v>28.082152339787434</v>
      </c>
      <c r="P70" s="155">
        <f t="shared" si="9"/>
        <v>35.662719743013078</v>
      </c>
      <c r="Q70" s="155">
        <f t="shared" si="10"/>
        <v>40.226168138414295</v>
      </c>
      <c r="R70" s="155">
        <f t="shared" si="11"/>
        <v>45.868842723288388</v>
      </c>
      <c r="S70" s="155">
        <f t="shared" si="12"/>
        <v>49.93068650696182</v>
      </c>
      <c r="T70" s="155">
        <f t="shared" si="13"/>
        <v>54.172177494123297</v>
      </c>
      <c r="U70" s="159">
        <f t="shared" si="14"/>
        <v>63.822815968273929</v>
      </c>
      <c r="V70" s="159">
        <f t="shared" si="15"/>
        <v>67.978726756275208</v>
      </c>
      <c r="W70" s="159">
        <f t="shared" si="16"/>
        <v>81.785276018427112</v>
      </c>
      <c r="X70" s="148">
        <f t="shared" si="28"/>
        <v>5.1744742634708137E-2</v>
      </c>
      <c r="Y70" s="148">
        <f t="shared" si="29"/>
        <v>6.6300488255794293E-2</v>
      </c>
      <c r="Z70" s="148">
        <f t="shared" si="30"/>
        <v>7.5067562273127636E-2</v>
      </c>
      <c r="AA70" s="148">
        <f t="shared" si="31"/>
        <v>8.5912008894683936E-2</v>
      </c>
      <c r="AB70" s="148">
        <f t="shared" si="32"/>
        <v>9.3720890678599261E-2</v>
      </c>
      <c r="AC70" s="148">
        <f t="shared" si="33"/>
        <v>0.1018764789665314</v>
      </c>
      <c r="AD70" s="148">
        <f t="shared" si="34"/>
        <v>0.12042824931836685</v>
      </c>
      <c r="AE70" s="148">
        <f t="shared" si="35"/>
        <v>0.12841730649300115</v>
      </c>
      <c r="AF70" s="148">
        <f t="shared" si="36"/>
        <v>0.15495813401947087</v>
      </c>
    </row>
    <row r="71" spans="1:32" x14ac:dyDescent="0.2">
      <c r="A71" s="154">
        <v>31.5</v>
      </c>
      <c r="B71" s="158">
        <v>7.6352268507113799</v>
      </c>
      <c r="C71" s="158">
        <v>13.379573145113932</v>
      </c>
      <c r="D71" s="158">
        <v>18.08655441525077</v>
      </c>
      <c r="E71" s="158">
        <v>25.108688989998175</v>
      </c>
      <c r="F71" s="158">
        <v>31.155956408732891</v>
      </c>
      <c r="G71" s="158">
        <v>37.95469330605944</v>
      </c>
      <c r="H71" s="169">
        <f t="shared" si="2"/>
        <v>0.16933759246663035</v>
      </c>
      <c r="I71" s="169">
        <f t="shared" si="3"/>
        <v>0.14490978396647003</v>
      </c>
      <c r="J71" s="169">
        <f t="shared" si="4"/>
        <v>0.13120268213330291</v>
      </c>
      <c r="K71" s="169">
        <f t="shared" si="5"/>
        <v>0.11777223946812571</v>
      </c>
      <c r="L71" s="169">
        <f t="shared" si="6"/>
        <v>0.10936937737363238</v>
      </c>
      <c r="M71" s="169">
        <f t="shared" si="7"/>
        <v>0.10263927568428365</v>
      </c>
      <c r="N71" s="169"/>
      <c r="O71" s="155">
        <f t="shared" si="8"/>
        <v>26.890223604498093</v>
      </c>
      <c r="P71" s="155">
        <f t="shared" si="9"/>
        <v>33.563310797998881</v>
      </c>
      <c r="Q71" s="155">
        <f t="shared" si="10"/>
        <v>37.575440174288794</v>
      </c>
      <c r="R71" s="155">
        <f t="shared" si="11"/>
        <v>42.531957481210583</v>
      </c>
      <c r="S71" s="155">
        <f t="shared" si="12"/>
        <v>46.096993047286155</v>
      </c>
      <c r="T71" s="155">
        <f t="shared" si="13"/>
        <v>49.818175462127925</v>
      </c>
      <c r="U71" s="159">
        <f t="shared" si="14"/>
        <v>58.290148281312604</v>
      </c>
      <c r="V71" s="159">
        <f t="shared" si="15"/>
        <v>61.938483397088667</v>
      </c>
      <c r="W71" s="159">
        <f t="shared" si="16"/>
        <v>74.05879133204941</v>
      </c>
      <c r="X71" s="148">
        <f t="shared" si="28"/>
        <v>4.9475138349856979E-2</v>
      </c>
      <c r="Y71" s="148">
        <f t="shared" si="29"/>
        <v>6.230342748691077E-2</v>
      </c>
      <c r="Z71" s="148">
        <f t="shared" si="30"/>
        <v>7.0021447481432769E-2</v>
      </c>
      <c r="AA71" s="148">
        <f t="shared" si="31"/>
        <v>7.9560720184049083E-2</v>
      </c>
      <c r="AB71" s="148">
        <f t="shared" si="32"/>
        <v>8.6424911598823179E-2</v>
      </c>
      <c r="AC71" s="148">
        <f t="shared" si="33"/>
        <v>9.3591317660626103E-2</v>
      </c>
      <c r="AD71" s="148">
        <f t="shared" si="34"/>
        <v>0.10990166782462787</v>
      </c>
      <c r="AE71" s="148">
        <f t="shared" si="35"/>
        <v>0.11692548913802747</v>
      </c>
      <c r="AF71" s="148">
        <f t="shared" si="36"/>
        <v>0.14025966061542885</v>
      </c>
    </row>
    <row r="72" spans="1:32" x14ac:dyDescent="0.2">
      <c r="A72" s="154">
        <v>32</v>
      </c>
      <c r="B72" s="158">
        <v>6.7529445269228372</v>
      </c>
      <c r="C72" s="158">
        <v>11.822635363725443</v>
      </c>
      <c r="D72" s="158">
        <v>15.973098138476544</v>
      </c>
      <c r="E72" s="158">
        <v>22.160632938536857</v>
      </c>
      <c r="F72" s="158">
        <v>27.48605673035599</v>
      </c>
      <c r="G72" s="158">
        <v>33.470692393730715</v>
      </c>
      <c r="H72" s="169">
        <f t="shared" si="2"/>
        <v>0.14976992702492894</v>
      </c>
      <c r="I72" s="169">
        <f t="shared" si="3"/>
        <v>0.1280470997011926</v>
      </c>
      <c r="J72" s="169">
        <f t="shared" si="4"/>
        <v>0.11587134119804839</v>
      </c>
      <c r="K72" s="169">
        <f t="shared" si="5"/>
        <v>0.10394439033603987</v>
      </c>
      <c r="L72" s="169">
        <f t="shared" si="6"/>
        <v>9.6486619496385137E-2</v>
      </c>
      <c r="M72" s="169">
        <f t="shared" si="7"/>
        <v>9.0513381210632043E-2</v>
      </c>
      <c r="N72" s="169"/>
      <c r="O72" s="155">
        <f t="shared" si="8"/>
        <v>25.862921168808768</v>
      </c>
      <c r="P72" s="155">
        <f t="shared" si="9"/>
        <v>31.752258507908088</v>
      </c>
      <c r="Q72" s="155">
        <f t="shared" si="10"/>
        <v>35.288004106748815</v>
      </c>
      <c r="R72" s="155">
        <f t="shared" si="11"/>
        <v>39.651616506997108</v>
      </c>
      <c r="S72" s="155">
        <f t="shared" si="12"/>
        <v>42.78741254862134</v>
      </c>
      <c r="T72" s="155">
        <f t="shared" si="13"/>
        <v>46.059148175295931</v>
      </c>
      <c r="U72" s="159">
        <f t="shared" si="14"/>
        <v>53.512779870730533</v>
      </c>
      <c r="V72" s="159">
        <f t="shared" si="15"/>
        <v>56.722580803157577</v>
      </c>
      <c r="W72" s="159">
        <f t="shared" si="16"/>
        <v>67.386013431019222</v>
      </c>
      <c r="X72" s="148">
        <f t="shared" si="28"/>
        <v>4.7477830295976173E-2</v>
      </c>
      <c r="Y72" s="148">
        <f t="shared" si="29"/>
        <v>5.8784012375316261E-2</v>
      </c>
      <c r="Z72" s="148">
        <f t="shared" si="30"/>
        <v>6.5577099852933834E-2</v>
      </c>
      <c r="AA72" s="148">
        <f t="shared" si="31"/>
        <v>7.3965216589386915E-2</v>
      </c>
      <c r="AB72" s="148">
        <f t="shared" si="32"/>
        <v>7.9995965036316743E-2</v>
      </c>
      <c r="AC72" s="148">
        <f t="shared" si="33"/>
        <v>8.6289591273681465E-2</v>
      </c>
      <c r="AD72" s="148">
        <f t="shared" si="34"/>
        <v>0.10062263533683882</v>
      </c>
      <c r="AE72" s="148">
        <f t="shared" si="35"/>
        <v>0.10679495778022162</v>
      </c>
      <c r="AF72" s="148">
        <f t="shared" si="36"/>
        <v>0.12730032428676177</v>
      </c>
    </row>
    <row r="73" spans="1:32" x14ac:dyDescent="0.2">
      <c r="A73" s="154">
        <v>32.5</v>
      </c>
      <c r="B73" s="158">
        <v>5.9434650951429084</v>
      </c>
      <c r="C73" s="158">
        <v>10.402898224559594</v>
      </c>
      <c r="D73" s="158">
        <v>14.053268034747411</v>
      </c>
      <c r="E73" s="158">
        <v>19.494782514535473</v>
      </c>
      <c r="F73" s="158">
        <v>24.17784946212943</v>
      </c>
      <c r="G73" s="158">
        <v>29.440434145893619</v>
      </c>
      <c r="H73" s="169">
        <f t="shared" ref="H73:H115" si="37">B73/$H$5</f>
        <v>0.13181691779428667</v>
      </c>
      <c r="I73" s="169">
        <f t="shared" ref="I73:I115" si="38">C73/$I$5</f>
        <v>0.11267039075133876</v>
      </c>
      <c r="J73" s="169">
        <f t="shared" ref="J73:J115" si="39">D73/$J$5</f>
        <v>0.10194459467317542</v>
      </c>
      <c r="K73" s="169">
        <f t="shared" ref="K73:K115" si="40">E73/$K$5</f>
        <v>9.1440225955065624E-2</v>
      </c>
      <c r="L73" s="169">
        <f t="shared" ref="L73:L115" si="41">F73/$L$5</f>
        <v>8.4873540944014059E-2</v>
      </c>
      <c r="M73" s="169">
        <f t="shared" ref="M73:M115" si="42">G73/$M$5</f>
        <v>7.9614523879789942E-2</v>
      </c>
      <c r="N73" s="169"/>
      <c r="O73" s="155">
        <f t="shared" ref="O73:O115" si="43">$H73*O$2+18</f>
        <v>24.92038818420005</v>
      </c>
      <c r="P73" s="155">
        <f t="shared" ref="P73:P115" si="44">$I73*P$2+18</f>
        <v>30.100799966693785</v>
      </c>
      <c r="Q73" s="155">
        <f t="shared" ref="Q73:Q115" si="45">$J73*Q$2+18</f>
        <v>33.210133525237772</v>
      </c>
      <c r="R73" s="155">
        <f t="shared" ref="R73:R115" si="46">$K73*R$2+18</f>
        <v>37.046999066440172</v>
      </c>
      <c r="S73" s="155">
        <f t="shared" ref="S73:S115" si="47">$L73*S$2+18</f>
        <v>39.80401266851721</v>
      </c>
      <c r="T73" s="155">
        <f t="shared" ref="T73:T115" si="48">$M73*T$2+18</f>
        <v>42.680502402734881</v>
      </c>
      <c r="U73" s="159">
        <f t="shared" ref="U73:U115" si="49">($T73-$Q73)*1.692+$Q73</f>
        <v>49.233997665962875</v>
      </c>
      <c r="V73" s="159">
        <f t="shared" ref="V73:V115" si="50">($T73-$Q73)*1.99+$Q73</f>
        <v>52.056167591457019</v>
      </c>
      <c r="W73" s="159">
        <f t="shared" ref="W73:W115" si="51">($T73-$Q73)*2.98+$Q73</f>
        <v>61.431832780179157</v>
      </c>
      <c r="X73" s="148">
        <f t="shared" si="28"/>
        <v>4.5704978417707938E-2</v>
      </c>
      <c r="Y73" s="148">
        <f t="shared" si="29"/>
        <v>5.5667752627141687E-2</v>
      </c>
      <c r="Z73" s="148">
        <f t="shared" si="30"/>
        <v>6.1648323868787935E-2</v>
      </c>
      <c r="AA73" s="148">
        <f t="shared" si="31"/>
        <v>6.9028754016093555E-2</v>
      </c>
      <c r="AB73" s="148">
        <f t="shared" si="32"/>
        <v>7.433228269542469E-2</v>
      </c>
      <c r="AC73" s="148">
        <f t="shared" si="33"/>
        <v>7.9865685520227742E-2</v>
      </c>
      <c r="AD73" s="148">
        <f t="shared" si="34"/>
        <v>9.2472099783024064E-2</v>
      </c>
      <c r="AE73" s="148">
        <f t="shared" si="35"/>
        <v>9.7900873555153131E-2</v>
      </c>
      <c r="AF73" s="148">
        <f t="shared" si="36"/>
        <v>0.11593606159007853</v>
      </c>
    </row>
    <row r="74" spans="1:32" x14ac:dyDescent="0.2">
      <c r="A74" s="154">
        <v>33</v>
      </c>
      <c r="B74" s="158">
        <v>5.2576217466118766</v>
      </c>
      <c r="C74" s="158">
        <v>9.1980099057279219</v>
      </c>
      <c r="D74" s="158">
        <v>12.422718995644987</v>
      </c>
      <c r="E74" s="158">
        <v>17.228968696554769</v>
      </c>
      <c r="F74" s="158">
        <v>21.364894985199584</v>
      </c>
      <c r="G74" s="158">
        <v>26.012371748765695</v>
      </c>
      <c r="H74" s="169">
        <f t="shared" si="37"/>
        <v>0.11660596680090837</v>
      </c>
      <c r="I74" s="169">
        <f t="shared" si="38"/>
        <v>9.962063915673107E-2</v>
      </c>
      <c r="J74" s="169">
        <f t="shared" si="39"/>
        <v>9.0116338037421292E-2</v>
      </c>
      <c r="K74" s="169">
        <f t="shared" si="40"/>
        <v>8.0812432219291172E-2</v>
      </c>
      <c r="L74" s="169">
        <f t="shared" si="41"/>
        <v>7.4998989969358193E-2</v>
      </c>
      <c r="M74" s="169">
        <f t="shared" si="42"/>
        <v>7.0344159379556556E-2</v>
      </c>
      <c r="N74" s="169"/>
      <c r="O74" s="155">
        <f t="shared" si="43"/>
        <v>24.121813257047691</v>
      </c>
      <c r="P74" s="155">
        <f t="shared" si="44"/>
        <v>28.699256645432918</v>
      </c>
      <c r="Q74" s="155">
        <f t="shared" si="45"/>
        <v>31.445357635183257</v>
      </c>
      <c r="R74" s="155">
        <f t="shared" si="46"/>
        <v>34.833229631278357</v>
      </c>
      <c r="S74" s="155">
        <f t="shared" si="47"/>
        <v>37.267240523128123</v>
      </c>
      <c r="T74" s="155">
        <f t="shared" si="48"/>
        <v>39.806689407662532</v>
      </c>
      <c r="U74" s="159">
        <f t="shared" si="49"/>
        <v>45.592730994218186</v>
      </c>
      <c r="V74" s="159">
        <f t="shared" si="50"/>
        <v>48.084407862417009</v>
      </c>
      <c r="W74" s="159">
        <f t="shared" si="51"/>
        <v>56.362126317171501</v>
      </c>
      <c r="X74" s="148">
        <f t="shared" si="28"/>
        <v>4.4137981297122965E-2</v>
      </c>
      <c r="Y74" s="148">
        <f t="shared" si="29"/>
        <v>5.2920050950914031E-2</v>
      </c>
      <c r="Z74" s="148">
        <f t="shared" si="30"/>
        <v>5.8189942044378933E-2</v>
      </c>
      <c r="AA74" s="148">
        <f t="shared" si="31"/>
        <v>6.4692205827946686E-2</v>
      </c>
      <c r="AB74" s="148">
        <f t="shared" si="32"/>
        <v>6.9364127872480794E-2</v>
      </c>
      <c r="AC74" s="148">
        <f t="shared" si="33"/>
        <v>7.4238472629357663E-2</v>
      </c>
      <c r="AD74" s="148">
        <f t="shared" si="34"/>
        <v>8.5344055794162946E-2</v>
      </c>
      <c r="AE74" s="148">
        <f t="shared" si="35"/>
        <v>9.0126517908486622E-2</v>
      </c>
      <c r="AF74" s="148">
        <f t="shared" si="36"/>
        <v>0.1060145631876156</v>
      </c>
    </row>
    <row r="75" spans="1:32" x14ac:dyDescent="0.2">
      <c r="A75" s="154">
        <v>33.5</v>
      </c>
      <c r="B75" s="158">
        <v>4.6430524302724088</v>
      </c>
      <c r="C75" s="158">
        <v>8.1181335697261972</v>
      </c>
      <c r="D75" s="158">
        <v>10.961199983876618</v>
      </c>
      <c r="E75" s="158">
        <v>15.197821833263532</v>
      </c>
      <c r="F75" s="158">
        <v>18.843103551951401</v>
      </c>
      <c r="G75" s="158">
        <v>22.938961899974995</v>
      </c>
      <c r="H75" s="169">
        <f t="shared" si="37"/>
        <v>0.10297576425845317</v>
      </c>
      <c r="I75" s="169">
        <f t="shared" si="38"/>
        <v>8.792485149121354E-2</v>
      </c>
      <c r="J75" s="169">
        <f t="shared" si="39"/>
        <v>7.9514251540994188E-2</v>
      </c>
      <c r="K75" s="169">
        <f t="shared" si="40"/>
        <v>7.1285343215410635E-2</v>
      </c>
      <c r="L75" s="169">
        <f t="shared" si="41"/>
        <v>6.614653314530107E-2</v>
      </c>
      <c r="M75" s="169">
        <f t="shared" si="42"/>
        <v>6.2032866801927974E-2</v>
      </c>
      <c r="N75" s="169"/>
      <c r="O75" s="155">
        <f t="shared" si="43"/>
        <v>23.406227623568792</v>
      </c>
      <c r="P75" s="155">
        <f t="shared" si="44"/>
        <v>27.443129050156337</v>
      </c>
      <c r="Q75" s="155">
        <f t="shared" si="45"/>
        <v>29.863526329916333</v>
      </c>
      <c r="R75" s="155">
        <f t="shared" si="46"/>
        <v>32.848736991770039</v>
      </c>
      <c r="S75" s="155">
        <f t="shared" si="47"/>
        <v>34.993044365027842</v>
      </c>
      <c r="T75" s="155">
        <f t="shared" si="48"/>
        <v>37.230188708597673</v>
      </c>
      <c r="U75" s="159">
        <f t="shared" si="49"/>
        <v>42.327919074645159</v>
      </c>
      <c r="V75" s="159">
        <f t="shared" si="50"/>
        <v>44.5231844634922</v>
      </c>
      <c r="W75" s="159">
        <f t="shared" si="51"/>
        <v>51.816180218386727</v>
      </c>
      <c r="X75" s="148">
        <f t="shared" si="28"/>
        <v>4.2775236792554835E-2</v>
      </c>
      <c r="Y75" s="148">
        <f t="shared" si="29"/>
        <v>5.0528147126030327E-2</v>
      </c>
      <c r="Z75" s="148">
        <f t="shared" si="30"/>
        <v>5.5177995568589627E-2</v>
      </c>
      <c r="AA75" s="148">
        <f t="shared" si="31"/>
        <v>6.0913769960743554E-2</v>
      </c>
      <c r="AB75" s="148">
        <f t="shared" si="32"/>
        <v>6.5034256399340365E-2</v>
      </c>
      <c r="AC75" s="148">
        <f t="shared" si="33"/>
        <v>6.9333190304634182E-2</v>
      </c>
      <c r="AD75" s="148">
        <f t="shared" si="34"/>
        <v>7.9128585061977022E-2</v>
      </c>
      <c r="AE75" s="148">
        <f t="shared" si="35"/>
        <v>8.3346833093318293E-2</v>
      </c>
      <c r="AF75" s="148">
        <f t="shared" si="36"/>
        <v>9.736047588200239E-2</v>
      </c>
    </row>
    <row r="76" spans="1:32" x14ac:dyDescent="0.2">
      <c r="A76" s="154">
        <v>34</v>
      </c>
      <c r="B76" s="158">
        <v>4.0958421134324148</v>
      </c>
      <c r="C76" s="158">
        <v>7.1564505143539954</v>
      </c>
      <c r="D76" s="158">
        <v>9.6595543478746997</v>
      </c>
      <c r="E76" s="158">
        <v>13.3887540197357</v>
      </c>
      <c r="F76" s="158">
        <v>16.596973224704342</v>
      </c>
      <c r="G76" s="158">
        <v>20.201458187353069</v>
      </c>
      <c r="H76" s="169">
        <f t="shared" si="37"/>
        <v>9.0839480761132713E-2</v>
      </c>
      <c r="I76" s="169">
        <f t="shared" si="38"/>
        <v>7.7509176619770248E-2</v>
      </c>
      <c r="J76" s="169">
        <f t="shared" si="39"/>
        <v>7.0071911407565704E-2</v>
      </c>
      <c r="K76" s="169">
        <f t="shared" si="40"/>
        <v>6.2799915408576587E-2</v>
      </c>
      <c r="L76" s="169">
        <f t="shared" si="41"/>
        <v>5.8261752714609906E-2</v>
      </c>
      <c r="M76" s="169">
        <f t="shared" si="42"/>
        <v>5.4629951015444871E-2</v>
      </c>
      <c r="N76" s="169"/>
      <c r="O76" s="155">
        <f t="shared" si="43"/>
        <v>22.769072739959469</v>
      </c>
      <c r="P76" s="155">
        <f t="shared" si="44"/>
        <v>26.324485568963325</v>
      </c>
      <c r="Q76" s="155">
        <f t="shared" si="45"/>
        <v>28.454729182008805</v>
      </c>
      <c r="R76" s="155">
        <f t="shared" si="46"/>
        <v>31.081222379606501</v>
      </c>
      <c r="S76" s="155">
        <f t="shared" si="47"/>
        <v>32.967444272383283</v>
      </c>
      <c r="T76" s="155">
        <f t="shared" si="48"/>
        <v>34.935284814787906</v>
      </c>
      <c r="U76" s="159">
        <f t="shared" si="49"/>
        <v>39.419829312671041</v>
      </c>
      <c r="V76" s="159">
        <f t="shared" si="50"/>
        <v>41.351034891239216</v>
      </c>
      <c r="W76" s="159">
        <f t="shared" si="51"/>
        <v>47.766784967690526</v>
      </c>
      <c r="X76" s="148">
        <f t="shared" si="28"/>
        <v>4.155777032717544E-2</v>
      </c>
      <c r="Y76" s="148">
        <f t="shared" si="29"/>
        <v>4.8390853157207696E-2</v>
      </c>
      <c r="Z76" s="148">
        <f t="shared" si="30"/>
        <v>5.248642996073262E-2</v>
      </c>
      <c r="AA76" s="148">
        <f t="shared" si="31"/>
        <v>5.7536963434238884E-2</v>
      </c>
      <c r="AB76" s="148">
        <f t="shared" si="32"/>
        <v>6.1164439773670004E-2</v>
      </c>
      <c r="AC76" s="148">
        <f t="shared" si="33"/>
        <v>6.4948926171047014E-2</v>
      </c>
      <c r="AD76" s="148">
        <f t="shared" si="34"/>
        <v>7.3572973548584567E-2</v>
      </c>
      <c r="AE76" s="148">
        <f t="shared" si="35"/>
        <v>7.7286797419258285E-2</v>
      </c>
      <c r="AF76" s="148">
        <f t="shared" si="36"/>
        <v>8.9624668667469515E-2</v>
      </c>
    </row>
    <row r="77" spans="1:32" x14ac:dyDescent="0.2">
      <c r="A77" s="154">
        <v>34.5</v>
      </c>
      <c r="B77" s="158">
        <v>3.611527740889152</v>
      </c>
      <c r="C77" s="158">
        <v>6.3089639069293781</v>
      </c>
      <c r="D77" s="158">
        <v>8.5148366747469915</v>
      </c>
      <c r="E77" s="158">
        <v>11.801020809146745</v>
      </c>
      <c r="F77" s="158">
        <v>14.628011967665346</v>
      </c>
      <c r="G77" s="158">
        <v>17.8041214109607</v>
      </c>
      <c r="H77" s="169">
        <f t="shared" si="37"/>
        <v>8.0098132606451267E-2</v>
      </c>
      <c r="I77" s="169">
        <f t="shared" si="38"/>
        <v>6.8330326153884777E-2</v>
      </c>
      <c r="J77" s="169">
        <f t="shared" si="39"/>
        <v>6.1767951153361228E-2</v>
      </c>
      <c r="K77" s="169">
        <f t="shared" si="40"/>
        <v>5.5352656972922513E-2</v>
      </c>
      <c r="L77" s="169">
        <f t="shared" si="41"/>
        <v>5.1349942211023521E-2</v>
      </c>
      <c r="M77" s="169">
        <f t="shared" si="42"/>
        <v>4.8146934321935599E-2</v>
      </c>
      <c r="N77" s="169"/>
      <c r="O77" s="155">
        <f t="shared" si="43"/>
        <v>22.205151961838691</v>
      </c>
      <c r="P77" s="155">
        <f t="shared" si="44"/>
        <v>25.338677028927226</v>
      </c>
      <c r="Q77" s="155">
        <f t="shared" si="45"/>
        <v>27.215778312081497</v>
      </c>
      <c r="R77" s="155">
        <f t="shared" si="46"/>
        <v>29.529958447459762</v>
      </c>
      <c r="S77" s="155">
        <f t="shared" si="47"/>
        <v>31.191800154011943</v>
      </c>
      <c r="T77" s="155">
        <f t="shared" si="48"/>
        <v>32.925549639800039</v>
      </c>
      <c r="U77" s="159">
        <f t="shared" si="49"/>
        <v>36.876711398581271</v>
      </c>
      <c r="V77" s="159">
        <f t="shared" si="50"/>
        <v>38.578223254241394</v>
      </c>
      <c r="W77" s="159">
        <f t="shared" si="51"/>
        <v>44.230896868682748</v>
      </c>
      <c r="X77" s="148">
        <f t="shared" ref="X77:AC77" si="52">(O77+O76)*($A77-$A76)/2*(3600/1000000)</f>
        <v>4.0476802231618349E-2</v>
      </c>
      <c r="Y77" s="148">
        <f t="shared" si="52"/>
        <v>4.6496846338101493E-2</v>
      </c>
      <c r="Z77" s="148">
        <f t="shared" si="52"/>
        <v>5.0103456744681273E-2</v>
      </c>
      <c r="AA77" s="148">
        <f t="shared" si="52"/>
        <v>5.4550062744359633E-2</v>
      </c>
      <c r="AB77" s="148">
        <f t="shared" si="52"/>
        <v>5.7743319983755696E-2</v>
      </c>
      <c r="AC77" s="148">
        <f t="shared" si="52"/>
        <v>6.1074751009129145E-2</v>
      </c>
      <c r="AD77" s="148">
        <f t="shared" si="34"/>
        <v>6.8666886640127073E-2</v>
      </c>
      <c r="AE77" s="148">
        <f t="shared" si="35"/>
        <v>7.1936332330932551E-2</v>
      </c>
      <c r="AF77" s="148">
        <f>(W77+W76)*($A77-$A76)/2*(3600/1000000)</f>
        <v>8.2797913652735949E-2</v>
      </c>
    </row>
    <row r="78" spans="1:32" x14ac:dyDescent="0.2">
      <c r="A78" s="154">
        <v>35</v>
      </c>
      <c r="B78" s="158">
        <v>3.1734874783102383</v>
      </c>
      <c r="C78" s="158">
        <v>5.5422082889229749</v>
      </c>
      <c r="D78" s="158">
        <v>7.4790075109615621</v>
      </c>
      <c r="E78" s="158">
        <v>10.364104439521885</v>
      </c>
      <c r="F78" s="158">
        <v>12.845926331435493</v>
      </c>
      <c r="G78" s="158">
        <v>15.634165595668264</v>
      </c>
      <c r="H78" s="169">
        <f t="shared" si="37"/>
        <v>7.038307306481463E-2</v>
      </c>
      <c r="I78" s="169">
        <f t="shared" si="38"/>
        <v>6.0025846649547118E-2</v>
      </c>
      <c r="J78" s="169">
        <f t="shared" si="39"/>
        <v>5.4253885101844562E-2</v>
      </c>
      <c r="K78" s="169">
        <f t="shared" si="40"/>
        <v>4.8612804531939245E-2</v>
      </c>
      <c r="L78" s="169">
        <f t="shared" si="41"/>
        <v>4.5094136935653409E-2</v>
      </c>
      <c r="M78" s="169">
        <f t="shared" si="42"/>
        <v>4.2278814367638473E-2</v>
      </c>
      <c r="N78" s="169"/>
      <c r="O78" s="155">
        <f t="shared" si="43"/>
        <v>21.695111335902769</v>
      </c>
      <c r="P78" s="155">
        <f t="shared" si="44"/>
        <v>24.446775930161362</v>
      </c>
      <c r="Q78" s="155">
        <f t="shared" si="45"/>
        <v>26.094679657195208</v>
      </c>
      <c r="R78" s="155">
        <f t="shared" si="46"/>
        <v>28.126047184002946</v>
      </c>
      <c r="S78" s="155">
        <f t="shared" si="47"/>
        <v>29.58468377876936</v>
      </c>
      <c r="T78" s="155">
        <f t="shared" si="48"/>
        <v>31.106432453967926</v>
      </c>
      <c r="U78" s="159">
        <f t="shared" si="49"/>
        <v>34.574565389334651</v>
      </c>
      <c r="V78" s="159">
        <f t="shared" si="50"/>
        <v>36.068067722772916</v>
      </c>
      <c r="W78" s="159">
        <f t="shared" si="51"/>
        <v>41.029702991577906</v>
      </c>
      <c r="X78" s="148">
        <f t="shared" ref="X78:X115" si="53">(O78+O77)*($A78-$A77)/2*(3600/1000000)</f>
        <v>3.9510236967967315E-2</v>
      </c>
      <c r="Y78" s="148">
        <f t="shared" ref="Y78:Y115" si="54">(P78+P77)*($A78-$A77)/2*(3600/1000000)</f>
        <v>4.4806907663179726E-2</v>
      </c>
      <c r="Z78" s="148">
        <f t="shared" ref="Z78:Z115" si="55">(Q78+Q77)*($A78-$A77)/2*(3600/1000000)</f>
        <v>4.797941217234903E-2</v>
      </c>
      <c r="AA78" s="148">
        <f t="shared" ref="AA78:AA115" si="56">(R78+R77)*($A78-$A77)/2*(3600/1000000)</f>
        <v>5.1890405068316429E-2</v>
      </c>
      <c r="AB78" s="148">
        <f t="shared" ref="AB78:AB115" si="57">(S78+S77)*($A78-$A77)/2*(3600/1000000)</f>
        <v>5.4698835539503173E-2</v>
      </c>
      <c r="AC78" s="148">
        <f t="shared" ref="AC78:AC115" si="58">(T78+T77)*($A78-$A77)/2*(3600/1000000)</f>
        <v>5.7628783884391167E-2</v>
      </c>
      <c r="AD78" s="148">
        <f t="shared" si="34"/>
        <v>6.4306149109124341E-2</v>
      </c>
      <c r="AE78" s="148">
        <f t="shared" si="35"/>
        <v>6.7181661879312876E-2</v>
      </c>
      <c r="AF78" s="148">
        <f t="shared" ref="AF78:AF115" si="59">(W78+W77)*($A78-$A77)/2*(3600/1000000)</f>
        <v>7.6734539874234592E-2</v>
      </c>
    </row>
    <row r="79" spans="1:32" x14ac:dyDescent="0.2">
      <c r="A79" s="154">
        <v>35.5</v>
      </c>
      <c r="B79" s="158">
        <v>2.8017756082985166</v>
      </c>
      <c r="C79" s="158">
        <v>4.890830150907421</v>
      </c>
      <c r="D79" s="158">
        <v>6.5985996585372639</v>
      </c>
      <c r="E79" s="158">
        <v>9.1422108887612641</v>
      </c>
      <c r="F79" s="158">
        <v>11.33011115278517</v>
      </c>
      <c r="G79" s="158">
        <v>13.788044258556859</v>
      </c>
      <c r="H79" s="169">
        <f t="shared" si="37"/>
        <v>6.21390752911022E-2</v>
      </c>
      <c r="I79" s="169">
        <f t="shared" si="38"/>
        <v>5.2970982922838021E-2</v>
      </c>
      <c r="J79" s="169">
        <f t="shared" si="39"/>
        <v>4.7867269444863032E-2</v>
      </c>
      <c r="K79" s="169">
        <f t="shared" si="40"/>
        <v>4.2881516055585038E-2</v>
      </c>
      <c r="L79" s="169">
        <f t="shared" si="41"/>
        <v>3.9773043269723814E-2</v>
      </c>
      <c r="M79" s="169">
        <f t="shared" si="42"/>
        <v>3.7286426329130339E-2</v>
      </c>
      <c r="N79" s="169"/>
      <c r="O79" s="155">
        <f t="shared" si="43"/>
        <v>21.262301452782864</v>
      </c>
      <c r="P79" s="155">
        <f t="shared" si="44"/>
        <v>23.689083565912803</v>
      </c>
      <c r="Q79" s="155">
        <f t="shared" si="45"/>
        <v>25.141796601173564</v>
      </c>
      <c r="R79" s="155">
        <f t="shared" si="46"/>
        <v>26.932219794378362</v>
      </c>
      <c r="S79" s="155">
        <f t="shared" si="47"/>
        <v>28.217694815992047</v>
      </c>
      <c r="T79" s="155">
        <f t="shared" si="48"/>
        <v>29.558792162030407</v>
      </c>
      <c r="U79" s="159">
        <f t="shared" si="49"/>
        <v>32.615353090143344</v>
      </c>
      <c r="V79" s="159">
        <f t="shared" si="50"/>
        <v>33.931617767278681</v>
      </c>
      <c r="W79" s="159">
        <f t="shared" si="51"/>
        <v>38.304443372526961</v>
      </c>
      <c r="X79" s="148">
        <f t="shared" si="53"/>
        <v>3.8661671509817065E-2</v>
      </c>
      <c r="Y79" s="148">
        <f t="shared" si="54"/>
        <v>4.3322273546466741E-2</v>
      </c>
      <c r="Z79" s="148">
        <f t="shared" si="55"/>
        <v>4.611282863253189E-2</v>
      </c>
      <c r="AA79" s="148">
        <f t="shared" si="56"/>
        <v>4.9552440280543182E-2</v>
      </c>
      <c r="AB79" s="148">
        <f t="shared" si="57"/>
        <v>5.2022140735285265E-2</v>
      </c>
      <c r="AC79" s="148">
        <f t="shared" si="58"/>
        <v>5.45987021543985E-2</v>
      </c>
      <c r="AD79" s="148">
        <f t="shared" si="34"/>
        <v>6.0470926631530197E-2</v>
      </c>
      <c r="AE79" s="148">
        <f t="shared" si="35"/>
        <v>6.2999716941046446E-2</v>
      </c>
      <c r="AF79" s="148">
        <f t="shared" si="59"/>
        <v>7.1400731727694372E-2</v>
      </c>
    </row>
    <row r="80" spans="1:32" x14ac:dyDescent="0.2">
      <c r="A80" s="154">
        <v>36</v>
      </c>
      <c r="B80" s="158">
        <v>2.4594586853229821</v>
      </c>
      <c r="C80" s="158">
        <v>4.2910916147758247</v>
      </c>
      <c r="D80" s="158">
        <v>5.7880681849317241</v>
      </c>
      <c r="E80" s="158">
        <v>8.0174023746983814</v>
      </c>
      <c r="F80" s="158">
        <v>9.9348091371862779</v>
      </c>
      <c r="G80" s="158">
        <v>12.088769666272974</v>
      </c>
      <c r="H80" s="169">
        <f t="shared" si="37"/>
        <v>5.4547012248225994E-2</v>
      </c>
      <c r="I80" s="169">
        <f t="shared" si="38"/>
        <v>4.6475410847062616E-2</v>
      </c>
      <c r="J80" s="169">
        <f t="shared" si="39"/>
        <v>4.1987547920854296E-2</v>
      </c>
      <c r="K80" s="169">
        <f t="shared" si="40"/>
        <v>3.7605604687740657E-2</v>
      </c>
      <c r="L80" s="169">
        <f t="shared" si="41"/>
        <v>3.4874997108269724E-2</v>
      </c>
      <c r="M80" s="169">
        <f t="shared" si="42"/>
        <v>3.2691149746751011E-2</v>
      </c>
      <c r="N80" s="169"/>
      <c r="O80" s="155">
        <f t="shared" si="43"/>
        <v>20.863718143031864</v>
      </c>
      <c r="P80" s="155">
        <f t="shared" si="44"/>
        <v>22.991459124974526</v>
      </c>
      <c r="Q80" s="155">
        <f t="shared" si="45"/>
        <v>24.26454214979146</v>
      </c>
      <c r="R80" s="155">
        <f t="shared" si="46"/>
        <v>25.83324745645638</v>
      </c>
      <c r="S80" s="155">
        <f t="shared" si="47"/>
        <v>26.959386757114494</v>
      </c>
      <c r="T80" s="155">
        <f t="shared" si="48"/>
        <v>28.134256421492815</v>
      </c>
      <c r="U80" s="159">
        <f t="shared" si="49"/>
        <v>30.812098697510152</v>
      </c>
      <c r="V80" s="159">
        <f t="shared" si="50"/>
        <v>31.965273550477157</v>
      </c>
      <c r="W80" s="159">
        <f t="shared" si="51"/>
        <v>35.796290679461499</v>
      </c>
      <c r="X80" s="148">
        <f t="shared" si="53"/>
        <v>3.7913417636233251E-2</v>
      </c>
      <c r="Y80" s="148">
        <f t="shared" si="54"/>
        <v>4.2012488421798597E-2</v>
      </c>
      <c r="Z80" s="148">
        <f t="shared" si="55"/>
        <v>4.4465704875868518E-2</v>
      </c>
      <c r="AA80" s="148">
        <f t="shared" si="56"/>
        <v>4.7488920525751273E-2</v>
      </c>
      <c r="AB80" s="148">
        <f t="shared" si="57"/>
        <v>4.9659373415795884E-2</v>
      </c>
      <c r="AC80" s="148">
        <f t="shared" si="58"/>
        <v>5.1923743725170897E-2</v>
      </c>
      <c r="AD80" s="148">
        <f t="shared" si="34"/>
        <v>5.7084706608888147E-2</v>
      </c>
      <c r="AE80" s="148">
        <f t="shared" si="35"/>
        <v>5.9307202185980248E-2</v>
      </c>
      <c r="AF80" s="148">
        <f t="shared" si="59"/>
        <v>6.6690660646789621E-2</v>
      </c>
    </row>
    <row r="81" spans="1:32" x14ac:dyDescent="0.2">
      <c r="A81" s="154">
        <v>36.5</v>
      </c>
      <c r="B81" s="158">
        <v>2.1665874417148796</v>
      </c>
      <c r="C81" s="158">
        <v>3.779261101307406</v>
      </c>
      <c r="D81" s="158">
        <v>5.0971525874074608</v>
      </c>
      <c r="E81" s="158">
        <v>7.059675656895366</v>
      </c>
      <c r="F81" s="158">
        <v>8.7475453936038718</v>
      </c>
      <c r="G81" s="158">
        <v>10.643619031474184</v>
      </c>
      <c r="H81" s="169">
        <f t="shared" si="37"/>
        <v>4.8051578351499882E-2</v>
      </c>
      <c r="I81" s="169">
        <f t="shared" si="38"/>
        <v>4.0931941834283107E-2</v>
      </c>
      <c r="J81" s="169">
        <f t="shared" si="39"/>
        <v>3.6975538588303922E-2</v>
      </c>
      <c r="K81" s="169">
        <f t="shared" si="40"/>
        <v>3.3113390044473175E-2</v>
      </c>
      <c r="L81" s="169">
        <f t="shared" si="41"/>
        <v>3.0707245211637233E-2</v>
      </c>
      <c r="M81" s="169">
        <f t="shared" si="42"/>
        <v>2.8783089860340342E-2</v>
      </c>
      <c r="N81" s="169"/>
      <c r="O81" s="155">
        <f t="shared" si="43"/>
        <v>20.522707863453743</v>
      </c>
      <c r="P81" s="155">
        <f t="shared" si="44"/>
        <v>22.396090553002004</v>
      </c>
      <c r="Q81" s="155">
        <f t="shared" si="45"/>
        <v>23.516750357374946</v>
      </c>
      <c r="R81" s="155">
        <f t="shared" si="46"/>
        <v>24.897519146263761</v>
      </c>
      <c r="S81" s="155">
        <f t="shared" si="47"/>
        <v>25.888691294869606</v>
      </c>
      <c r="T81" s="155">
        <f t="shared" si="48"/>
        <v>26.922757856705505</v>
      </c>
      <c r="U81" s="159">
        <f t="shared" si="49"/>
        <v>29.279715046242252</v>
      </c>
      <c r="V81" s="159">
        <f t="shared" si="50"/>
        <v>30.294705281042759</v>
      </c>
      <c r="W81" s="159">
        <f t="shared" si="51"/>
        <v>33.666652705380017</v>
      </c>
      <c r="X81" s="148">
        <f t="shared" si="53"/>
        <v>3.7247783405837044E-2</v>
      </c>
      <c r="Y81" s="148">
        <f t="shared" si="54"/>
        <v>4.0848794710178875E-2</v>
      </c>
      <c r="Z81" s="148">
        <f t="shared" si="55"/>
        <v>4.3003163256449761E-2</v>
      </c>
      <c r="AA81" s="148">
        <f t="shared" si="56"/>
        <v>4.5657689942448121E-2</v>
      </c>
      <c r="AB81" s="148">
        <f t="shared" si="57"/>
        <v>4.7563270246785694E-2</v>
      </c>
      <c r="AC81" s="148">
        <f t="shared" si="58"/>
        <v>4.955131285037849E-2</v>
      </c>
      <c r="AD81" s="148">
        <f t="shared" si="34"/>
        <v>5.4082632369377159E-2</v>
      </c>
      <c r="AE81" s="148">
        <f t="shared" si="35"/>
        <v>5.6033980948367923E-2</v>
      </c>
      <c r="AF81" s="148">
        <f t="shared" si="59"/>
        <v>6.2516649046357356E-2</v>
      </c>
    </row>
    <row r="82" spans="1:32" x14ac:dyDescent="0.2">
      <c r="A82" s="154">
        <v>37</v>
      </c>
      <c r="B82" s="158">
        <v>1.8990216035967511</v>
      </c>
      <c r="C82" s="158">
        <v>3.3116076872924887</v>
      </c>
      <c r="D82" s="158">
        <v>4.4658374590090677</v>
      </c>
      <c r="E82" s="158">
        <v>6.1845162519207335</v>
      </c>
      <c r="F82" s="158">
        <v>7.6626004117883895</v>
      </c>
      <c r="G82" s="158">
        <v>9.3229737315945602</v>
      </c>
      <c r="H82" s="169">
        <f t="shared" si="37"/>
        <v>4.2117379441742722E-2</v>
      </c>
      <c r="I82" s="169">
        <f t="shared" si="38"/>
        <v>3.5866940547539382E-2</v>
      </c>
      <c r="J82" s="169">
        <f t="shared" si="39"/>
        <v>3.239588033966833E-2</v>
      </c>
      <c r="K82" s="169">
        <f t="shared" si="40"/>
        <v>2.9008457164205644E-2</v>
      </c>
      <c r="L82" s="169">
        <f t="shared" si="41"/>
        <v>2.689867148053051E-2</v>
      </c>
      <c r="M82" s="169">
        <f t="shared" si="42"/>
        <v>2.5211724497894963E-2</v>
      </c>
      <c r="N82" s="169"/>
      <c r="O82" s="155">
        <f t="shared" si="43"/>
        <v>20.211162420691494</v>
      </c>
      <c r="P82" s="155">
        <f t="shared" si="44"/>
        <v>21.852109414805732</v>
      </c>
      <c r="Q82" s="155">
        <f t="shared" si="45"/>
        <v>22.833465346678516</v>
      </c>
      <c r="R82" s="155">
        <f t="shared" si="46"/>
        <v>24.042461627304036</v>
      </c>
      <c r="S82" s="155">
        <f t="shared" si="47"/>
        <v>24.910268703348287</v>
      </c>
      <c r="T82" s="155">
        <f t="shared" si="48"/>
        <v>25.815634594347436</v>
      </c>
      <c r="U82" s="159">
        <f t="shared" si="49"/>
        <v>27.879295713734329</v>
      </c>
      <c r="V82" s="159">
        <f t="shared" si="50"/>
        <v>28.767982149539669</v>
      </c>
      <c r="W82" s="159">
        <f t="shared" si="51"/>
        <v>31.720329704731899</v>
      </c>
      <c r="X82" s="148">
        <f t="shared" si="53"/>
        <v>3.6660483255730715E-2</v>
      </c>
      <c r="Y82" s="148">
        <f t="shared" si="54"/>
        <v>3.9823379971026959E-2</v>
      </c>
      <c r="Z82" s="148">
        <f t="shared" si="55"/>
        <v>4.1715194133648111E-2</v>
      </c>
      <c r="AA82" s="148">
        <f t="shared" si="56"/>
        <v>4.4045982696211017E-2</v>
      </c>
      <c r="AB82" s="148">
        <f t="shared" si="57"/>
        <v>4.5719063998396106E-2</v>
      </c>
      <c r="AC82" s="148">
        <f t="shared" si="58"/>
        <v>4.7464553205947647E-2</v>
      </c>
      <c r="AD82" s="148">
        <f t="shared" si="34"/>
        <v>5.1443109683978923E-2</v>
      </c>
      <c r="AE82" s="148">
        <f t="shared" si="35"/>
        <v>5.3156418687524187E-2</v>
      </c>
      <c r="AF82" s="148">
        <f t="shared" si="59"/>
        <v>5.884828416910072E-2</v>
      </c>
    </row>
    <row r="83" spans="1:32" x14ac:dyDescent="0.2">
      <c r="A83" s="154">
        <v>37.5</v>
      </c>
      <c r="B83" s="158">
        <v>1.6732251416326687</v>
      </c>
      <c r="C83" s="158">
        <v>2.916449256158363</v>
      </c>
      <c r="D83" s="158">
        <v>3.9320792535545985</v>
      </c>
      <c r="E83" s="158">
        <v>5.4441977772613468</v>
      </c>
      <c r="F83" s="158">
        <v>6.7445456486275717</v>
      </c>
      <c r="G83" s="158">
        <v>8.2052135924874126</v>
      </c>
      <c r="H83" s="169">
        <f t="shared" si="37"/>
        <v>3.7109561075099391E-2</v>
      </c>
      <c r="I83" s="169">
        <f t="shared" si="38"/>
        <v>3.1587108727262898E-2</v>
      </c>
      <c r="J83" s="169">
        <f t="shared" si="39"/>
        <v>2.8523915201453035E-2</v>
      </c>
      <c r="K83" s="169">
        <f t="shared" si="40"/>
        <v>2.5535995311856689E-2</v>
      </c>
      <c r="L83" s="169">
        <f t="shared" si="41"/>
        <v>2.3675946537519213E-2</v>
      </c>
      <c r="M83" s="169">
        <f t="shared" si="42"/>
        <v>2.2189012915388093E-2</v>
      </c>
      <c r="N83" s="169"/>
      <c r="O83" s="155">
        <f t="shared" si="43"/>
        <v>19.948251956442718</v>
      </c>
      <c r="P83" s="155">
        <f t="shared" si="44"/>
        <v>21.392455477308037</v>
      </c>
      <c r="Q83" s="155">
        <f t="shared" si="45"/>
        <v>22.255768148056791</v>
      </c>
      <c r="R83" s="155">
        <f t="shared" si="46"/>
        <v>23.319147823459748</v>
      </c>
      <c r="S83" s="155">
        <f t="shared" si="47"/>
        <v>24.082350665488686</v>
      </c>
      <c r="T83" s="155">
        <f t="shared" si="48"/>
        <v>24.87859400377031</v>
      </c>
      <c r="U83" s="159">
        <f t="shared" si="49"/>
        <v>26.693589495924066</v>
      </c>
      <c r="V83" s="159">
        <f t="shared" si="50"/>
        <v>27.475191600926692</v>
      </c>
      <c r="W83" s="159">
        <f t="shared" si="51"/>
        <v>30.071789198083074</v>
      </c>
      <c r="X83" s="148">
        <f t="shared" si="53"/>
        <v>3.6143472939420787E-2</v>
      </c>
      <c r="Y83" s="148">
        <f t="shared" si="54"/>
        <v>3.8920108402902394E-2</v>
      </c>
      <c r="Z83" s="148">
        <f t="shared" si="55"/>
        <v>4.0580310145261776E-2</v>
      </c>
      <c r="AA83" s="148">
        <f t="shared" si="56"/>
        <v>4.2625448505687398E-2</v>
      </c>
      <c r="AB83" s="148">
        <f t="shared" si="57"/>
        <v>4.4093357431953271E-2</v>
      </c>
      <c r="AC83" s="148">
        <f t="shared" si="58"/>
        <v>4.5624805738305969E-2</v>
      </c>
      <c r="AD83" s="148">
        <f t="shared" si="34"/>
        <v>4.9115596688692552E-2</v>
      </c>
      <c r="AE83" s="148">
        <f t="shared" si="35"/>
        <v>5.0618856375419727E-2</v>
      </c>
      <c r="AF83" s="148">
        <f t="shared" si="59"/>
        <v>5.5612907012533477E-2</v>
      </c>
    </row>
    <row r="84" spans="1:32" x14ac:dyDescent="0.2">
      <c r="A84" s="154">
        <v>38</v>
      </c>
      <c r="B84" s="158">
        <v>1.472706274704958</v>
      </c>
      <c r="C84" s="158">
        <v>2.5654102025449212</v>
      </c>
      <c r="D84" s="158">
        <v>3.4578449505839828</v>
      </c>
      <c r="E84" s="158">
        <v>4.7863498543448681</v>
      </c>
      <c r="F84" s="158">
        <v>5.9287010489702565</v>
      </c>
      <c r="G84" s="158">
        <v>7.211841002868276</v>
      </c>
      <c r="H84" s="169">
        <f t="shared" si="37"/>
        <v>3.2662360902322399E-2</v>
      </c>
      <c r="I84" s="169">
        <f t="shared" si="38"/>
        <v>2.7785119465632772E-2</v>
      </c>
      <c r="J84" s="169">
        <f t="shared" si="39"/>
        <v>2.5083745720808511E-2</v>
      </c>
      <c r="K84" s="169">
        <f t="shared" si="40"/>
        <v>2.2450361364891532E-2</v>
      </c>
      <c r="L84" s="169">
        <f t="shared" si="41"/>
        <v>2.0812018538404715E-2</v>
      </c>
      <c r="M84" s="169">
        <f t="shared" si="42"/>
        <v>1.950267733467477E-2</v>
      </c>
      <c r="N84" s="169"/>
      <c r="O84" s="155">
        <f t="shared" si="43"/>
        <v>19.714773947371924</v>
      </c>
      <c r="P84" s="155">
        <f t="shared" si="44"/>
        <v>20.984121830608959</v>
      </c>
      <c r="Q84" s="155">
        <f t="shared" si="45"/>
        <v>21.742494861544628</v>
      </c>
      <c r="R84" s="155">
        <f t="shared" si="46"/>
        <v>22.676410272306907</v>
      </c>
      <c r="S84" s="155">
        <f t="shared" si="47"/>
        <v>23.346607562516169</v>
      </c>
      <c r="T84" s="155">
        <f t="shared" si="48"/>
        <v>24.045829973749179</v>
      </c>
      <c r="U84" s="159">
        <f t="shared" si="49"/>
        <v>25.639737871394729</v>
      </c>
      <c r="V84" s="159">
        <f t="shared" si="50"/>
        <v>26.326131734831684</v>
      </c>
      <c r="W84" s="159">
        <f t="shared" si="51"/>
        <v>28.606433495914189</v>
      </c>
      <c r="X84" s="148">
        <f t="shared" si="53"/>
        <v>3.5696723313433175E-2</v>
      </c>
      <c r="Y84" s="148">
        <f t="shared" si="54"/>
        <v>3.8138919577125292E-2</v>
      </c>
      <c r="Z84" s="148">
        <f t="shared" si="55"/>
        <v>3.9598436708641271E-2</v>
      </c>
      <c r="AA84" s="148">
        <f t="shared" si="56"/>
        <v>4.139600228618999E-2</v>
      </c>
      <c r="AB84" s="148">
        <f t="shared" si="57"/>
        <v>4.2686062405204374E-2</v>
      </c>
      <c r="AC84" s="148">
        <f t="shared" si="58"/>
        <v>4.4031981579767537E-2</v>
      </c>
      <c r="AD84" s="148">
        <f t="shared" si="34"/>
        <v>4.7099994630586915E-2</v>
      </c>
      <c r="AE84" s="148">
        <f t="shared" si="35"/>
        <v>4.8421191002182534E-2</v>
      </c>
      <c r="AF84" s="148">
        <f t="shared" si="59"/>
        <v>5.2810400424597538E-2</v>
      </c>
    </row>
    <row r="85" spans="1:32" x14ac:dyDescent="0.2">
      <c r="A85" s="154">
        <v>38.5</v>
      </c>
      <c r="B85" s="158">
        <v>1.3001173768021417</v>
      </c>
      <c r="C85" s="158">
        <v>2.2641171161718061</v>
      </c>
      <c r="D85" s="158">
        <v>3.0513432918493892</v>
      </c>
      <c r="E85" s="158">
        <v>4.2231552063227236</v>
      </c>
      <c r="F85" s="158">
        <v>5.2307323896525499</v>
      </c>
      <c r="G85" s="158">
        <v>6.3624693028120696</v>
      </c>
      <c r="H85" s="169">
        <f t="shared" si="37"/>
        <v>2.8834604500479671E-2</v>
      </c>
      <c r="I85" s="169">
        <f t="shared" si="38"/>
        <v>2.4521912516996796E-2</v>
      </c>
      <c r="J85" s="169">
        <f t="shared" si="39"/>
        <v>2.2134919388655198E-2</v>
      </c>
      <c r="K85" s="169">
        <f t="shared" si="40"/>
        <v>1.9808698354112586E-2</v>
      </c>
      <c r="L85" s="169">
        <f t="shared" si="41"/>
        <v>1.8361880378804204E-2</v>
      </c>
      <c r="M85" s="169">
        <f t="shared" si="42"/>
        <v>1.7205757283773458E-2</v>
      </c>
      <c r="N85" s="169"/>
      <c r="O85" s="155">
        <f t="shared" si="43"/>
        <v>19.513816736275182</v>
      </c>
      <c r="P85" s="155">
        <f t="shared" si="44"/>
        <v>20.633653404325457</v>
      </c>
      <c r="Q85" s="155">
        <f t="shared" si="45"/>
        <v>21.302529972787354</v>
      </c>
      <c r="R85" s="155">
        <f t="shared" si="46"/>
        <v>22.126151867161653</v>
      </c>
      <c r="S85" s="155">
        <f t="shared" si="47"/>
        <v>22.717167069314797</v>
      </c>
      <c r="T85" s="155">
        <f t="shared" si="48"/>
        <v>23.333784757969774</v>
      </c>
      <c r="U85" s="159">
        <f t="shared" si="49"/>
        <v>24.739413069316008</v>
      </c>
      <c r="V85" s="159">
        <f t="shared" si="50"/>
        <v>25.34472699530037</v>
      </c>
      <c r="W85" s="159">
        <f t="shared" si="51"/>
        <v>27.355669232630966</v>
      </c>
      <c r="X85" s="148">
        <f t="shared" si="53"/>
        <v>3.5305731615282394E-2</v>
      </c>
      <c r="Y85" s="148">
        <f t="shared" si="54"/>
        <v>3.7455997711440973E-2</v>
      </c>
      <c r="Z85" s="148">
        <f t="shared" si="55"/>
        <v>3.8740522350898782E-2</v>
      </c>
      <c r="AA85" s="148">
        <f t="shared" si="56"/>
        <v>4.0322305925521704E-2</v>
      </c>
      <c r="AB85" s="148">
        <f t="shared" si="57"/>
        <v>4.1457397168647867E-2</v>
      </c>
      <c r="AC85" s="148">
        <f t="shared" si="58"/>
        <v>4.2641653258547053E-2</v>
      </c>
      <c r="AD85" s="148">
        <f t="shared" si="34"/>
        <v>4.5341235846639662E-2</v>
      </c>
      <c r="AE85" s="148">
        <f t="shared" si="35"/>
        <v>4.6503772857118847E-2</v>
      </c>
      <c r="AF85" s="148">
        <f t="shared" si="59"/>
        <v>5.036589245569064E-2</v>
      </c>
    </row>
    <row r="86" spans="1:32" x14ac:dyDescent="0.2">
      <c r="A86" s="154">
        <v>39</v>
      </c>
      <c r="B86" s="158">
        <v>1.1484298138427274</v>
      </c>
      <c r="C86" s="158">
        <v>1.9990748124719255</v>
      </c>
      <c r="D86" s="158">
        <v>2.6936066002007539</v>
      </c>
      <c r="E86" s="158">
        <v>3.7273367909498099</v>
      </c>
      <c r="F86" s="158">
        <v>4.6161349060351684</v>
      </c>
      <c r="G86" s="158">
        <v>5.6144308791582542</v>
      </c>
      <c r="H86" s="169">
        <f t="shared" si="37"/>
        <v>2.5470407572095753E-2</v>
      </c>
      <c r="I86" s="169">
        <f t="shared" si="38"/>
        <v>2.1651325947861656E-2</v>
      </c>
      <c r="J86" s="169">
        <f t="shared" si="39"/>
        <v>1.953984172133464E-2</v>
      </c>
      <c r="K86" s="169">
        <f t="shared" si="40"/>
        <v>1.7483063384829002E-2</v>
      </c>
      <c r="L86" s="169">
        <f t="shared" si="41"/>
        <v>1.6204407077814696E-2</v>
      </c>
      <c r="M86" s="169">
        <f t="shared" si="42"/>
        <v>1.5182868536689752E-2</v>
      </c>
      <c r="N86" s="169"/>
      <c r="O86" s="155">
        <f t="shared" si="43"/>
        <v>19.337196397535028</v>
      </c>
      <c r="P86" s="155">
        <f t="shared" si="44"/>
        <v>20.325352406800341</v>
      </c>
      <c r="Q86" s="155">
        <f t="shared" si="45"/>
        <v>20.915344384823129</v>
      </c>
      <c r="R86" s="155">
        <f t="shared" si="46"/>
        <v>21.64172210305988</v>
      </c>
      <c r="S86" s="155">
        <f t="shared" si="47"/>
        <v>22.162912178290597</v>
      </c>
      <c r="T86" s="155">
        <f t="shared" si="48"/>
        <v>22.706689246373823</v>
      </c>
      <c r="U86" s="159">
        <f t="shared" si="49"/>
        <v>23.946299890566905</v>
      </c>
      <c r="V86" s="159">
        <f t="shared" si="50"/>
        <v>24.480120659309012</v>
      </c>
      <c r="W86" s="159">
        <f t="shared" si="51"/>
        <v>26.253552072244197</v>
      </c>
      <c r="X86" s="148">
        <f t="shared" si="53"/>
        <v>3.4965911820429192E-2</v>
      </c>
      <c r="Y86" s="148">
        <f t="shared" si="54"/>
        <v>3.6863105230013217E-2</v>
      </c>
      <c r="Z86" s="148">
        <f t="shared" si="55"/>
        <v>3.7996086921849435E-2</v>
      </c>
      <c r="AA86" s="148">
        <f t="shared" si="56"/>
        <v>3.9391086573199376E-2</v>
      </c>
      <c r="AB86" s="148">
        <f t="shared" si="57"/>
        <v>4.0392071322844857E-2</v>
      </c>
      <c r="AC86" s="148">
        <f t="shared" si="58"/>
        <v>4.1436426603909234E-2</v>
      </c>
      <c r="AD86" s="148">
        <f t="shared" si="34"/>
        <v>4.3817141663894624E-2</v>
      </c>
      <c r="AE86" s="148">
        <f t="shared" si="35"/>
        <v>4.4842362889148446E-2</v>
      </c>
      <c r="AF86" s="148">
        <f t="shared" si="59"/>
        <v>4.8248299174387645E-2</v>
      </c>
    </row>
    <row r="87" spans="1:32" x14ac:dyDescent="0.2">
      <c r="A87" s="154">
        <v>39.5</v>
      </c>
      <c r="B87" s="158">
        <v>1.0073660103839748</v>
      </c>
      <c r="C87" s="158">
        <v>1.7526494812804039</v>
      </c>
      <c r="D87" s="158">
        <v>2.36102963873584</v>
      </c>
      <c r="E87" s="158">
        <v>3.266429148630746</v>
      </c>
      <c r="F87" s="158">
        <v>4.0448380931497923</v>
      </c>
      <c r="G87" s="158">
        <v>4.9191194189741756</v>
      </c>
      <c r="H87" s="169">
        <f t="shared" si="37"/>
        <v>2.234182929551639E-2</v>
      </c>
      <c r="I87" s="169">
        <f t="shared" si="38"/>
        <v>1.8982373723487451E-2</v>
      </c>
      <c r="J87" s="169">
        <f t="shared" si="39"/>
        <v>1.7127276654593827E-2</v>
      </c>
      <c r="K87" s="169">
        <f t="shared" si="40"/>
        <v>1.5321177304456077E-2</v>
      </c>
      <c r="L87" s="169">
        <f t="shared" si="41"/>
        <v>1.41989357675743E-2</v>
      </c>
      <c r="M87" s="169">
        <f t="shared" si="42"/>
        <v>1.330256709220721E-2</v>
      </c>
      <c r="N87" s="169"/>
      <c r="O87" s="155">
        <f t="shared" si="43"/>
        <v>19.172946038014612</v>
      </c>
      <c r="P87" s="155">
        <f t="shared" si="44"/>
        <v>20.038706937902553</v>
      </c>
      <c r="Q87" s="155">
        <f t="shared" si="45"/>
        <v>20.555389676865399</v>
      </c>
      <c r="R87" s="155">
        <f t="shared" si="46"/>
        <v>21.191401232518203</v>
      </c>
      <c r="S87" s="155">
        <f t="shared" si="47"/>
        <v>21.647706598689837</v>
      </c>
      <c r="T87" s="155">
        <f t="shared" si="48"/>
        <v>22.123795798584236</v>
      </c>
      <c r="U87" s="159">
        <f t="shared" si="49"/>
        <v>23.209132834813673</v>
      </c>
      <c r="V87" s="159">
        <f t="shared" si="50"/>
        <v>23.676517859085884</v>
      </c>
      <c r="W87" s="159">
        <f t="shared" si="51"/>
        <v>25.229239919587535</v>
      </c>
      <c r="X87" s="148">
        <f t="shared" si="53"/>
        <v>3.4659128191994674E-2</v>
      </c>
      <c r="Y87" s="148">
        <f t="shared" si="54"/>
        <v>3.6327653410232606E-2</v>
      </c>
      <c r="Z87" s="148">
        <f t="shared" si="55"/>
        <v>3.7323660655519675E-2</v>
      </c>
      <c r="AA87" s="148">
        <f t="shared" si="56"/>
        <v>3.8549811002020269E-2</v>
      </c>
      <c r="AB87" s="148">
        <f t="shared" si="57"/>
        <v>3.9429556899282389E-2</v>
      </c>
      <c r="AC87" s="148">
        <f t="shared" si="58"/>
        <v>4.0347436540462252E-2</v>
      </c>
      <c r="AD87" s="148">
        <f t="shared" si="34"/>
        <v>4.2439889452842522E-2</v>
      </c>
      <c r="AE87" s="148">
        <f t="shared" si="35"/>
        <v>4.3340974666555405E-2</v>
      </c>
      <c r="AF87" s="148">
        <f t="shared" si="59"/>
        <v>4.6334512792648559E-2</v>
      </c>
    </row>
    <row r="88" spans="1:32" x14ac:dyDescent="0.2">
      <c r="A88" s="154">
        <v>40</v>
      </c>
      <c r="B88" s="158">
        <v>0.88388980213518809</v>
      </c>
      <c r="C88" s="158">
        <v>1.5368190368393202</v>
      </c>
      <c r="D88" s="158">
        <v>2.0696672788929558</v>
      </c>
      <c r="E88" s="158">
        <v>2.8625430484538148</v>
      </c>
      <c r="F88" s="158">
        <v>3.544154483366162</v>
      </c>
      <c r="G88" s="158">
        <v>4.3096881606681947</v>
      </c>
      <c r="H88" s="169">
        <f t="shared" si="37"/>
        <v>1.9603316839948721E-2</v>
      </c>
      <c r="I88" s="169">
        <f t="shared" si="38"/>
        <v>1.6644784718357921E-2</v>
      </c>
      <c r="J88" s="169">
        <f t="shared" si="39"/>
        <v>1.5013688725881373E-2</v>
      </c>
      <c r="K88" s="169">
        <f t="shared" si="40"/>
        <v>1.3426750617071773E-2</v>
      </c>
      <c r="L88" s="169">
        <f t="shared" si="41"/>
        <v>1.2441343930404138E-2</v>
      </c>
      <c r="M88" s="169">
        <f t="shared" si="42"/>
        <v>1.1654507854118172E-2</v>
      </c>
      <c r="N88" s="169"/>
      <c r="O88" s="155">
        <f t="shared" si="43"/>
        <v>19.029174134097307</v>
      </c>
      <c r="P88" s="155">
        <f t="shared" si="44"/>
        <v>19.78764987875164</v>
      </c>
      <c r="Q88" s="155">
        <f t="shared" si="45"/>
        <v>20.240042357901501</v>
      </c>
      <c r="R88" s="155">
        <f t="shared" si="46"/>
        <v>20.79679215353605</v>
      </c>
      <c r="S88" s="155">
        <f t="shared" si="47"/>
        <v>21.196181255720823</v>
      </c>
      <c r="T88" s="155">
        <f t="shared" si="48"/>
        <v>21.612897434776634</v>
      </c>
      <c r="U88" s="159">
        <f t="shared" si="49"/>
        <v>22.562913147974228</v>
      </c>
      <c r="V88" s="159">
        <f t="shared" si="50"/>
        <v>22.972023960883018</v>
      </c>
      <c r="W88" s="159">
        <f t="shared" si="51"/>
        <v>24.331150486989397</v>
      </c>
      <c r="X88" s="148">
        <f t="shared" si="53"/>
        <v>3.4381908154900727E-2</v>
      </c>
      <c r="Y88" s="148">
        <f t="shared" si="54"/>
        <v>3.5843721134988779E-2</v>
      </c>
      <c r="Z88" s="148">
        <f t="shared" si="55"/>
        <v>3.6715888831290212E-2</v>
      </c>
      <c r="AA88" s="148">
        <f t="shared" si="56"/>
        <v>3.7789374047448823E-2</v>
      </c>
      <c r="AB88" s="148">
        <f t="shared" si="57"/>
        <v>3.8559499068969591E-2</v>
      </c>
      <c r="AC88" s="148">
        <f t="shared" si="58"/>
        <v>3.9363023910024782E-2</v>
      </c>
      <c r="AD88" s="148">
        <f t="shared" si="34"/>
        <v>4.1194841384509108E-2</v>
      </c>
      <c r="AE88" s="148">
        <f t="shared" si="35"/>
        <v>4.1983687637972007E-2</v>
      </c>
      <c r="AF88" s="148">
        <f t="shared" si="59"/>
        <v>4.4604351365919233E-2</v>
      </c>
    </row>
    <row r="89" spans="1:32" x14ac:dyDescent="0.2">
      <c r="A89" s="154">
        <v>40.5</v>
      </c>
      <c r="B89" s="158">
        <v>0.77833794026946823</v>
      </c>
      <c r="C89" s="158">
        <v>1.3529117372158643</v>
      </c>
      <c r="D89" s="158">
        <v>1.821762234859587</v>
      </c>
      <c r="E89" s="158">
        <v>2.5193676011965227</v>
      </c>
      <c r="F89" s="158">
        <v>3.1190580593183648</v>
      </c>
      <c r="G89" s="158">
        <v>3.7925748273517152</v>
      </c>
      <c r="H89" s="169">
        <f t="shared" si="37"/>
        <v>1.7262338828660687E-2</v>
      </c>
      <c r="I89" s="169">
        <f t="shared" si="38"/>
        <v>1.4652944861491926E-2</v>
      </c>
      <c r="J89" s="169">
        <f t="shared" si="39"/>
        <v>1.3215346933144639E-2</v>
      </c>
      <c r="K89" s="169">
        <f t="shared" si="40"/>
        <v>1.1817087087045713E-2</v>
      </c>
      <c r="L89" s="169">
        <f t="shared" si="41"/>
        <v>1.0949092156395572E-2</v>
      </c>
      <c r="M89" s="169">
        <f t="shared" si="42"/>
        <v>1.0256100085405799E-2</v>
      </c>
      <c r="N89" s="169"/>
      <c r="O89" s="155">
        <f t="shared" si="43"/>
        <v>18.906272788504687</v>
      </c>
      <c r="P89" s="155">
        <f t="shared" si="44"/>
        <v>19.573726278124234</v>
      </c>
      <c r="Q89" s="155">
        <f t="shared" si="45"/>
        <v>19.971729762425181</v>
      </c>
      <c r="R89" s="155">
        <f t="shared" si="46"/>
        <v>20.461499240231621</v>
      </c>
      <c r="S89" s="155">
        <f t="shared" si="47"/>
        <v>20.812821774978023</v>
      </c>
      <c r="T89" s="155">
        <f t="shared" si="48"/>
        <v>21.179391026475798</v>
      </c>
      <c r="U89" s="159">
        <f t="shared" si="49"/>
        <v>22.015092621198825</v>
      </c>
      <c r="V89" s="159">
        <f t="shared" si="50"/>
        <v>22.37497567788591</v>
      </c>
      <c r="W89" s="159">
        <f t="shared" si="51"/>
        <v>23.570560329296022</v>
      </c>
      <c r="X89" s="148">
        <f t="shared" si="53"/>
        <v>3.4141902230341796E-2</v>
      </c>
      <c r="Y89" s="148">
        <f t="shared" si="54"/>
        <v>3.5425238541188286E-2</v>
      </c>
      <c r="Z89" s="148">
        <f t="shared" si="55"/>
        <v>3.6190594908294016E-2</v>
      </c>
      <c r="AA89" s="148">
        <f t="shared" si="56"/>
        <v>3.7132462254390902E-2</v>
      </c>
      <c r="AB89" s="148">
        <f t="shared" si="57"/>
        <v>3.780810272762896E-2</v>
      </c>
      <c r="AC89" s="148">
        <f t="shared" si="58"/>
        <v>3.8513059615127188E-2</v>
      </c>
      <c r="AD89" s="148">
        <f t="shared" si="34"/>
        <v>4.0120205192255745E-2</v>
      </c>
      <c r="AE89" s="148">
        <f t="shared" si="35"/>
        <v>4.0812299674892034E-2</v>
      </c>
      <c r="AF89" s="148">
        <f t="shared" si="59"/>
        <v>4.3111539734656874E-2</v>
      </c>
    </row>
    <row r="90" spans="1:32" x14ac:dyDescent="0.2">
      <c r="A90" s="154">
        <v>41</v>
      </c>
      <c r="B90" s="158">
        <v>0.68494243690577672</v>
      </c>
      <c r="C90" s="158">
        <v>1.1900725372832281</v>
      </c>
      <c r="D90" s="158">
        <v>1.6021886658826658</v>
      </c>
      <c r="E90" s="158">
        <v>2.2153240046891476</v>
      </c>
      <c r="F90" s="158">
        <v>2.7423747015606823</v>
      </c>
      <c r="G90" s="158">
        <v>3.3342968081686259</v>
      </c>
      <c r="H90" s="169">
        <f t="shared" si="37"/>
        <v>1.5190970158672436E-2</v>
      </c>
      <c r="I90" s="169">
        <f t="shared" si="38"/>
        <v>1.2889286706812419E-2</v>
      </c>
      <c r="J90" s="169">
        <f t="shared" si="39"/>
        <v>1.1622526072192699E-2</v>
      </c>
      <c r="K90" s="169">
        <f t="shared" si="40"/>
        <v>1.0390971399728046E-2</v>
      </c>
      <c r="L90" s="169">
        <f t="shared" si="41"/>
        <v>9.6267888457702115E-3</v>
      </c>
      <c r="M90" s="169">
        <f t="shared" si="42"/>
        <v>9.0167981742645224E-3</v>
      </c>
      <c r="N90" s="169"/>
      <c r="O90" s="155">
        <f t="shared" si="43"/>
        <v>18.797525933330302</v>
      </c>
      <c r="P90" s="155">
        <f t="shared" si="44"/>
        <v>19.384309392311653</v>
      </c>
      <c r="Q90" s="155">
        <f t="shared" si="45"/>
        <v>19.73408088997115</v>
      </c>
      <c r="R90" s="155">
        <f t="shared" si="46"/>
        <v>20.164439342563352</v>
      </c>
      <c r="S90" s="155">
        <f t="shared" si="47"/>
        <v>20.473122054478367</v>
      </c>
      <c r="T90" s="155">
        <f t="shared" si="48"/>
        <v>20.795207434022004</v>
      </c>
      <c r="U90" s="159">
        <f t="shared" si="49"/>
        <v>21.529507002505195</v>
      </c>
      <c r="V90" s="159">
        <f t="shared" si="50"/>
        <v>21.845722712632348</v>
      </c>
      <c r="W90" s="159">
        <f t="shared" si="51"/>
        <v>22.896237991242693</v>
      </c>
      <c r="X90" s="148">
        <f t="shared" si="53"/>
        <v>3.3933418849651488E-2</v>
      </c>
      <c r="Y90" s="148">
        <f t="shared" si="54"/>
        <v>3.50622321033923E-2</v>
      </c>
      <c r="Z90" s="148">
        <f t="shared" si="55"/>
        <v>3.5735229587156699E-2</v>
      </c>
      <c r="AA90" s="148">
        <f t="shared" si="56"/>
        <v>3.6563344724515473E-2</v>
      </c>
      <c r="AB90" s="148">
        <f t="shared" si="57"/>
        <v>3.7157349446510744E-2</v>
      </c>
      <c r="AC90" s="148">
        <f t="shared" si="58"/>
        <v>3.7777138614448022E-2</v>
      </c>
      <c r="AD90" s="148">
        <f t="shared" si="34"/>
        <v>3.9190139661333612E-2</v>
      </c>
      <c r="AE90" s="148">
        <f t="shared" si="35"/>
        <v>3.9798628551466431E-2</v>
      </c>
      <c r="AF90" s="148">
        <f t="shared" si="59"/>
        <v>4.1820118488484839E-2</v>
      </c>
    </row>
    <row r="91" spans="1:32" x14ac:dyDescent="0.2">
      <c r="A91" s="154">
        <v>41.5</v>
      </c>
      <c r="B91" s="158">
        <v>0.597507540157589</v>
      </c>
      <c r="C91" s="158">
        <v>1.0376570168827304</v>
      </c>
      <c r="D91" s="158">
        <v>1.3966886279580455</v>
      </c>
      <c r="E91" s="158">
        <v>1.9307906674670385</v>
      </c>
      <c r="F91" s="158">
        <v>2.3898779754172601</v>
      </c>
      <c r="G91" s="158">
        <v>2.905458689013666</v>
      </c>
      <c r="H91" s="169">
        <f t="shared" si="37"/>
        <v>1.3251798579045168E-2</v>
      </c>
      <c r="I91" s="169">
        <f t="shared" si="38"/>
        <v>1.1238524018434802E-2</v>
      </c>
      <c r="J91" s="169">
        <f t="shared" si="39"/>
        <v>1.0131796796998587E-2</v>
      </c>
      <c r="K91" s="169">
        <f t="shared" si="40"/>
        <v>9.0563685321177288E-3</v>
      </c>
      <c r="L91" s="169">
        <f t="shared" si="41"/>
        <v>8.3893899048170205E-3</v>
      </c>
      <c r="M91" s="169">
        <f t="shared" si="42"/>
        <v>7.857109342610899E-3</v>
      </c>
      <c r="N91" s="169"/>
      <c r="O91" s="155">
        <f t="shared" si="43"/>
        <v>18.695719425399872</v>
      </c>
      <c r="P91" s="155">
        <f t="shared" si="44"/>
        <v>19.207017479579896</v>
      </c>
      <c r="Q91" s="155">
        <f t="shared" si="45"/>
        <v>19.51166408211219</v>
      </c>
      <c r="R91" s="155">
        <f t="shared" si="46"/>
        <v>19.886441565240123</v>
      </c>
      <c r="S91" s="155">
        <f t="shared" si="47"/>
        <v>20.155234266547492</v>
      </c>
      <c r="T91" s="155">
        <f t="shared" si="48"/>
        <v>20.435703896209379</v>
      </c>
      <c r="U91" s="159">
        <f t="shared" si="49"/>
        <v>21.075139447564634</v>
      </c>
      <c r="V91" s="159">
        <f t="shared" si="50"/>
        <v>21.350503312165596</v>
      </c>
      <c r="W91" s="159">
        <f t="shared" si="51"/>
        <v>22.26530272812181</v>
      </c>
      <c r="X91" s="148">
        <f t="shared" si="53"/>
        <v>3.3743920822857161E-2</v>
      </c>
      <c r="Y91" s="148">
        <f t="shared" si="54"/>
        <v>3.47321941847024E-2</v>
      </c>
      <c r="Z91" s="148">
        <f t="shared" si="55"/>
        <v>3.5321170474875006E-2</v>
      </c>
      <c r="AA91" s="148">
        <f t="shared" si="56"/>
        <v>3.6045792817023123E-2</v>
      </c>
      <c r="AB91" s="148">
        <f t="shared" si="57"/>
        <v>3.6565520688923277E-2</v>
      </c>
      <c r="AC91" s="148">
        <f t="shared" si="58"/>
        <v>3.7107820197208242E-2</v>
      </c>
      <c r="AD91" s="148">
        <f t="shared" si="34"/>
        <v>3.8344181805062848E-2</v>
      </c>
      <c r="AE91" s="148">
        <f t="shared" si="35"/>
        <v>3.8876603422318148E-2</v>
      </c>
      <c r="AF91" s="148">
        <f t="shared" si="59"/>
        <v>4.0645386647428054E-2</v>
      </c>
    </row>
    <row r="92" spans="1:32" x14ac:dyDescent="0.2">
      <c r="A92" s="154">
        <v>42</v>
      </c>
      <c r="B92" s="158">
        <v>0.51469103000889105</v>
      </c>
      <c r="C92" s="158">
        <v>0.89337018028874282</v>
      </c>
      <c r="D92" s="158">
        <v>1.2021954386950346</v>
      </c>
      <c r="E92" s="158">
        <v>1.6615575615111609</v>
      </c>
      <c r="F92" s="158">
        <v>2.056377406589553</v>
      </c>
      <c r="G92" s="158">
        <v>2.4997701132285295</v>
      </c>
      <c r="H92" s="169">
        <f t="shared" si="37"/>
        <v>1.1415055713473054E-2</v>
      </c>
      <c r="I92" s="169">
        <f t="shared" si="38"/>
        <v>9.6758004477149346E-3</v>
      </c>
      <c r="J92" s="169">
        <f t="shared" si="39"/>
        <v>8.7209129159620709E-3</v>
      </c>
      <c r="K92" s="169">
        <f t="shared" si="40"/>
        <v>7.7935313588979888E-3</v>
      </c>
      <c r="L92" s="169">
        <f t="shared" si="41"/>
        <v>7.2186747745244754E-3</v>
      </c>
      <c r="M92" s="169">
        <f t="shared" si="42"/>
        <v>6.7600228443430478E-3</v>
      </c>
      <c r="N92" s="169"/>
      <c r="O92" s="155">
        <f t="shared" si="43"/>
        <v>18.599290424957335</v>
      </c>
      <c r="P92" s="155">
        <f t="shared" si="44"/>
        <v>19.039180968084583</v>
      </c>
      <c r="Q92" s="155">
        <f t="shared" si="45"/>
        <v>19.301160207061542</v>
      </c>
      <c r="R92" s="155">
        <f t="shared" si="46"/>
        <v>19.62339258205845</v>
      </c>
      <c r="S92" s="155">
        <f t="shared" si="47"/>
        <v>19.854477549575339</v>
      </c>
      <c r="T92" s="155">
        <f t="shared" si="48"/>
        <v>20.095607081746344</v>
      </c>
      <c r="U92" s="159">
        <f t="shared" si="49"/>
        <v>20.645364319028225</v>
      </c>
      <c r="V92" s="159">
        <f t="shared" si="50"/>
        <v>20.882109487684296</v>
      </c>
      <c r="W92" s="159">
        <f t="shared" si="51"/>
        <v>21.668611893622252</v>
      </c>
      <c r="X92" s="148">
        <f t="shared" si="53"/>
        <v>3.3565508865321482E-2</v>
      </c>
      <c r="Y92" s="148">
        <f t="shared" si="54"/>
        <v>3.4421578602898031E-2</v>
      </c>
      <c r="Z92" s="148">
        <f t="shared" si="55"/>
        <v>3.4931541860256356E-2</v>
      </c>
      <c r="AA92" s="148">
        <f t="shared" si="56"/>
        <v>3.5558850732568717E-2</v>
      </c>
      <c r="AB92" s="148">
        <f t="shared" si="57"/>
        <v>3.6008740634510546E-2</v>
      </c>
      <c r="AC92" s="148">
        <f t="shared" si="58"/>
        <v>3.6478179880160153E-2</v>
      </c>
      <c r="AD92" s="148">
        <f t="shared" si="34"/>
        <v>3.7548453389933567E-2</v>
      </c>
      <c r="AE92" s="148">
        <f t="shared" si="35"/>
        <v>3.8009351519864898E-2</v>
      </c>
      <c r="AF92" s="148">
        <f t="shared" si="59"/>
        <v>3.9540523159569657E-2</v>
      </c>
    </row>
    <row r="93" spans="1:32" x14ac:dyDescent="0.2">
      <c r="A93" s="154">
        <v>42.5</v>
      </c>
      <c r="B93" s="158">
        <v>0.44824662941933452</v>
      </c>
      <c r="C93" s="158">
        <v>0.77790983586005535</v>
      </c>
      <c r="D93" s="158">
        <v>1.0467432441480313</v>
      </c>
      <c r="E93" s="158">
        <v>1.4466054477433472</v>
      </c>
      <c r="F93" s="158">
        <v>1.7902787771313411</v>
      </c>
      <c r="G93" s="158">
        <v>2.1762295336631916</v>
      </c>
      <c r="H93" s="169">
        <f t="shared" si="37"/>
        <v>9.941421065973937E-3</v>
      </c>
      <c r="I93" s="169">
        <f t="shared" si="38"/>
        <v>8.4252871924422566E-3</v>
      </c>
      <c r="J93" s="169">
        <f t="shared" si="39"/>
        <v>7.593238489987551E-3</v>
      </c>
      <c r="K93" s="169">
        <f t="shared" si="40"/>
        <v>6.7852990363371848E-3</v>
      </c>
      <c r="L93" s="169">
        <f t="shared" si="41"/>
        <v>6.2845663478075832E-3</v>
      </c>
      <c r="M93" s="169">
        <f t="shared" si="42"/>
        <v>5.8850857061800059E-3</v>
      </c>
      <c r="N93" s="169"/>
      <c r="O93" s="155">
        <f t="shared" si="43"/>
        <v>18.521924605963633</v>
      </c>
      <c r="P93" s="155">
        <f t="shared" si="44"/>
        <v>18.904875844468297</v>
      </c>
      <c r="Q93" s="155">
        <f t="shared" si="45"/>
        <v>19.132911182706142</v>
      </c>
      <c r="R93" s="155">
        <f t="shared" si="46"/>
        <v>19.413377789269035</v>
      </c>
      <c r="S93" s="155">
        <f t="shared" si="47"/>
        <v>19.614505094751767</v>
      </c>
      <c r="T93" s="155">
        <f t="shared" si="48"/>
        <v>19.824376568915802</v>
      </c>
      <c r="U93" s="159">
        <f t="shared" si="49"/>
        <v>20.302870616172889</v>
      </c>
      <c r="V93" s="159">
        <f t="shared" si="50"/>
        <v>20.508927301263366</v>
      </c>
      <c r="W93" s="159">
        <f t="shared" si="51"/>
        <v>21.19347803361093</v>
      </c>
      <c r="X93" s="148">
        <f t="shared" si="53"/>
        <v>3.3409093527828865E-2</v>
      </c>
      <c r="Y93" s="148">
        <f t="shared" si="54"/>
        <v>3.4149651131297594E-2</v>
      </c>
      <c r="Z93" s="148">
        <f t="shared" si="55"/>
        <v>3.4590664250790909E-2</v>
      </c>
      <c r="AA93" s="148">
        <f t="shared" si="56"/>
        <v>3.5133093334194739E-2</v>
      </c>
      <c r="AB93" s="148">
        <f t="shared" si="57"/>
        <v>3.5522084379894396E-2</v>
      </c>
      <c r="AC93" s="148">
        <f t="shared" si="58"/>
        <v>3.5927985285595931E-2</v>
      </c>
      <c r="AD93" s="148">
        <f t="shared" si="34"/>
        <v>3.6853411441681E-2</v>
      </c>
      <c r="AE93" s="148">
        <f t="shared" si="35"/>
        <v>3.7251933110052891E-2</v>
      </c>
      <c r="AF93" s="148">
        <f t="shared" si="59"/>
        <v>3.8575880934509865E-2</v>
      </c>
    </row>
    <row r="94" spans="1:32" x14ac:dyDescent="0.2">
      <c r="A94" s="154">
        <v>43</v>
      </c>
      <c r="B94" s="158">
        <v>0.39294387701576733</v>
      </c>
      <c r="C94" s="158">
        <v>0.68166578560666813</v>
      </c>
      <c r="D94" s="158">
        <v>0.91707690859752677</v>
      </c>
      <c r="E94" s="158">
        <v>1.267199251675573</v>
      </c>
      <c r="F94" s="158">
        <v>1.5681094940718721</v>
      </c>
      <c r="G94" s="158">
        <v>1.9060307906268243</v>
      </c>
      <c r="H94" s="169">
        <f t="shared" si="37"/>
        <v>8.7148910450714542E-3</v>
      </c>
      <c r="I94" s="169">
        <f t="shared" si="38"/>
        <v>7.3828993390323283E-3</v>
      </c>
      <c r="J94" s="169">
        <f t="shared" si="39"/>
        <v>6.6526187005002914E-3</v>
      </c>
      <c r="K94" s="169">
        <f t="shared" si="40"/>
        <v>5.9437947469744073E-3</v>
      </c>
      <c r="L94" s="169">
        <f t="shared" si="41"/>
        <v>5.5046668049725045E-3</v>
      </c>
      <c r="M94" s="169">
        <f t="shared" si="42"/>
        <v>5.1543986458888599E-3</v>
      </c>
      <c r="N94" s="169"/>
      <c r="O94" s="155">
        <f t="shared" si="43"/>
        <v>18.457531779866251</v>
      </c>
      <c r="P94" s="155">
        <f t="shared" si="44"/>
        <v>18.792923389012071</v>
      </c>
      <c r="Q94" s="155">
        <f t="shared" si="45"/>
        <v>18.992570710114645</v>
      </c>
      <c r="R94" s="155">
        <f t="shared" si="46"/>
        <v>19.23809244579477</v>
      </c>
      <c r="S94" s="155">
        <f t="shared" si="47"/>
        <v>19.414148902197436</v>
      </c>
      <c r="T94" s="155">
        <f t="shared" si="48"/>
        <v>19.597863580225546</v>
      </c>
      <c r="U94" s="159">
        <f t="shared" si="49"/>
        <v>20.016726246342291</v>
      </c>
      <c r="V94" s="159">
        <f t="shared" si="50"/>
        <v>20.197103521635338</v>
      </c>
      <c r="W94" s="159">
        <f t="shared" si="51"/>
        <v>20.79634346304513</v>
      </c>
      <c r="X94" s="148">
        <f t="shared" si="53"/>
        <v>3.3281510747246897E-2</v>
      </c>
      <c r="Y94" s="148">
        <f t="shared" si="54"/>
        <v>3.3928019310132326E-2</v>
      </c>
      <c r="Z94" s="148">
        <f t="shared" si="55"/>
        <v>3.431293370353871E-2</v>
      </c>
      <c r="AA94" s="148">
        <f t="shared" si="56"/>
        <v>3.4786323211557425E-2</v>
      </c>
      <c r="AB94" s="148">
        <f t="shared" si="57"/>
        <v>3.5125788597254279E-2</v>
      </c>
      <c r="AC94" s="148">
        <f t="shared" si="58"/>
        <v>3.5480016134227209E-2</v>
      </c>
      <c r="AD94" s="148">
        <f t="shared" si="34"/>
        <v>3.6287637176263661E-2</v>
      </c>
      <c r="AE94" s="148">
        <f t="shared" si="35"/>
        <v>3.6635427740608829E-2</v>
      </c>
      <c r="AF94" s="148">
        <f t="shared" si="59"/>
        <v>3.7790839346990457E-2</v>
      </c>
    </row>
    <row r="95" spans="1:32" x14ac:dyDescent="0.2">
      <c r="A95" s="154">
        <v>43.5</v>
      </c>
      <c r="B95" s="158">
        <v>0.34348706075064067</v>
      </c>
      <c r="C95" s="158">
        <v>0.59557732680293829</v>
      </c>
      <c r="D95" s="158">
        <v>0.8010818309863319</v>
      </c>
      <c r="E95" s="158">
        <v>1.1066944152116709</v>
      </c>
      <c r="F95" s="158">
        <v>1.3693371254920286</v>
      </c>
      <c r="G95" s="158">
        <v>1.6642777005182121</v>
      </c>
      <c r="H95" s="169">
        <f t="shared" si="37"/>
        <v>7.6180148996533607E-3</v>
      </c>
      <c r="I95" s="169">
        <f t="shared" si="38"/>
        <v>6.4505033775206127E-3</v>
      </c>
      <c r="J95" s="169">
        <f t="shared" si="39"/>
        <v>5.8111723449679907E-3</v>
      </c>
      <c r="K95" s="169">
        <f t="shared" si="40"/>
        <v>5.1909472349697429E-3</v>
      </c>
      <c r="L95" s="169">
        <f t="shared" si="41"/>
        <v>4.8068994212511007E-3</v>
      </c>
      <c r="M95" s="169">
        <f t="shared" si="42"/>
        <v>4.5006359646021189E-3</v>
      </c>
      <c r="N95" s="169"/>
      <c r="O95" s="155">
        <f t="shared" si="43"/>
        <v>18.3999457822318</v>
      </c>
      <c r="P95" s="155">
        <f t="shared" si="44"/>
        <v>18.692784062745712</v>
      </c>
      <c r="Q95" s="155">
        <f t="shared" si="45"/>
        <v>18.867026913869225</v>
      </c>
      <c r="R95" s="155">
        <f t="shared" si="46"/>
        <v>19.081274309044197</v>
      </c>
      <c r="S95" s="155">
        <f t="shared" si="47"/>
        <v>19.234892461319408</v>
      </c>
      <c r="T95" s="155">
        <f t="shared" si="48"/>
        <v>19.395197149026657</v>
      </c>
      <c r="U95" s="159">
        <f t="shared" si="49"/>
        <v>19.760690951755599</v>
      </c>
      <c r="V95" s="159">
        <f t="shared" si="50"/>
        <v>19.918085681832515</v>
      </c>
      <c r="W95" s="159">
        <f t="shared" si="51"/>
        <v>20.440974214638373</v>
      </c>
      <c r="X95" s="148">
        <f t="shared" si="53"/>
        <v>3.3171729805888249E-2</v>
      </c>
      <c r="Y95" s="148">
        <f t="shared" si="54"/>
        <v>3.3737136706582002E-2</v>
      </c>
      <c r="Z95" s="148">
        <f t="shared" si="55"/>
        <v>3.4073637861585487E-2</v>
      </c>
      <c r="AA95" s="148">
        <f t="shared" si="56"/>
        <v>3.4487430079355071E-2</v>
      </c>
      <c r="AB95" s="148">
        <f t="shared" si="57"/>
        <v>3.4784137227165161E-2</v>
      </c>
      <c r="AC95" s="148">
        <f t="shared" si="58"/>
        <v>3.5093754656326984E-2</v>
      </c>
      <c r="AD95" s="148">
        <f t="shared" si="34"/>
        <v>3.5799675478288107E-2</v>
      </c>
      <c r="AE95" s="148">
        <f t="shared" si="35"/>
        <v>3.6103670283121066E-2</v>
      </c>
      <c r="AF95" s="148">
        <f t="shared" si="59"/>
        <v>3.7113585909915155E-2</v>
      </c>
    </row>
    <row r="96" spans="1:32" x14ac:dyDescent="0.2">
      <c r="A96" s="154">
        <v>44</v>
      </c>
      <c r="B96" s="158">
        <v>0.29832265675304848</v>
      </c>
      <c r="C96" s="158">
        <v>0.51697039772718179</v>
      </c>
      <c r="D96" s="158">
        <v>0.69517327518280081</v>
      </c>
      <c r="E96" s="158">
        <v>0.96015416524499764</v>
      </c>
      <c r="F96" s="158">
        <v>1.1878640436454684</v>
      </c>
      <c r="G96" s="158">
        <v>1.4435695596085243</v>
      </c>
      <c r="H96" s="169">
        <f t="shared" si="37"/>
        <v>6.6163378587898074E-3</v>
      </c>
      <c r="I96" s="169">
        <f t="shared" si="38"/>
        <v>5.599137419347624E-3</v>
      </c>
      <c r="J96" s="169">
        <f t="shared" si="39"/>
        <v>5.0428951892831555E-3</v>
      </c>
      <c r="K96" s="169">
        <f t="shared" si="40"/>
        <v>4.503600579090228E-3</v>
      </c>
      <c r="L96" s="169">
        <f t="shared" si="41"/>
        <v>4.1698591804941419E-3</v>
      </c>
      <c r="M96" s="169">
        <f t="shared" si="42"/>
        <v>3.9037842514839795E-3</v>
      </c>
      <c r="N96" s="169"/>
      <c r="O96" s="155">
        <f t="shared" si="43"/>
        <v>18.347357737586464</v>
      </c>
      <c r="P96" s="155">
        <f t="shared" si="44"/>
        <v>18.601347358837934</v>
      </c>
      <c r="Q96" s="155">
        <f t="shared" si="45"/>
        <v>18.752399962241046</v>
      </c>
      <c r="R96" s="155">
        <f t="shared" si="46"/>
        <v>18.938100000624495</v>
      </c>
      <c r="S96" s="155">
        <f t="shared" si="47"/>
        <v>19.071236823468944</v>
      </c>
      <c r="T96" s="155">
        <f t="shared" si="48"/>
        <v>19.210173117960032</v>
      </c>
      <c r="U96" s="159">
        <f t="shared" si="49"/>
        <v>19.526952141717569</v>
      </c>
      <c r="V96" s="159">
        <f t="shared" si="50"/>
        <v>19.663368542121827</v>
      </c>
      <c r="W96" s="159">
        <f t="shared" si="51"/>
        <v>20.116563966283625</v>
      </c>
      <c r="X96" s="148">
        <f t="shared" si="53"/>
        <v>3.3072573167836433E-2</v>
      </c>
      <c r="Y96" s="148">
        <f t="shared" si="54"/>
        <v>3.3564718279425275E-2</v>
      </c>
      <c r="Z96" s="148">
        <f t="shared" si="55"/>
        <v>3.3857484188499237E-2</v>
      </c>
      <c r="AA96" s="148">
        <f t="shared" si="56"/>
        <v>3.4217436878701823E-2</v>
      </c>
      <c r="AB96" s="148">
        <f t="shared" si="57"/>
        <v>3.4475516356309521E-2</v>
      </c>
      <c r="AC96" s="148">
        <f t="shared" si="58"/>
        <v>3.4744833240288021E-2</v>
      </c>
      <c r="AD96" s="148">
        <f t="shared" si="34"/>
        <v>3.5358878784125844E-2</v>
      </c>
      <c r="AE96" s="148">
        <f t="shared" si="35"/>
        <v>3.5623308801558902E-2</v>
      </c>
      <c r="AF96" s="148">
        <f t="shared" si="59"/>
        <v>3.6501784362829796E-2</v>
      </c>
    </row>
    <row r="97" spans="1:32" x14ac:dyDescent="0.2">
      <c r="A97" s="154">
        <v>44.5</v>
      </c>
      <c r="B97" s="158">
        <v>0.2605728620850889</v>
      </c>
      <c r="C97" s="158">
        <v>0.45145338246813449</v>
      </c>
      <c r="D97" s="158">
        <v>0.60701235819095234</v>
      </c>
      <c r="E97" s="158">
        <v>0.83831261827061043</v>
      </c>
      <c r="F97" s="158">
        <v>1.0370746791142351</v>
      </c>
      <c r="G97" s="158">
        <v>1.2602713642107664</v>
      </c>
      <c r="H97" s="169">
        <f t="shared" si="37"/>
        <v>5.7791054529725107E-3</v>
      </c>
      <c r="I97" s="169">
        <f t="shared" si="38"/>
        <v>4.8895440396228319E-3</v>
      </c>
      <c r="J97" s="169">
        <f t="shared" si="39"/>
        <v>4.4033621691680234E-3</v>
      </c>
      <c r="K97" s="169">
        <f t="shared" si="40"/>
        <v>3.9321031244381579E-3</v>
      </c>
      <c r="L97" s="169">
        <f t="shared" si="41"/>
        <v>3.6405305764547523E-3</v>
      </c>
      <c r="M97" s="169">
        <f t="shared" si="42"/>
        <v>3.4080986755750157E-3</v>
      </c>
      <c r="N97" s="169"/>
      <c r="O97" s="155">
        <f t="shared" si="43"/>
        <v>18.303403036281058</v>
      </c>
      <c r="P97" s="155">
        <f t="shared" si="44"/>
        <v>18.525137029855493</v>
      </c>
      <c r="Q97" s="155">
        <f t="shared" si="45"/>
        <v>18.65698163563987</v>
      </c>
      <c r="R97" s="155">
        <f t="shared" si="46"/>
        <v>18.819057080820468</v>
      </c>
      <c r="S97" s="155">
        <f t="shared" si="47"/>
        <v>18.935252305091225</v>
      </c>
      <c r="T97" s="155">
        <f t="shared" si="48"/>
        <v>19.056510589428257</v>
      </c>
      <c r="U97" s="159">
        <f t="shared" si="49"/>
        <v>19.332984625449821</v>
      </c>
      <c r="V97" s="159">
        <f t="shared" si="50"/>
        <v>19.452044253678761</v>
      </c>
      <c r="W97" s="159">
        <f t="shared" si="51"/>
        <v>19.847577917929264</v>
      </c>
      <c r="X97" s="148">
        <f t="shared" si="53"/>
        <v>3.2985684696480763E-2</v>
      </c>
      <c r="Y97" s="148">
        <f t="shared" si="54"/>
        <v>3.3413835949824083E-2</v>
      </c>
      <c r="Z97" s="148">
        <f t="shared" si="55"/>
        <v>3.3668443438092825E-2</v>
      </c>
      <c r="AA97" s="148">
        <f t="shared" si="56"/>
        <v>3.3981441373300461E-2</v>
      </c>
      <c r="AB97" s="148">
        <f t="shared" si="57"/>
        <v>3.420584021570415E-2</v>
      </c>
      <c r="AC97" s="148">
        <f t="shared" si="58"/>
        <v>3.4440015336649456E-2</v>
      </c>
      <c r="AD97" s="148">
        <f t="shared" si="34"/>
        <v>3.4973943090450647E-2</v>
      </c>
      <c r="AE97" s="148">
        <f t="shared" si="35"/>
        <v>3.5203871516220529E-2</v>
      </c>
      <c r="AF97" s="148">
        <f t="shared" si="59"/>
        <v>3.5967727695791603E-2</v>
      </c>
    </row>
    <row r="98" spans="1:32" x14ac:dyDescent="0.2">
      <c r="A98" s="154">
        <v>45</v>
      </c>
      <c r="B98" s="158">
        <v>0.22354695570122252</v>
      </c>
      <c r="C98" s="158">
        <v>0.38719498530418139</v>
      </c>
      <c r="D98" s="158">
        <v>0.52054638027483202</v>
      </c>
      <c r="E98" s="158">
        <v>0.71881517418062613</v>
      </c>
      <c r="F98" s="158">
        <v>0.8891874325668534</v>
      </c>
      <c r="G98" s="158">
        <v>1.0805019710156343</v>
      </c>
      <c r="H98" s="169">
        <f t="shared" si="37"/>
        <v>4.9579277763256661E-3</v>
      </c>
      <c r="I98" s="169">
        <f t="shared" si="38"/>
        <v>4.1935823411391555E-3</v>
      </c>
      <c r="J98" s="169">
        <f t="shared" si="39"/>
        <v>3.7761245010410273E-3</v>
      </c>
      <c r="K98" s="169">
        <f t="shared" si="40"/>
        <v>3.3716006781813797E-3</v>
      </c>
      <c r="L98" s="169">
        <f t="shared" si="41"/>
        <v>3.1213895215566781E-3</v>
      </c>
      <c r="M98" s="169">
        <f t="shared" si="42"/>
        <v>2.921955890571776E-3</v>
      </c>
      <c r="N98" s="169"/>
      <c r="O98" s="155">
        <f t="shared" si="43"/>
        <v>18.260291208257097</v>
      </c>
      <c r="P98" s="155">
        <f t="shared" si="44"/>
        <v>18.450390743438344</v>
      </c>
      <c r="Q98" s="155">
        <f t="shared" si="45"/>
        <v>18.56339777555532</v>
      </c>
      <c r="R98" s="155">
        <f t="shared" si="46"/>
        <v>18.702304421265183</v>
      </c>
      <c r="S98" s="155">
        <f t="shared" si="47"/>
        <v>18.801884968087911</v>
      </c>
      <c r="T98" s="155">
        <f t="shared" si="48"/>
        <v>18.905806326077251</v>
      </c>
      <c r="U98" s="159">
        <f t="shared" si="49"/>
        <v>19.142753043038425</v>
      </c>
      <c r="V98" s="159">
        <f t="shared" si="50"/>
        <v>19.244790791093962</v>
      </c>
      <c r="W98" s="159">
        <f t="shared" si="51"/>
        <v>19.583775256110673</v>
      </c>
      <c r="X98" s="148">
        <f t="shared" si="53"/>
        <v>3.2907324820084335E-2</v>
      </c>
      <c r="Y98" s="148">
        <f t="shared" si="54"/>
        <v>3.3277974995964452E-2</v>
      </c>
      <c r="Z98" s="148">
        <f t="shared" si="55"/>
        <v>3.3498341470075667E-2</v>
      </c>
      <c r="AA98" s="148">
        <f t="shared" si="56"/>
        <v>3.376922535187709E-2</v>
      </c>
      <c r="AB98" s="148">
        <f t="shared" si="57"/>
        <v>3.3963423545861224E-2</v>
      </c>
      <c r="AC98" s="148">
        <f t="shared" si="58"/>
        <v>3.4166085223954958E-2</v>
      </c>
      <c r="AD98" s="148">
        <f t="shared" si="34"/>
        <v>3.4628163901639426E-2</v>
      </c>
      <c r="AE98" s="148">
        <f t="shared" si="35"/>
        <v>3.4827151540295455E-2</v>
      </c>
      <c r="AF98" s="148">
        <f t="shared" si="59"/>
        <v>3.5488217856635945E-2</v>
      </c>
    </row>
    <row r="99" spans="1:32" x14ac:dyDescent="0.2">
      <c r="A99" s="154">
        <v>45.5</v>
      </c>
      <c r="B99" s="158">
        <v>0.19184356760742446</v>
      </c>
      <c r="C99" s="158">
        <v>0.33213362167790644</v>
      </c>
      <c r="D99" s="158">
        <v>0.44643194629165905</v>
      </c>
      <c r="E99" s="158">
        <v>0.61635742362282064</v>
      </c>
      <c r="F99" s="158">
        <v>0.76236751658323154</v>
      </c>
      <c r="G99" s="158">
        <v>0.92632225374105115</v>
      </c>
      <c r="H99" s="169">
        <f t="shared" si="37"/>
        <v>4.2547953720358314E-3</v>
      </c>
      <c r="I99" s="169">
        <f t="shared" si="38"/>
        <v>3.5972307070889641E-3</v>
      </c>
      <c r="J99" s="169">
        <f t="shared" si="39"/>
        <v>3.2384868559633935E-3</v>
      </c>
      <c r="K99" s="169">
        <f t="shared" si="40"/>
        <v>2.8910228694847165E-3</v>
      </c>
      <c r="L99" s="169">
        <f t="shared" si="41"/>
        <v>2.6762028911819702E-3</v>
      </c>
      <c r="M99" s="169">
        <f t="shared" si="42"/>
        <v>2.5050141864546619E-3</v>
      </c>
      <c r="N99" s="169"/>
      <c r="O99" s="155">
        <f t="shared" si="43"/>
        <v>18.223376757031883</v>
      </c>
      <c r="P99" s="155">
        <f t="shared" si="44"/>
        <v>18.386342577941356</v>
      </c>
      <c r="Q99" s="155">
        <f t="shared" si="45"/>
        <v>18.483182238909738</v>
      </c>
      <c r="R99" s="155">
        <f t="shared" si="46"/>
        <v>18.602200063713667</v>
      </c>
      <c r="S99" s="155">
        <f t="shared" si="47"/>
        <v>18.687516522744648</v>
      </c>
      <c r="T99" s="155">
        <f t="shared" si="48"/>
        <v>18.776554397800947</v>
      </c>
      <c r="U99" s="159">
        <f t="shared" si="49"/>
        <v>18.979567931753664</v>
      </c>
      <c r="V99" s="159">
        <f t="shared" si="50"/>
        <v>19.066992835103242</v>
      </c>
      <c r="W99" s="159">
        <f t="shared" si="51"/>
        <v>19.357431272405542</v>
      </c>
      <c r="X99" s="148">
        <f t="shared" si="53"/>
        <v>3.283530116876008E-2</v>
      </c>
      <c r="Y99" s="148">
        <f t="shared" si="54"/>
        <v>3.3153059989241729E-2</v>
      </c>
      <c r="Z99" s="148">
        <f t="shared" si="55"/>
        <v>3.3341922013018548E-2</v>
      </c>
      <c r="AA99" s="148">
        <f t="shared" si="56"/>
        <v>3.3574054036480963E-2</v>
      </c>
      <c r="AB99" s="148">
        <f t="shared" si="57"/>
        <v>3.3740461341749309E-2</v>
      </c>
      <c r="AC99" s="148">
        <f t="shared" si="58"/>
        <v>3.3914124651490379E-2</v>
      </c>
      <c r="AD99" s="148">
        <f t="shared" si="34"/>
        <v>3.4310088877312878E-2</v>
      </c>
      <c r="AE99" s="148">
        <f t="shared" si="35"/>
        <v>3.4480605263577484E-2</v>
      </c>
      <c r="AF99" s="148">
        <f t="shared" si="59"/>
        <v>3.5047085875664595E-2</v>
      </c>
    </row>
    <row r="100" spans="1:32" x14ac:dyDescent="0.2">
      <c r="A100" s="154">
        <v>46</v>
      </c>
      <c r="B100" s="158">
        <v>0.16404256436800096</v>
      </c>
      <c r="C100" s="158">
        <v>0.28383249417077727</v>
      </c>
      <c r="D100" s="158">
        <v>0.38140681351435834</v>
      </c>
      <c r="E100" s="158">
        <v>0.52645215538449452</v>
      </c>
      <c r="F100" s="158">
        <v>0.65107615951120135</v>
      </c>
      <c r="G100" s="158">
        <v>0.79101309591590419</v>
      </c>
      <c r="H100" s="169">
        <f t="shared" si="37"/>
        <v>3.6382118639397567E-3</v>
      </c>
      <c r="I100" s="169">
        <f t="shared" si="38"/>
        <v>3.0740969810364943E-3</v>
      </c>
      <c r="J100" s="169">
        <f t="shared" si="39"/>
        <v>2.7667844172024666E-3</v>
      </c>
      <c r="K100" s="169">
        <f t="shared" si="40"/>
        <v>2.4693224459927535E-3</v>
      </c>
      <c r="L100" s="169">
        <f t="shared" si="41"/>
        <v>2.2855274687891328E-3</v>
      </c>
      <c r="M100" s="169">
        <f t="shared" si="42"/>
        <v>2.1391033400506867E-3</v>
      </c>
      <c r="N100" s="169"/>
      <c r="O100" s="155">
        <f t="shared" si="43"/>
        <v>18.191006122856837</v>
      </c>
      <c r="P100" s="155">
        <f t="shared" si="44"/>
        <v>18.33015801576332</v>
      </c>
      <c r="Q100" s="155">
        <f t="shared" si="45"/>
        <v>18.412804235046607</v>
      </c>
      <c r="R100" s="155">
        <f t="shared" si="46"/>
        <v>18.514359865500289</v>
      </c>
      <c r="S100" s="155">
        <f t="shared" si="47"/>
        <v>18.587152006731927</v>
      </c>
      <c r="T100" s="155">
        <f t="shared" si="48"/>
        <v>18.663122035415714</v>
      </c>
      <c r="U100" s="159">
        <f t="shared" si="49"/>
        <v>18.836341953271138</v>
      </c>
      <c r="V100" s="159">
        <f t="shared" si="50"/>
        <v>18.910936657781129</v>
      </c>
      <c r="W100" s="159">
        <f t="shared" si="51"/>
        <v>19.158751280146546</v>
      </c>
      <c r="X100" s="148">
        <f t="shared" si="53"/>
        <v>3.2772944591899847E-2</v>
      </c>
      <c r="Y100" s="148">
        <f t="shared" si="54"/>
        <v>3.3044850534334209E-2</v>
      </c>
      <c r="Z100" s="148">
        <f t="shared" si="55"/>
        <v>3.3206387826560706E-2</v>
      </c>
      <c r="AA100" s="148">
        <f t="shared" si="56"/>
        <v>3.3404903936292557E-2</v>
      </c>
      <c r="AB100" s="148">
        <f t="shared" si="57"/>
        <v>3.3547201676528915E-2</v>
      </c>
      <c r="AC100" s="148">
        <f t="shared" si="58"/>
        <v>3.3695708789894994E-2</v>
      </c>
      <c r="AD100" s="148">
        <f t="shared" si="34"/>
        <v>3.4034318896522323E-2</v>
      </c>
      <c r="AE100" s="148">
        <f t="shared" si="35"/>
        <v>3.4180136543595932E-2</v>
      </c>
      <c r="AF100" s="148">
        <f t="shared" si="59"/>
        <v>3.4664564297296876E-2</v>
      </c>
    </row>
    <row r="101" spans="1:32" x14ac:dyDescent="0.2">
      <c r="A101" s="154">
        <v>46.5</v>
      </c>
      <c r="B101" s="158">
        <v>0.14310394965952611</v>
      </c>
      <c r="C101" s="158">
        <v>0.24753990893231781</v>
      </c>
      <c r="D101" s="158">
        <v>0.33259963049381669</v>
      </c>
      <c r="E101" s="158">
        <v>0.4590357511594455</v>
      </c>
      <c r="F101" s="158">
        <v>0.56766785007663134</v>
      </c>
      <c r="G101" s="158">
        <v>0.68964673093984796</v>
      </c>
      <c r="H101" s="169">
        <f t="shared" si="37"/>
        <v>3.1738255826088812E-3</v>
      </c>
      <c r="I101" s="169">
        <f t="shared" si="38"/>
        <v>2.6810238516137936E-3</v>
      </c>
      <c r="J101" s="169">
        <f t="shared" si="39"/>
        <v>2.4127295114064538E-3</v>
      </c>
      <c r="K101" s="169">
        <f t="shared" si="40"/>
        <v>2.1531059798269902E-3</v>
      </c>
      <c r="L101" s="169">
        <f t="shared" si="41"/>
        <v>1.992732256503843E-3</v>
      </c>
      <c r="M101" s="169">
        <f t="shared" si="42"/>
        <v>1.8649825561994277E-3</v>
      </c>
      <c r="N101" s="169"/>
      <c r="O101" s="155">
        <f t="shared" si="43"/>
        <v>18.166625843086965</v>
      </c>
      <c r="P101" s="155">
        <f t="shared" si="44"/>
        <v>18.287941961663321</v>
      </c>
      <c r="Q101" s="155">
        <f t="shared" si="45"/>
        <v>18.359979243101844</v>
      </c>
      <c r="R101" s="155">
        <f t="shared" si="46"/>
        <v>18.44849197559796</v>
      </c>
      <c r="S101" s="155">
        <f t="shared" si="47"/>
        <v>18.511932916695837</v>
      </c>
      <c r="T101" s="155">
        <f t="shared" si="48"/>
        <v>18.578144592421822</v>
      </c>
      <c r="U101" s="159">
        <f t="shared" si="49"/>
        <v>18.729115014151247</v>
      </c>
      <c r="V101" s="159">
        <f t="shared" si="50"/>
        <v>18.794128288248601</v>
      </c>
      <c r="W101" s="159">
        <f t="shared" si="51"/>
        <v>19.01011198407538</v>
      </c>
      <c r="X101" s="148">
        <f t="shared" si="53"/>
        <v>3.2721868769349419E-2</v>
      </c>
      <c r="Y101" s="148">
        <f t="shared" si="54"/>
        <v>3.2956289979683973E-2</v>
      </c>
      <c r="Z101" s="148">
        <f t="shared" si="55"/>
        <v>3.3095505130333609E-2</v>
      </c>
      <c r="AA101" s="148">
        <f t="shared" si="56"/>
        <v>3.3266566656988426E-2</v>
      </c>
      <c r="AB101" s="148">
        <f t="shared" si="57"/>
        <v>3.3389176431084987E-2</v>
      </c>
      <c r="AC101" s="148">
        <f t="shared" si="58"/>
        <v>3.3517139965053781E-2</v>
      </c>
      <c r="AD101" s="148">
        <f t="shared" si="34"/>
        <v>3.3808911270680149E-2</v>
      </c>
      <c r="AE101" s="148">
        <f t="shared" si="35"/>
        <v>3.3934558451426754E-2</v>
      </c>
      <c r="AF101" s="148">
        <f t="shared" si="59"/>
        <v>3.4351976937799733E-2</v>
      </c>
    </row>
    <row r="102" spans="1:32" x14ac:dyDescent="0.2">
      <c r="A102" s="154">
        <v>47</v>
      </c>
      <c r="B102" s="158">
        <v>0.12289946744872532</v>
      </c>
      <c r="C102" s="158">
        <v>0.21251751876278127</v>
      </c>
      <c r="D102" s="158">
        <v>0.28549927361309579</v>
      </c>
      <c r="E102" s="158">
        <v>0.39397521258697599</v>
      </c>
      <c r="F102" s="158">
        <v>0.48717305510851439</v>
      </c>
      <c r="G102" s="158">
        <v>0.59182004235744246</v>
      </c>
      <c r="H102" s="169">
        <f t="shared" si="37"/>
        <v>2.7257212313553107E-3</v>
      </c>
      <c r="I102" s="169">
        <f t="shared" si="38"/>
        <v>2.301707789852113E-3</v>
      </c>
      <c r="J102" s="169">
        <f t="shared" si="39"/>
        <v>2.0710561882125366E-3</v>
      </c>
      <c r="K102" s="169">
        <f t="shared" si="40"/>
        <v>1.8479396952896202E-3</v>
      </c>
      <c r="L102" s="169">
        <f t="shared" si="41"/>
        <v>1.7101645993924241E-3</v>
      </c>
      <c r="M102" s="169">
        <f t="shared" si="42"/>
        <v>1.6004339698698666E-3</v>
      </c>
      <c r="N102" s="169"/>
      <c r="O102" s="155">
        <f t="shared" si="43"/>
        <v>18.143100364646155</v>
      </c>
      <c r="P102" s="155">
        <f t="shared" si="44"/>
        <v>18.247203416630118</v>
      </c>
      <c r="Q102" s="155">
        <f t="shared" si="45"/>
        <v>18.309001583281312</v>
      </c>
      <c r="R102" s="155">
        <f t="shared" si="46"/>
        <v>18.384925838528829</v>
      </c>
      <c r="S102" s="155">
        <f t="shared" si="47"/>
        <v>18.439341285583914</v>
      </c>
      <c r="T102" s="155">
        <f t="shared" si="48"/>
        <v>18.49613453065966</v>
      </c>
      <c r="U102" s="159">
        <f t="shared" si="49"/>
        <v>18.625630530245477</v>
      </c>
      <c r="V102" s="159">
        <f t="shared" si="50"/>
        <v>18.681396148564225</v>
      </c>
      <c r="W102" s="159">
        <f t="shared" si="51"/>
        <v>18.866657766468791</v>
      </c>
      <c r="X102" s="148">
        <f t="shared" si="53"/>
        <v>3.2678753586959805E-2</v>
      </c>
      <c r="Y102" s="148">
        <f t="shared" si="54"/>
        <v>3.2881630840464089E-2</v>
      </c>
      <c r="Z102" s="148">
        <f t="shared" si="55"/>
        <v>3.3002082743744839E-2</v>
      </c>
      <c r="AA102" s="148">
        <f t="shared" si="56"/>
        <v>3.315007603271411E-2</v>
      </c>
      <c r="AB102" s="148">
        <f t="shared" si="57"/>
        <v>3.3256146782051771E-2</v>
      </c>
      <c r="AC102" s="148">
        <f t="shared" si="58"/>
        <v>3.3366851210773332E-2</v>
      </c>
      <c r="AD102" s="148">
        <f t="shared" si="34"/>
        <v>3.3619270989957047E-2</v>
      </c>
      <c r="AE102" s="148">
        <f t="shared" si="35"/>
        <v>3.3727971993131545E-2</v>
      </c>
      <c r="AF102" s="148">
        <f t="shared" si="59"/>
        <v>3.408909277548975E-2</v>
      </c>
    </row>
    <row r="103" spans="1:32" x14ac:dyDescent="0.2">
      <c r="A103" s="154">
        <v>47.5</v>
      </c>
      <c r="B103" s="158">
        <v>0.10353771211425927</v>
      </c>
      <c r="C103" s="158">
        <v>0.17896037028741837</v>
      </c>
      <c r="D103" s="158">
        <v>0.24037210892826111</v>
      </c>
      <c r="E103" s="158">
        <v>0.33164360131584381</v>
      </c>
      <c r="F103" s="158">
        <v>0.41005681022475149</v>
      </c>
      <c r="G103" s="158">
        <v>0.49810146896735197</v>
      </c>
      <c r="H103" s="169">
        <f t="shared" si="37"/>
        <v>2.2963072665350063E-3</v>
      </c>
      <c r="I103" s="169">
        <f t="shared" si="38"/>
        <v>1.9382612820035856E-3</v>
      </c>
      <c r="J103" s="169">
        <f t="shared" si="39"/>
        <v>1.7436967084694466E-3</v>
      </c>
      <c r="K103" s="169">
        <f t="shared" si="40"/>
        <v>1.5555734370599652E-3</v>
      </c>
      <c r="L103" s="169">
        <f t="shared" si="41"/>
        <v>1.439456951144282E-3</v>
      </c>
      <c r="M103" s="169">
        <f t="shared" si="42"/>
        <v>1.3469947861210793E-3</v>
      </c>
      <c r="N103" s="169"/>
      <c r="O103" s="155">
        <f t="shared" si="43"/>
        <v>18.120556131493089</v>
      </c>
      <c r="P103" s="155">
        <f t="shared" si="44"/>
        <v>18.208169261687186</v>
      </c>
      <c r="Q103" s="155">
        <f t="shared" si="45"/>
        <v>18.260159548903641</v>
      </c>
      <c r="R103" s="155">
        <f t="shared" si="46"/>
        <v>18.324025946939592</v>
      </c>
      <c r="S103" s="155">
        <f t="shared" si="47"/>
        <v>18.369796490748968</v>
      </c>
      <c r="T103" s="155">
        <f t="shared" si="48"/>
        <v>18.417568383697535</v>
      </c>
      <c r="U103" s="159">
        <f t="shared" si="49"/>
        <v>18.526495297374911</v>
      </c>
      <c r="V103" s="159">
        <f t="shared" si="50"/>
        <v>18.57340313014349</v>
      </c>
      <c r="W103" s="159">
        <f t="shared" si="51"/>
        <v>18.729237876589448</v>
      </c>
      <c r="X103" s="148">
        <f t="shared" si="53"/>
        <v>3.2637290846525321E-2</v>
      </c>
      <c r="Y103" s="148">
        <f t="shared" si="54"/>
        <v>3.2809835410485572E-2</v>
      </c>
      <c r="Z103" s="148">
        <f t="shared" si="55"/>
        <v>3.2912245018966453E-2</v>
      </c>
      <c r="AA103" s="148">
        <f t="shared" si="56"/>
        <v>3.3038056606921579E-2</v>
      </c>
      <c r="AB103" s="148">
        <f t="shared" si="57"/>
        <v>3.3128223998699594E-2</v>
      </c>
      <c r="AC103" s="148">
        <f t="shared" si="58"/>
        <v>3.3222332622921472E-2</v>
      </c>
      <c r="AD103" s="148">
        <f t="shared" si="34"/>
        <v>3.3436913244858348E-2</v>
      </c>
      <c r="AE103" s="148">
        <f t="shared" si="35"/>
        <v>3.3529319350836945E-2</v>
      </c>
      <c r="AF103" s="148">
        <f t="shared" si="59"/>
        <v>3.3836306078752418E-2</v>
      </c>
    </row>
    <row r="104" spans="1:32" x14ac:dyDescent="0.2">
      <c r="A104" s="154">
        <v>48</v>
      </c>
      <c r="B104" s="158">
        <v>8.5008092823314063E-2</v>
      </c>
      <c r="C104" s="158">
        <v>0.14685860561567798</v>
      </c>
      <c r="D104" s="158">
        <v>0.19720998049959909</v>
      </c>
      <c r="E104" s="158">
        <v>0.27203614150480154</v>
      </c>
      <c r="F104" s="158">
        <v>0.33631762933922971</v>
      </c>
      <c r="G104" s="158">
        <v>0.40849339078386848</v>
      </c>
      <c r="H104" s="169">
        <f t="shared" si="37"/>
        <v>1.8853487997594523E-3</v>
      </c>
      <c r="I104" s="169">
        <f t="shared" si="38"/>
        <v>1.5905775604774497E-3</v>
      </c>
      <c r="J104" s="169">
        <f t="shared" si="39"/>
        <v>1.4305919077204742E-3</v>
      </c>
      <c r="K104" s="169">
        <f t="shared" si="40"/>
        <v>1.2759848040672533E-3</v>
      </c>
      <c r="L104" s="169">
        <f t="shared" si="41"/>
        <v>1.1806040950261935E-3</v>
      </c>
      <c r="M104" s="169">
        <f t="shared" si="42"/>
        <v>1.1046714411252956E-3</v>
      </c>
      <c r="N104" s="169"/>
      <c r="O104" s="155">
        <f t="shared" si="43"/>
        <v>18.098980811987371</v>
      </c>
      <c r="P104" s="155">
        <f t="shared" si="44"/>
        <v>18.170828029995278</v>
      </c>
      <c r="Q104" s="155">
        <f t="shared" si="45"/>
        <v>18.213444312631896</v>
      </c>
      <c r="R104" s="155">
        <f t="shared" si="46"/>
        <v>18.265787634687207</v>
      </c>
      <c r="S104" s="155">
        <f t="shared" si="47"/>
        <v>18.303297192012231</v>
      </c>
      <c r="T104" s="155">
        <f t="shared" si="48"/>
        <v>18.342448146748843</v>
      </c>
      <c r="U104" s="159">
        <f t="shared" si="49"/>
        <v>18.431718799957771</v>
      </c>
      <c r="V104" s="159">
        <f t="shared" si="50"/>
        <v>18.470161942524619</v>
      </c>
      <c r="W104" s="159">
        <f t="shared" si="51"/>
        <v>18.597875738300399</v>
      </c>
      <c r="X104" s="148">
        <f t="shared" si="53"/>
        <v>3.2597583249132416E-2</v>
      </c>
      <c r="Y104" s="148">
        <f t="shared" si="54"/>
        <v>3.2741097562514219E-2</v>
      </c>
      <c r="Z104" s="148">
        <f t="shared" si="55"/>
        <v>3.2826243475381982E-2</v>
      </c>
      <c r="AA104" s="148">
        <f t="shared" si="56"/>
        <v>3.2930832223464115E-2</v>
      </c>
      <c r="AB104" s="148">
        <f t="shared" si="57"/>
        <v>3.300578431448508E-2</v>
      </c>
      <c r="AC104" s="148">
        <f t="shared" si="58"/>
        <v>3.3084014877401736E-2</v>
      </c>
      <c r="AD104" s="148">
        <f t="shared" si="34"/>
        <v>3.3262392687599417E-2</v>
      </c>
      <c r="AE104" s="148">
        <f t="shared" si="35"/>
        <v>3.3339208565401297E-2</v>
      </c>
      <c r="AF104" s="148">
        <f t="shared" si="59"/>
        <v>3.3594402253400858E-2</v>
      </c>
    </row>
    <row r="105" spans="1:32" x14ac:dyDescent="0.2">
      <c r="A105" s="154">
        <v>48.5</v>
      </c>
      <c r="B105" s="158">
        <v>7.2597909697391494E-2</v>
      </c>
      <c r="C105" s="158">
        <v>0.1253934876936571</v>
      </c>
      <c r="D105" s="158">
        <v>0.16837022619126651</v>
      </c>
      <c r="E105" s="158">
        <v>0.23223470855582318</v>
      </c>
      <c r="F105" s="158">
        <v>0.28709821720331397</v>
      </c>
      <c r="G105" s="158">
        <v>0.34869895889314328</v>
      </c>
      <c r="H105" s="169">
        <f t="shared" si="37"/>
        <v>1.6101100185544209E-3</v>
      </c>
      <c r="I105" s="169">
        <f t="shared" si="38"/>
        <v>1.3580958835839854E-3</v>
      </c>
      <c r="J105" s="169">
        <f t="shared" si="39"/>
        <v>1.2213838390941951E-3</v>
      </c>
      <c r="K105" s="169">
        <f t="shared" si="40"/>
        <v>1.0892962878205922E-3</v>
      </c>
      <c r="L105" s="169">
        <f t="shared" si="41"/>
        <v>1.0078250479194114E-3</v>
      </c>
      <c r="M105" s="169">
        <f t="shared" si="42"/>
        <v>9.4297188187111879E-4</v>
      </c>
      <c r="N105" s="169"/>
      <c r="O105" s="155">
        <f t="shared" si="43"/>
        <v>18.084530775974105</v>
      </c>
      <c r="P105" s="155">
        <f t="shared" si="44"/>
        <v>18.145859497896922</v>
      </c>
      <c r="Q105" s="155">
        <f t="shared" si="45"/>
        <v>18.182230468792852</v>
      </c>
      <c r="R105" s="155">
        <f t="shared" si="46"/>
        <v>18.226900416753029</v>
      </c>
      <c r="S105" s="155">
        <f t="shared" si="47"/>
        <v>18.258910254810498</v>
      </c>
      <c r="T105" s="155">
        <f t="shared" si="48"/>
        <v>18.292321283380048</v>
      </c>
      <c r="U105" s="159">
        <f t="shared" si="49"/>
        <v>18.368504127074388</v>
      </c>
      <c r="V105" s="159">
        <f t="shared" si="50"/>
        <v>18.401311189821371</v>
      </c>
      <c r="W105" s="159">
        <f t="shared" si="51"/>
        <v>18.510301096262694</v>
      </c>
      <c r="X105" s="148">
        <f t="shared" si="53"/>
        <v>3.2565160429165331E-2</v>
      </c>
      <c r="Y105" s="148">
        <f t="shared" si="54"/>
        <v>3.2685018775102978E-2</v>
      </c>
      <c r="Z105" s="148">
        <f t="shared" si="55"/>
        <v>3.2756107303282267E-2</v>
      </c>
      <c r="AA105" s="148">
        <f t="shared" si="56"/>
        <v>3.2843419246296218E-2</v>
      </c>
      <c r="AB105" s="148">
        <f t="shared" si="57"/>
        <v>3.2905986702140455E-2</v>
      </c>
      <c r="AC105" s="148">
        <f t="shared" si="58"/>
        <v>3.2971292487116E-2</v>
      </c>
      <c r="AD105" s="148">
        <f t="shared" si="34"/>
        <v>3.3120200634328939E-2</v>
      </c>
      <c r="AE105" s="148">
        <f t="shared" si="35"/>
        <v>3.318432581911139E-2</v>
      </c>
      <c r="AF105" s="148">
        <f t="shared" si="59"/>
        <v>3.3397359151106788E-2</v>
      </c>
    </row>
    <row r="106" spans="1:32" x14ac:dyDescent="0.2">
      <c r="A106" s="154">
        <v>49</v>
      </c>
      <c r="B106" s="158">
        <v>6.0863712975960368E-2</v>
      </c>
      <c r="C106" s="158">
        <v>0.10509274588718953</v>
      </c>
      <c r="D106" s="158">
        <v>0.14109201037703151</v>
      </c>
      <c r="E106" s="158">
        <v>0.19458471087345289</v>
      </c>
      <c r="F106" s="158">
        <v>0.24053686849926029</v>
      </c>
      <c r="G106" s="158">
        <v>0.2921313788308893</v>
      </c>
      <c r="H106" s="169">
        <f t="shared" si="37"/>
        <v>1.3498635764789193E-3</v>
      </c>
      <c r="I106" s="169">
        <f t="shared" si="38"/>
        <v>1.1382251838517891E-3</v>
      </c>
      <c r="J106" s="169">
        <f t="shared" si="39"/>
        <v>1.0235034138640097E-3</v>
      </c>
      <c r="K106" s="169">
        <f t="shared" si="40"/>
        <v>9.1269907301623574E-4</v>
      </c>
      <c r="L106" s="169">
        <f t="shared" si="41"/>
        <v>8.4437682470866256E-4</v>
      </c>
      <c r="M106" s="169">
        <f t="shared" si="42"/>
        <v>7.8999856186603935E-4</v>
      </c>
      <c r="N106" s="169"/>
      <c r="O106" s="155">
        <f t="shared" si="43"/>
        <v>18.070867837765142</v>
      </c>
      <c r="P106" s="155">
        <f t="shared" si="44"/>
        <v>18.122245384745682</v>
      </c>
      <c r="Q106" s="155">
        <f t="shared" si="45"/>
        <v>18.152706709348511</v>
      </c>
      <c r="R106" s="155">
        <f t="shared" si="46"/>
        <v>18.19011521690928</v>
      </c>
      <c r="S106" s="155">
        <f t="shared" si="47"/>
        <v>18.216920406267654</v>
      </c>
      <c r="T106" s="155">
        <f t="shared" si="48"/>
        <v>18.244899554178474</v>
      </c>
      <c r="U106" s="159">
        <f t="shared" si="49"/>
        <v>18.308697002800809</v>
      </c>
      <c r="V106" s="159">
        <f t="shared" si="50"/>
        <v>18.336170470560138</v>
      </c>
      <c r="W106" s="159">
        <f t="shared" si="51"/>
        <v>18.427441386941801</v>
      </c>
      <c r="X106" s="148">
        <f t="shared" si="53"/>
        <v>3.2539858752365328E-2</v>
      </c>
      <c r="Y106" s="148">
        <f t="shared" si="54"/>
        <v>3.2641294394378344E-2</v>
      </c>
      <c r="Z106" s="148">
        <f t="shared" si="55"/>
        <v>3.2701443460327224E-2</v>
      </c>
      <c r="AA106" s="148">
        <f t="shared" si="56"/>
        <v>3.2775314070296074E-2</v>
      </c>
      <c r="AB106" s="148">
        <f t="shared" si="57"/>
        <v>3.2828247594970335E-2</v>
      </c>
      <c r="AC106" s="148">
        <f t="shared" si="58"/>
        <v>3.288349875380267E-2</v>
      </c>
      <c r="AD106" s="148">
        <f t="shared" ref="AD106:AD115" si="60">(U106+U105)*($A106-$A105)/2*(3600/1000000)</f>
        <v>3.3009481016887679E-2</v>
      </c>
      <c r="AE106" s="148">
        <f t="shared" ref="AE106:AE115" si="61">(V106+V105)*($A106-$A105)/2*(3600/1000000)</f>
        <v>3.3063733494343356E-2</v>
      </c>
      <c r="AF106" s="148">
        <f t="shared" si="59"/>
        <v>3.3243968234884042E-2</v>
      </c>
    </row>
    <row r="107" spans="1:32" x14ac:dyDescent="0.2">
      <c r="A107" s="154">
        <v>49.5</v>
      </c>
      <c r="B107" s="158">
        <v>4.9984169106599759E-2</v>
      </c>
      <c r="C107" s="158">
        <v>8.6270723306175606E-2</v>
      </c>
      <c r="D107" s="158">
        <v>0.11580082528682531</v>
      </c>
      <c r="E107" s="158">
        <v>0.15967733431935471</v>
      </c>
      <c r="F107" s="158">
        <v>0.19736733728890404</v>
      </c>
      <c r="G107" s="158">
        <v>0.23968457333565824</v>
      </c>
      <c r="H107" s="169">
        <f t="shared" si="37"/>
        <v>1.1085720206424397E-3</v>
      </c>
      <c r="I107" s="169">
        <f t="shared" si="38"/>
        <v>9.3437000876925671E-4</v>
      </c>
      <c r="J107" s="169">
        <f t="shared" si="39"/>
        <v>8.4003721892270827E-4</v>
      </c>
      <c r="K107" s="169">
        <f t="shared" si="40"/>
        <v>7.4896611537870572E-4</v>
      </c>
      <c r="L107" s="169">
        <f t="shared" si="41"/>
        <v>6.9283518406543535E-4</v>
      </c>
      <c r="M107" s="169">
        <f t="shared" si="42"/>
        <v>6.4816887865461919E-4</v>
      </c>
      <c r="N107" s="169"/>
      <c r="O107" s="155">
        <f t="shared" si="43"/>
        <v>18.058200031083729</v>
      </c>
      <c r="P107" s="155">
        <f t="shared" si="44"/>
        <v>18.100351338941817</v>
      </c>
      <c r="Q107" s="155">
        <f t="shared" si="45"/>
        <v>18.125333553063268</v>
      </c>
      <c r="R107" s="155">
        <f t="shared" si="46"/>
        <v>18.156009641833386</v>
      </c>
      <c r="S107" s="155">
        <f t="shared" si="47"/>
        <v>18.177989358786409</v>
      </c>
      <c r="T107" s="155">
        <f t="shared" si="48"/>
        <v>18.200932352382932</v>
      </c>
      <c r="U107" s="159">
        <f t="shared" si="49"/>
        <v>18.253246721512138</v>
      </c>
      <c r="V107" s="159">
        <f t="shared" si="50"/>
        <v>18.275775163709397</v>
      </c>
      <c r="W107" s="159">
        <f t="shared" si="51"/>
        <v>18.350617975035867</v>
      </c>
      <c r="X107" s="148">
        <f t="shared" si="53"/>
        <v>3.2516161081963986E-2</v>
      </c>
      <c r="Y107" s="148">
        <f t="shared" si="54"/>
        <v>3.2600337051318748E-2</v>
      </c>
      <c r="Z107" s="148">
        <f t="shared" si="55"/>
        <v>3.2650236236170603E-2</v>
      </c>
      <c r="AA107" s="148">
        <f t="shared" si="56"/>
        <v>3.2711512372868401E-2</v>
      </c>
      <c r="AB107" s="148">
        <f t="shared" si="57"/>
        <v>3.2755418788548658E-2</v>
      </c>
      <c r="AC107" s="148">
        <f t="shared" si="58"/>
        <v>3.2801248715905271E-2</v>
      </c>
      <c r="AD107" s="148">
        <f t="shared" si="60"/>
        <v>3.2905749351881654E-2</v>
      </c>
      <c r="AE107" s="148">
        <f t="shared" si="61"/>
        <v>3.2950751070842575E-2</v>
      </c>
      <c r="AF107" s="148">
        <f t="shared" si="59"/>
        <v>3.3100253425779901E-2</v>
      </c>
    </row>
    <row r="108" spans="1:32" x14ac:dyDescent="0.2">
      <c r="A108" s="154">
        <v>50</v>
      </c>
      <c r="B108" s="158">
        <v>3.9749594419472005E-2</v>
      </c>
      <c r="C108" s="158">
        <v>6.8570005586282637E-2</v>
      </c>
      <c r="D108" s="158">
        <v>9.201960631972092E-2</v>
      </c>
      <c r="E108" s="158">
        <v>0.126858169832227</v>
      </c>
      <c r="F108" s="158">
        <v>0.15678306886706972</v>
      </c>
      <c r="G108" s="158">
        <v>0.19038124648619881</v>
      </c>
      <c r="H108" s="169">
        <f t="shared" si="37"/>
        <v>8.8158488963445186E-4</v>
      </c>
      <c r="I108" s="169">
        <f t="shared" si="38"/>
        <v>7.4265932016796387E-4</v>
      </c>
      <c r="J108" s="169">
        <f t="shared" si="39"/>
        <v>6.6752455336754196E-4</v>
      </c>
      <c r="K108" s="169">
        <f t="shared" si="40"/>
        <v>5.9502791093236939E-4</v>
      </c>
      <c r="L108" s="169">
        <f t="shared" si="41"/>
        <v>5.5036880908950142E-4</v>
      </c>
      <c r="M108" s="169">
        <f t="shared" si="42"/>
        <v>5.1483997211208853E-4</v>
      </c>
      <c r="N108" s="169"/>
      <c r="O108" s="155">
        <f t="shared" si="43"/>
        <v>18.046283206705809</v>
      </c>
      <c r="P108" s="155">
        <f t="shared" si="44"/>
        <v>18.07976161098604</v>
      </c>
      <c r="Q108" s="155">
        <f t="shared" si="45"/>
        <v>18.099594663362438</v>
      </c>
      <c r="R108" s="155">
        <f t="shared" si="46"/>
        <v>18.123944313847211</v>
      </c>
      <c r="S108" s="155">
        <f t="shared" si="47"/>
        <v>18.141389747055094</v>
      </c>
      <c r="T108" s="155">
        <f t="shared" si="48"/>
        <v>18.159600391354747</v>
      </c>
      <c r="U108" s="159">
        <f t="shared" si="49"/>
        <v>18.201124355125426</v>
      </c>
      <c r="V108" s="159">
        <f t="shared" si="50"/>
        <v>18.219006062067134</v>
      </c>
      <c r="W108" s="159">
        <f t="shared" si="51"/>
        <v>18.278411732779517</v>
      </c>
      <c r="X108" s="148">
        <f t="shared" si="53"/>
        <v>3.2494034914010581E-2</v>
      </c>
      <c r="Y108" s="148">
        <f t="shared" si="54"/>
        <v>3.2562101654935074E-2</v>
      </c>
      <c r="Z108" s="148">
        <f t="shared" si="55"/>
        <v>3.2602435394783136E-2</v>
      </c>
      <c r="AA108" s="148">
        <f t="shared" si="56"/>
        <v>3.2651958560112535E-2</v>
      </c>
      <c r="AB108" s="148">
        <f t="shared" si="57"/>
        <v>3.2687441195257357E-2</v>
      </c>
      <c r="AC108" s="148">
        <f t="shared" si="58"/>
        <v>3.272447946936391E-2</v>
      </c>
      <c r="AD108" s="148">
        <f t="shared" si="60"/>
        <v>3.2808933968973809E-2</v>
      </c>
      <c r="AE108" s="148">
        <f t="shared" si="61"/>
        <v>3.2845303103198879E-2</v>
      </c>
      <c r="AF108" s="148">
        <f t="shared" si="59"/>
        <v>3.2966126737033842E-2</v>
      </c>
    </row>
    <row r="109" spans="1:32" x14ac:dyDescent="0.2">
      <c r="A109" s="154">
        <v>50.5</v>
      </c>
      <c r="B109" s="158">
        <v>3.2297602907295622E-2</v>
      </c>
      <c r="C109" s="158">
        <v>5.5707340383686361E-2</v>
      </c>
      <c r="D109" s="158">
        <v>7.4753631566848971E-2</v>
      </c>
      <c r="E109" s="158">
        <v>0.10304959632968125</v>
      </c>
      <c r="F109" s="158">
        <v>0.12735436802525923</v>
      </c>
      <c r="G109" s="158">
        <v>0.15464242379093857</v>
      </c>
      <c r="H109" s="169">
        <f t="shared" si="37"/>
        <v>7.1631117525409386E-4</v>
      </c>
      <c r="I109" s="169">
        <f t="shared" si="38"/>
        <v>6.0334799718887895E-4</v>
      </c>
      <c r="J109" s="169">
        <f t="shared" si="39"/>
        <v>5.4227448388429475E-4</v>
      </c>
      <c r="K109" s="169">
        <f t="shared" si="40"/>
        <v>4.8335385972829285E-4</v>
      </c>
      <c r="L109" s="169">
        <f t="shared" si="41"/>
        <v>4.4706276238179894E-4</v>
      </c>
      <c r="M109" s="169">
        <f t="shared" si="42"/>
        <v>4.181929818263069E-4</v>
      </c>
      <c r="N109" s="169"/>
      <c r="O109" s="155">
        <f t="shared" si="43"/>
        <v>18.03760633670084</v>
      </c>
      <c r="P109" s="155">
        <f t="shared" si="44"/>
        <v>18.064799574898085</v>
      </c>
      <c r="Q109" s="155">
        <f t="shared" si="45"/>
        <v>18.080907352995538</v>
      </c>
      <c r="R109" s="155">
        <f t="shared" si="46"/>
        <v>18.100682608981405</v>
      </c>
      <c r="S109" s="155">
        <f t="shared" si="47"/>
        <v>18.114850423655884</v>
      </c>
      <c r="T109" s="155">
        <f t="shared" si="48"/>
        <v>18.129639824366155</v>
      </c>
      <c r="U109" s="159">
        <f t="shared" si="49"/>
        <v>18.163362694554621</v>
      </c>
      <c r="V109" s="159">
        <f t="shared" si="50"/>
        <v>18.177884971023065</v>
      </c>
      <c r="W109" s="159">
        <f t="shared" si="51"/>
        <v>18.226130117679975</v>
      </c>
      <c r="X109" s="148">
        <f t="shared" si="53"/>
        <v>3.2475500589065981E-2</v>
      </c>
      <c r="Y109" s="148">
        <f t="shared" si="54"/>
        <v>3.2530105067295714E-2</v>
      </c>
      <c r="Z109" s="148">
        <f t="shared" si="55"/>
        <v>3.2562451814722178E-2</v>
      </c>
      <c r="AA109" s="148">
        <f t="shared" si="56"/>
        <v>3.2602164230545759E-2</v>
      </c>
      <c r="AB109" s="148">
        <f t="shared" si="57"/>
        <v>3.263061615363988E-2</v>
      </c>
      <c r="AC109" s="148">
        <f t="shared" si="58"/>
        <v>3.266031619414881E-2</v>
      </c>
      <c r="AD109" s="148">
        <f t="shared" si="60"/>
        <v>3.2728038344712045E-2</v>
      </c>
      <c r="AE109" s="148">
        <f t="shared" si="61"/>
        <v>3.2757201929781175E-2</v>
      </c>
      <c r="AF109" s="148">
        <f t="shared" si="59"/>
        <v>3.2854087665413541E-2</v>
      </c>
    </row>
    <row r="110" spans="1:32" x14ac:dyDescent="0.2">
      <c r="A110" s="154">
        <v>51</v>
      </c>
      <c r="B110" s="158">
        <v>2.4845611395119253E-2</v>
      </c>
      <c r="C110" s="158">
        <v>4.2844675181090093E-2</v>
      </c>
      <c r="D110" s="158">
        <v>5.7487656813977051E-2</v>
      </c>
      <c r="E110" s="158">
        <v>7.9241022827135521E-2</v>
      </c>
      <c r="F110" s="158">
        <v>9.7925667183448764E-2</v>
      </c>
      <c r="G110" s="158">
        <v>0.11890360109567838</v>
      </c>
      <c r="H110" s="169">
        <f t="shared" si="37"/>
        <v>5.5103746087373619E-4</v>
      </c>
      <c r="I110" s="169">
        <f t="shared" si="38"/>
        <v>4.640366742097942E-4</v>
      </c>
      <c r="J110" s="169">
        <f t="shared" si="39"/>
        <v>4.1702441440104771E-4</v>
      </c>
      <c r="K110" s="169">
        <f t="shared" si="40"/>
        <v>3.716798085242163E-4</v>
      </c>
      <c r="L110" s="169">
        <f t="shared" si="41"/>
        <v>3.4375671567409645E-4</v>
      </c>
      <c r="M110" s="169">
        <f t="shared" si="42"/>
        <v>3.2154599154052537E-4</v>
      </c>
      <c r="N110" s="169"/>
      <c r="O110" s="155">
        <f t="shared" si="43"/>
        <v>18.028929466695871</v>
      </c>
      <c r="P110" s="155">
        <f t="shared" si="44"/>
        <v>18.049837538810131</v>
      </c>
      <c r="Q110" s="155">
        <f t="shared" si="45"/>
        <v>18.062220042628635</v>
      </c>
      <c r="R110" s="155">
        <f t="shared" si="46"/>
        <v>18.077420904115595</v>
      </c>
      <c r="S110" s="155">
        <f t="shared" si="47"/>
        <v>18.088311100256675</v>
      </c>
      <c r="T110" s="155">
        <f t="shared" si="48"/>
        <v>18.099679257377563</v>
      </c>
      <c r="U110" s="159">
        <f t="shared" si="49"/>
        <v>18.12560103398382</v>
      </c>
      <c r="V110" s="159">
        <f t="shared" si="50"/>
        <v>18.136763879979</v>
      </c>
      <c r="W110" s="159">
        <f t="shared" si="51"/>
        <v>18.173848502580441</v>
      </c>
      <c r="X110" s="148">
        <f t="shared" si="53"/>
        <v>3.2459882223057041E-2</v>
      </c>
      <c r="Y110" s="148">
        <f t="shared" si="54"/>
        <v>3.2503173402337389E-2</v>
      </c>
      <c r="Z110" s="148">
        <f t="shared" si="55"/>
        <v>3.2528814656061757E-2</v>
      </c>
      <c r="AA110" s="148">
        <f t="shared" si="56"/>
        <v>3.2560293161787296E-2</v>
      </c>
      <c r="AB110" s="148">
        <f t="shared" si="57"/>
        <v>3.2582845371521299E-2</v>
      </c>
      <c r="AC110" s="148">
        <f t="shared" si="58"/>
        <v>3.2606387173569347E-2</v>
      </c>
      <c r="AD110" s="148">
        <f t="shared" si="60"/>
        <v>3.2660067355684594E-2</v>
      </c>
      <c r="AE110" s="148">
        <f t="shared" si="61"/>
        <v>3.2683183965901856E-2</v>
      </c>
      <c r="AF110" s="148">
        <f t="shared" si="59"/>
        <v>3.2759980758234372E-2</v>
      </c>
    </row>
    <row r="111" spans="1:32" x14ac:dyDescent="0.2">
      <c r="A111" s="154">
        <v>51.5</v>
      </c>
      <c r="B111" s="158">
        <v>1.8180580970198826E-2</v>
      </c>
      <c r="C111" s="158">
        <v>3.1337538266906759E-2</v>
      </c>
      <c r="D111" s="158">
        <v>4.2039573697596817E-2</v>
      </c>
      <c r="E111" s="158">
        <v>5.7937079336852285E-2</v>
      </c>
      <c r="F111" s="158">
        <v>7.1591396162171694E-2</v>
      </c>
      <c r="G111" s="158">
        <v>8.6921372921365758E-2</v>
      </c>
      <c r="H111" s="169">
        <f t="shared" si="37"/>
        <v>4.0321733346419998E-4</v>
      </c>
      <c r="I111" s="169">
        <f t="shared" si="38"/>
        <v>3.3940663510306454E-4</v>
      </c>
      <c r="J111" s="169">
        <f t="shared" si="39"/>
        <v>3.0496161392766204E-4</v>
      </c>
      <c r="K111" s="169">
        <f t="shared" si="40"/>
        <v>2.7175371778516986E-4</v>
      </c>
      <c r="L111" s="169">
        <f t="shared" si="41"/>
        <v>2.5131330654227905E-4</v>
      </c>
      <c r="M111" s="169">
        <f t="shared" si="42"/>
        <v>2.3505780131565887E-4</v>
      </c>
      <c r="N111" s="169"/>
      <c r="O111" s="155">
        <f t="shared" si="43"/>
        <v>18.021168910006871</v>
      </c>
      <c r="P111" s="155">
        <f t="shared" si="44"/>
        <v>18.03645227261007</v>
      </c>
      <c r="Q111" s="155">
        <f t="shared" si="45"/>
        <v>18.045500272798009</v>
      </c>
      <c r="R111" s="155">
        <f t="shared" si="46"/>
        <v>18.05660629941465</v>
      </c>
      <c r="S111" s="155">
        <f t="shared" si="47"/>
        <v>18.06456238845071</v>
      </c>
      <c r="T111" s="155">
        <f t="shared" si="48"/>
        <v>18.072867918407855</v>
      </c>
      <c r="U111" s="159">
        <f t="shared" si="49"/>
        <v>18.09180632916987</v>
      </c>
      <c r="V111" s="159">
        <f t="shared" si="50"/>
        <v>18.099961887561602</v>
      </c>
      <c r="W111" s="159">
        <f t="shared" si="51"/>
        <v>18.127055856715351</v>
      </c>
      <c r="X111" s="148">
        <f t="shared" si="53"/>
        <v>3.2445088539032468E-2</v>
      </c>
      <c r="Y111" s="148">
        <f t="shared" si="54"/>
        <v>3.2477660830278178E-2</v>
      </c>
      <c r="Z111" s="148">
        <f t="shared" si="55"/>
        <v>3.2496948283883983E-2</v>
      </c>
      <c r="AA111" s="148">
        <f t="shared" si="56"/>
        <v>3.2520624483177218E-2</v>
      </c>
      <c r="AB111" s="148">
        <f t="shared" si="57"/>
        <v>3.2537586139836643E-2</v>
      </c>
      <c r="AC111" s="148">
        <f t="shared" si="58"/>
        <v>3.2555292458206875E-2</v>
      </c>
      <c r="AD111" s="148">
        <f t="shared" si="60"/>
        <v>3.259566662683832E-2</v>
      </c>
      <c r="AE111" s="148">
        <f t="shared" si="61"/>
        <v>3.2613053190786542E-2</v>
      </c>
      <c r="AF111" s="148">
        <f t="shared" si="59"/>
        <v>3.267081392336621E-2</v>
      </c>
    </row>
    <row r="112" spans="1:32" x14ac:dyDescent="0.2">
      <c r="A112" s="154">
        <v>52</v>
      </c>
      <c r="B112" s="158">
        <v>1.2168577544440095E-2</v>
      </c>
      <c r="C112" s="158">
        <v>2.0960186416269698E-2</v>
      </c>
      <c r="D112" s="158">
        <v>2.8109592334701547E-2</v>
      </c>
      <c r="E112" s="158">
        <v>3.8728451784853915E-2</v>
      </c>
      <c r="F112" s="158">
        <v>4.7848375017228446E-2</v>
      </c>
      <c r="G112" s="158">
        <v>5.8087258025125273E-2</v>
      </c>
      <c r="H112" s="169">
        <f t="shared" si="37"/>
        <v>2.6988034087382733E-4</v>
      </c>
      <c r="I112" s="169">
        <f t="shared" si="38"/>
        <v>2.2701292877850754E-4</v>
      </c>
      <c r="J112" s="169">
        <f t="shared" si="39"/>
        <v>2.0391135997007643E-4</v>
      </c>
      <c r="K112" s="169">
        <f t="shared" si="40"/>
        <v>1.816557009269765E-4</v>
      </c>
      <c r="L112" s="169">
        <f t="shared" si="41"/>
        <v>1.67966180056264E-4</v>
      </c>
      <c r="M112" s="169">
        <f t="shared" si="42"/>
        <v>1.5708292100026313E-4</v>
      </c>
      <c r="N112" s="169"/>
      <c r="O112" s="155">
        <f t="shared" si="43"/>
        <v>18.014168717895878</v>
      </c>
      <c r="P112" s="155">
        <f t="shared" si="44"/>
        <v>18.024381188550812</v>
      </c>
      <c r="Q112" s="155">
        <f t="shared" si="45"/>
        <v>18.030423574907534</v>
      </c>
      <c r="R112" s="155">
        <f t="shared" si="46"/>
        <v>18.037838882503088</v>
      </c>
      <c r="S112" s="155">
        <f t="shared" si="47"/>
        <v>18.043150511656453</v>
      </c>
      <c r="T112" s="155">
        <f t="shared" si="48"/>
        <v>18.048695705510081</v>
      </c>
      <c r="U112" s="159">
        <f t="shared" si="49"/>
        <v>18.061340019887044</v>
      </c>
      <c r="V112" s="159">
        <f t="shared" si="50"/>
        <v>18.066785114806603</v>
      </c>
      <c r="W112" s="159">
        <f t="shared" si="51"/>
        <v>18.084874524103125</v>
      </c>
      <c r="X112" s="148">
        <f t="shared" si="53"/>
        <v>3.243180386511247E-2</v>
      </c>
      <c r="Y112" s="148">
        <f t="shared" si="54"/>
        <v>3.2454750115044791E-2</v>
      </c>
      <c r="Z112" s="148">
        <f t="shared" si="55"/>
        <v>3.2468331462934985E-2</v>
      </c>
      <c r="AA112" s="148">
        <f t="shared" si="56"/>
        <v>3.2485000663725963E-2</v>
      </c>
      <c r="AB112" s="148">
        <f t="shared" si="57"/>
        <v>3.249694161009644E-2</v>
      </c>
      <c r="AC112" s="148">
        <f t="shared" si="58"/>
        <v>3.2509407261526138E-2</v>
      </c>
      <c r="AD112" s="148">
        <f t="shared" si="60"/>
        <v>3.253783171415122E-2</v>
      </c>
      <c r="AE112" s="148">
        <f t="shared" si="61"/>
        <v>3.2550072302131382E-2</v>
      </c>
      <c r="AF112" s="148">
        <f t="shared" si="59"/>
        <v>3.2590737342736625E-2</v>
      </c>
    </row>
    <row r="113" spans="1:32" x14ac:dyDescent="0.2">
      <c r="A113" s="154">
        <v>52.5</v>
      </c>
      <c r="B113" s="158">
        <v>8.9785354366102473E-3</v>
      </c>
      <c r="C113" s="158">
        <v>1.546538827641529E-2</v>
      </c>
      <c r="D113" s="158">
        <v>2.0740548347912783E-2</v>
      </c>
      <c r="E113" s="158">
        <v>2.8575630593260265E-2</v>
      </c>
      <c r="F113" s="158">
        <v>3.530472884833552E-2</v>
      </c>
      <c r="G113" s="158">
        <v>4.2859447021595769E-2</v>
      </c>
      <c r="H113" s="169">
        <f t="shared" si="37"/>
        <v>1.9913011157883908E-4</v>
      </c>
      <c r="I113" s="169">
        <f t="shared" si="38"/>
        <v>1.6750056595873813E-4</v>
      </c>
      <c r="J113" s="169">
        <f t="shared" si="39"/>
        <v>1.504551673958996E-4</v>
      </c>
      <c r="K113" s="169">
        <f t="shared" si="40"/>
        <v>1.3403391991205637E-4</v>
      </c>
      <c r="L113" s="169">
        <f t="shared" si="41"/>
        <v>1.2393316262970114E-4</v>
      </c>
      <c r="M113" s="169">
        <f t="shared" si="42"/>
        <v>1.1590299421081636E-4</v>
      </c>
      <c r="N113" s="169"/>
      <c r="O113" s="155">
        <f t="shared" si="43"/>
        <v>18.01045433085789</v>
      </c>
      <c r="P113" s="155">
        <f t="shared" si="44"/>
        <v>18.017989560783967</v>
      </c>
      <c r="Q113" s="155">
        <f t="shared" si="45"/>
        <v>18.022447910975469</v>
      </c>
      <c r="R113" s="155">
        <f t="shared" si="46"/>
        <v>18.027919265517681</v>
      </c>
      <c r="S113" s="155">
        <f t="shared" si="47"/>
        <v>18.031838429479571</v>
      </c>
      <c r="T113" s="155">
        <f t="shared" si="48"/>
        <v>18.035929928205352</v>
      </c>
      <c r="U113" s="159">
        <f t="shared" si="49"/>
        <v>18.04525948412843</v>
      </c>
      <c r="V113" s="159">
        <f t="shared" si="50"/>
        <v>18.049277125262936</v>
      </c>
      <c r="W113" s="159">
        <f t="shared" si="51"/>
        <v>18.06262432232052</v>
      </c>
      <c r="X113" s="148">
        <f t="shared" si="53"/>
        <v>3.2422160743878388E-2</v>
      </c>
      <c r="Y113" s="148">
        <f t="shared" si="54"/>
        <v>3.24381336744013E-2</v>
      </c>
      <c r="Z113" s="148">
        <f t="shared" si="55"/>
        <v>3.2447584337294701E-2</v>
      </c>
      <c r="AA113" s="148">
        <f t="shared" si="56"/>
        <v>3.2459182333218692E-2</v>
      </c>
      <c r="AB113" s="148">
        <f t="shared" si="57"/>
        <v>3.2467490047022422E-2</v>
      </c>
      <c r="AC113" s="148">
        <f t="shared" si="58"/>
        <v>3.2476163070343886E-2</v>
      </c>
      <c r="AD113" s="148">
        <f t="shared" si="60"/>
        <v>3.2495939553613927E-2</v>
      </c>
      <c r="AE113" s="148">
        <f t="shared" si="61"/>
        <v>3.2504456016062583E-2</v>
      </c>
      <c r="AF113" s="148">
        <f t="shared" si="59"/>
        <v>3.253274896178128E-2</v>
      </c>
    </row>
    <row r="114" spans="1:32" x14ac:dyDescent="0.2">
      <c r="A114" s="154">
        <v>53</v>
      </c>
      <c r="B114" s="158">
        <v>5.7884933287803992E-3</v>
      </c>
      <c r="C114" s="158">
        <v>9.9705901365608855E-3</v>
      </c>
      <c r="D114" s="158">
        <v>1.3371504361124021E-2</v>
      </c>
      <c r="E114" s="158">
        <v>1.8422809401666615E-2</v>
      </c>
      <c r="F114" s="158">
        <v>2.2761082679442594E-2</v>
      </c>
      <c r="G114" s="158">
        <v>2.7631636018066272E-2</v>
      </c>
      <c r="H114" s="169">
        <f t="shared" si="37"/>
        <v>1.2837988228385079E-4</v>
      </c>
      <c r="I114" s="169">
        <f t="shared" si="38"/>
        <v>1.0798820313896878E-4</v>
      </c>
      <c r="J114" s="169">
        <f t="shared" si="39"/>
        <v>9.6998974821722783E-5</v>
      </c>
      <c r="K114" s="169">
        <f t="shared" si="40"/>
        <v>8.6412138897136264E-5</v>
      </c>
      <c r="L114" s="169">
        <f t="shared" si="41"/>
        <v>7.9900145203138281E-5</v>
      </c>
      <c r="M114" s="169">
        <f t="shared" si="42"/>
        <v>7.4723067421369617E-5</v>
      </c>
      <c r="N114" s="169"/>
      <c r="O114" s="155">
        <f t="shared" si="43"/>
        <v>18.006739943819902</v>
      </c>
      <c r="P114" s="155">
        <f t="shared" si="44"/>
        <v>18.011597933017125</v>
      </c>
      <c r="Q114" s="155">
        <f t="shared" si="45"/>
        <v>18.0144722470434</v>
      </c>
      <c r="R114" s="155">
        <f t="shared" si="46"/>
        <v>18.017999648532275</v>
      </c>
      <c r="S114" s="155">
        <f t="shared" si="47"/>
        <v>18.020526347302685</v>
      </c>
      <c r="T114" s="155">
        <f t="shared" si="48"/>
        <v>18.023164150900623</v>
      </c>
      <c r="U114" s="159">
        <f t="shared" si="49"/>
        <v>18.029178948369822</v>
      </c>
      <c r="V114" s="159">
        <f t="shared" si="50"/>
        <v>18.031769135719273</v>
      </c>
      <c r="W114" s="159">
        <f t="shared" si="51"/>
        <v>18.040374120537923</v>
      </c>
      <c r="X114" s="148">
        <f t="shared" si="53"/>
        <v>3.241547484721001E-2</v>
      </c>
      <c r="Y114" s="148">
        <f t="shared" si="54"/>
        <v>3.2426628744420975E-2</v>
      </c>
      <c r="Z114" s="148">
        <f t="shared" si="55"/>
        <v>3.2433228142216983E-2</v>
      </c>
      <c r="AA114" s="148">
        <f t="shared" si="56"/>
        <v>3.2441327022644961E-2</v>
      </c>
      <c r="AB114" s="148">
        <f t="shared" si="57"/>
        <v>3.2447128299104032E-2</v>
      </c>
      <c r="AC114" s="148">
        <f t="shared" si="58"/>
        <v>3.245318467119538E-2</v>
      </c>
      <c r="AD114" s="148">
        <f t="shared" si="60"/>
        <v>3.2466994589248427E-2</v>
      </c>
      <c r="AE114" s="148">
        <f t="shared" si="61"/>
        <v>3.2472941634883984E-2</v>
      </c>
      <c r="AF114" s="148">
        <f t="shared" si="59"/>
        <v>3.2492698598572595E-2</v>
      </c>
    </row>
    <row r="115" spans="1:32" x14ac:dyDescent="0.2">
      <c r="A115" s="154">
        <v>53.5</v>
      </c>
      <c r="B115" s="158">
        <v>2.5984512209505494E-3</v>
      </c>
      <c r="C115" s="158">
        <v>4.475791996706475E-3</v>
      </c>
      <c r="D115" s="158">
        <v>6.0024603743352514E-3</v>
      </c>
      <c r="E115" s="158">
        <v>8.269988210072958E-3</v>
      </c>
      <c r="F115" s="158">
        <v>1.0217436510549663E-2</v>
      </c>
      <c r="G115" s="158">
        <v>1.2403825014536759E-2</v>
      </c>
      <c r="H115" s="169">
        <f t="shared" si="37"/>
        <v>5.7629652988862492E-5</v>
      </c>
      <c r="I115" s="169">
        <f t="shared" si="38"/>
        <v>4.8475840319199349E-5</v>
      </c>
      <c r="J115" s="169">
        <f t="shared" si="39"/>
        <v>4.3542782247545911E-5</v>
      </c>
      <c r="K115" s="169">
        <f t="shared" si="40"/>
        <v>3.8790357882216117E-5</v>
      </c>
      <c r="L115" s="169">
        <f t="shared" si="41"/>
        <v>3.5867127776575393E-5</v>
      </c>
      <c r="M115" s="169">
        <f t="shared" si="42"/>
        <v>3.3543140631922835E-5</v>
      </c>
      <c r="N115" s="169"/>
      <c r="O115" s="155">
        <f t="shared" si="43"/>
        <v>18.003025556781914</v>
      </c>
      <c r="P115" s="155">
        <f t="shared" si="44"/>
        <v>18.005206305250283</v>
      </c>
      <c r="Q115" s="155">
        <f t="shared" si="45"/>
        <v>18.006496583111335</v>
      </c>
      <c r="R115" s="155">
        <f t="shared" si="46"/>
        <v>18.008080031546864</v>
      </c>
      <c r="S115" s="155">
        <f t="shared" si="47"/>
        <v>18.009214265125802</v>
      </c>
      <c r="T115" s="155">
        <f t="shared" si="48"/>
        <v>18.010398373595898</v>
      </c>
      <c r="U115" s="159">
        <f t="shared" si="49"/>
        <v>18.013098412611214</v>
      </c>
      <c r="V115" s="159">
        <f t="shared" si="50"/>
        <v>18.014261146175613</v>
      </c>
      <c r="W115" s="159">
        <f t="shared" si="51"/>
        <v>18.018123918755332</v>
      </c>
      <c r="X115" s="148">
        <f t="shared" si="53"/>
        <v>3.2408788950541632E-2</v>
      </c>
      <c r="Y115" s="148">
        <f t="shared" si="54"/>
        <v>3.2415123814440672E-2</v>
      </c>
      <c r="Z115" s="148">
        <f t="shared" si="55"/>
        <v>3.2418871947139265E-2</v>
      </c>
      <c r="AA115" s="148">
        <f t="shared" si="56"/>
        <v>3.2423471712071224E-2</v>
      </c>
      <c r="AB115" s="148">
        <f t="shared" si="57"/>
        <v>3.2426766551185635E-2</v>
      </c>
      <c r="AC115" s="148">
        <f t="shared" si="58"/>
        <v>3.2430206272046867E-2</v>
      </c>
      <c r="AD115" s="148">
        <f t="shared" si="60"/>
        <v>3.2438049624882927E-2</v>
      </c>
      <c r="AE115" s="148">
        <f t="shared" si="61"/>
        <v>3.2441427253705399E-2</v>
      </c>
      <c r="AF115" s="148">
        <f t="shared" si="59"/>
        <v>3.245264823536393E-2</v>
      </c>
    </row>
    <row r="116" spans="1:32" x14ac:dyDescent="0.2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62">
        <f>SUM(X8:X115)</f>
        <v>7.1609163198168009</v>
      </c>
      <c r="P116" s="162">
        <f t="shared" ref="P116" si="62">SUM(Y8:Y115)</f>
        <v>10.91705544082814</v>
      </c>
      <c r="Q116" s="162">
        <f t="shared" ref="Q116" si="63">SUM(Z8:Z115)</f>
        <v>13.531676255485387</v>
      </c>
      <c r="R116" s="162">
        <f t="shared" ref="R116" si="64">SUM(AA8:AA115)</f>
        <v>17.044030054862993</v>
      </c>
      <c r="S116" s="162">
        <f t="shared" ref="S116" si="65">SUM(AB8:AB115)</f>
        <v>19.743255071652481</v>
      </c>
      <c r="T116" s="162">
        <f t="shared" ref="T116" si="66">SUM(AC8:AC115)</f>
        <v>22.640070863642119</v>
      </c>
      <c r="U116" s="162">
        <f t="shared" ref="U116:V116" si="67">SUM(AD8:AD115)</f>
        <v>28.943079932486583</v>
      </c>
      <c r="V116" s="162">
        <f t="shared" si="67"/>
        <v>31.657381525717295</v>
      </c>
      <c r="W116" s="162">
        <f>SUM(AF8:AF115)</f>
        <v>40.674692187792466</v>
      </c>
    </row>
  </sheetData>
  <mergeCells count="4">
    <mergeCell ref="A6:A7"/>
    <mergeCell ref="O6:W6"/>
    <mergeCell ref="B6:G6"/>
    <mergeCell ref="H6:M6"/>
  </mergeCells>
  <printOptions horizontalCentered="1"/>
  <pageMargins left="0.6692913385826772" right="0.39370078740157483" top="0.55118110236220474" bottom="0.55118110236220474" header="0.39370078740157483" footer="0.35433070866141736"/>
  <pageSetup scale="8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Views>
    <sheetView view="pageBreakPreview" zoomScaleNormal="100" zoomScaleSheetLayoutView="100" workbookViewId="0">
      <selection activeCell="A2" sqref="A2"/>
    </sheetView>
  </sheetViews>
  <sheetFormatPr defaultRowHeight="15" x14ac:dyDescent="0.25"/>
  <sheetData>
    <row r="1" spans="1:19" ht="18" x14ac:dyDescent="0.25">
      <c r="A1" s="193" t="s">
        <v>189</v>
      </c>
      <c r="B1" s="149"/>
      <c r="C1" s="149"/>
      <c r="D1" s="149"/>
      <c r="E1" s="149"/>
      <c r="F1" s="149"/>
      <c r="G1" s="149"/>
    </row>
    <row r="2" spans="1:19" x14ac:dyDescent="0.25">
      <c r="A2" s="145"/>
      <c r="B2" s="146" t="s">
        <v>147</v>
      </c>
      <c r="C2" s="146"/>
      <c r="D2" s="146"/>
      <c r="E2" s="146"/>
      <c r="F2" s="146"/>
      <c r="G2" s="146"/>
    </row>
    <row r="3" spans="1:19" x14ac:dyDescent="0.25">
      <c r="A3" s="145"/>
      <c r="B3" s="174" t="s">
        <v>169</v>
      </c>
      <c r="C3" s="150"/>
      <c r="D3" s="150"/>
      <c r="E3" s="150"/>
      <c r="F3" s="150"/>
      <c r="G3" s="150"/>
    </row>
    <row r="4" spans="1:19" x14ac:dyDescent="0.25">
      <c r="A4" s="286" t="s">
        <v>148</v>
      </c>
      <c r="B4" s="291" t="s">
        <v>149</v>
      </c>
      <c r="C4" s="292"/>
      <c r="D4" s="292"/>
      <c r="E4" s="292"/>
      <c r="F4" s="292"/>
      <c r="G4" s="292"/>
      <c r="H4" s="292"/>
      <c r="I4" s="292"/>
      <c r="J4" s="293"/>
    </row>
    <row r="5" spans="1:19" x14ac:dyDescent="0.25">
      <c r="A5" s="286"/>
      <c r="B5" s="147" t="s">
        <v>151</v>
      </c>
      <c r="C5" s="147" t="s">
        <v>152</v>
      </c>
      <c r="D5" s="147" t="s">
        <v>153</v>
      </c>
      <c r="E5" s="147" t="s">
        <v>154</v>
      </c>
      <c r="F5" s="147" t="s">
        <v>155</v>
      </c>
      <c r="G5" s="147" t="s">
        <v>156</v>
      </c>
      <c r="H5" s="147" t="s">
        <v>157</v>
      </c>
      <c r="I5" s="147" t="s">
        <v>158</v>
      </c>
      <c r="J5" s="147" t="s">
        <v>159</v>
      </c>
      <c r="K5" s="142"/>
      <c r="L5" s="142"/>
      <c r="M5" s="142"/>
      <c r="N5" s="142"/>
      <c r="O5" s="142"/>
      <c r="P5" s="142"/>
      <c r="Q5" s="142"/>
      <c r="R5" s="142"/>
      <c r="S5" s="142"/>
    </row>
    <row r="6" spans="1:19" x14ac:dyDescent="0.25">
      <c r="A6" s="161">
        <v>0</v>
      </c>
      <c r="B6" s="155">
        <v>18</v>
      </c>
      <c r="C6" s="155">
        <v>18</v>
      </c>
      <c r="D6" s="155">
        <v>18</v>
      </c>
      <c r="E6" s="155">
        <v>18</v>
      </c>
      <c r="F6" s="155">
        <v>18</v>
      </c>
      <c r="G6" s="155">
        <v>18</v>
      </c>
      <c r="H6" s="159">
        <v>18</v>
      </c>
      <c r="I6" s="159">
        <v>18</v>
      </c>
      <c r="J6" s="159">
        <v>18</v>
      </c>
      <c r="K6" s="142"/>
      <c r="L6" s="142"/>
      <c r="M6" s="142"/>
      <c r="N6" s="142"/>
      <c r="O6" s="142"/>
      <c r="P6" s="142"/>
      <c r="Q6" s="142"/>
      <c r="R6" s="142"/>
      <c r="S6" s="142"/>
    </row>
    <row r="7" spans="1:19" x14ac:dyDescent="0.25">
      <c r="A7" s="161">
        <v>0.5</v>
      </c>
      <c r="B7" s="155">
        <v>18.135997908993932</v>
      </c>
      <c r="C7" s="155">
        <v>18.480059504723492</v>
      </c>
      <c r="D7" s="155">
        <v>18.798929306723874</v>
      </c>
      <c r="E7" s="155">
        <v>19.294055864687152</v>
      </c>
      <c r="F7" s="155">
        <v>19.716350564608472</v>
      </c>
      <c r="G7" s="155">
        <v>20.193052505236327</v>
      </c>
      <c r="H7" s="159">
        <v>21.157785758606945</v>
      </c>
      <c r="I7" s="159">
        <v>21.573234471763655</v>
      </c>
      <c r="J7" s="159">
        <v>22.953416438290986</v>
      </c>
      <c r="K7" s="148">
        <f t="shared" ref="K7:R7" si="0">(B7+B6)*($A7-$A6)/2*(3600/1000000)</f>
        <v>3.2522398118094535E-2</v>
      </c>
      <c r="L7" s="148">
        <f t="shared" si="0"/>
        <v>3.2832053554251145E-2</v>
      </c>
      <c r="M7" s="148">
        <f t="shared" si="0"/>
        <v>3.3119036376051486E-2</v>
      </c>
      <c r="N7" s="148">
        <f t="shared" si="0"/>
        <v>3.3564650278218436E-2</v>
      </c>
      <c r="O7" s="148">
        <f t="shared" si="0"/>
        <v>3.3944715508147628E-2</v>
      </c>
      <c r="P7" s="148">
        <f t="shared" si="0"/>
        <v>3.4373747254712692E-2</v>
      </c>
      <c r="Q7" s="148">
        <f t="shared" si="0"/>
        <v>3.5242007182746254E-2</v>
      </c>
      <c r="R7" s="148">
        <f t="shared" si="0"/>
        <v>3.5615911024587291E-2</v>
      </c>
      <c r="S7" s="148">
        <f>(J7+J6)*($A7-$A6)/2*(3600/1000000)</f>
        <v>3.685807479446189E-2</v>
      </c>
    </row>
    <row r="8" spans="1:19" x14ac:dyDescent="0.25">
      <c r="A8" s="151">
        <v>1</v>
      </c>
      <c r="B8" s="155">
        <v>18.614602610134501</v>
      </c>
      <c r="C8" s="155">
        <v>20.169487948789701</v>
      </c>
      <c r="D8" s="155">
        <v>21.610526373955853</v>
      </c>
      <c r="E8" s="155">
        <v>23.848105445004059</v>
      </c>
      <c r="F8" s="155">
        <v>25.756542322729796</v>
      </c>
      <c r="G8" s="155">
        <v>27.910856746631218</v>
      </c>
      <c r="H8" s="159">
        <v>32.270685364522571</v>
      </c>
      <c r="I8" s="159">
        <v>34.148183815579827</v>
      </c>
      <c r="J8" s="159">
        <v>40.385510884528443</v>
      </c>
      <c r="K8" s="148">
        <f t="shared" ref="K8:K71" si="1">(B8+B7)*($A8-$A7)/2*(3600/1000000)</f>
        <v>3.3075540467215586E-2</v>
      </c>
      <c r="L8" s="148">
        <f t="shared" ref="L8:L71" si="2">(C8+C7)*($A8-$A7)/2*(3600/1000000)</f>
        <v>3.4784592708161872E-2</v>
      </c>
      <c r="M8" s="148">
        <f t="shared" ref="M8:M71" si="3">(D8+D7)*($A8-$A7)/2*(3600/1000000)</f>
        <v>3.6368510112611753E-2</v>
      </c>
      <c r="N8" s="148">
        <f t="shared" ref="N8:N71" si="4">(E8+E7)*($A8-$A7)/2*(3600/1000000)</f>
        <v>3.8827945178722088E-2</v>
      </c>
      <c r="O8" s="148">
        <f t="shared" ref="O8:O71" si="5">(F8+F7)*($A8-$A7)/2*(3600/1000000)</f>
        <v>4.0925603598604442E-2</v>
      </c>
      <c r="P8" s="148">
        <f t="shared" ref="P8:P71" si="6">(G8+G7)*($A8-$A7)/2*(3600/1000000)</f>
        <v>4.329351832668079E-2</v>
      </c>
      <c r="Q8" s="148">
        <f t="shared" ref="Q8:Q71" si="7">(H8+H7)*($A8-$A7)/2*(3600/1000000)</f>
        <v>4.8085624010816556E-2</v>
      </c>
      <c r="R8" s="148">
        <f t="shared" ref="R8:S23" si="8">(I8+I7)*($A8-$A7)/2*(3600/1000000)</f>
        <v>5.0149276458609129E-2</v>
      </c>
      <c r="S8" s="148">
        <f t="shared" si="8"/>
        <v>5.7005034590537483E-2</v>
      </c>
    </row>
    <row r="9" spans="1:19" x14ac:dyDescent="0.25">
      <c r="A9" s="161">
        <v>1.5</v>
      </c>
      <c r="B9" s="155">
        <v>19.312605277949942</v>
      </c>
      <c r="C9" s="155">
        <v>22.633370059080864</v>
      </c>
      <c r="D9" s="155">
        <v>25.71099226798723</v>
      </c>
      <c r="E9" s="155">
        <v>30.489784368862697</v>
      </c>
      <c r="F9" s="155">
        <v>34.565628299608292</v>
      </c>
      <c r="G9" s="155">
        <v>39.166592299025503</v>
      </c>
      <c r="H9" s="159">
        <v>48.477867520503992</v>
      </c>
      <c r="I9" s="159">
        <v>52.487636329753393</v>
      </c>
      <c r="J9" s="159">
        <v>65.808680360481276</v>
      </c>
      <c r="K9" s="148">
        <f t="shared" si="1"/>
        <v>3.4134487099275995E-2</v>
      </c>
      <c r="L9" s="148">
        <f t="shared" si="2"/>
        <v>3.8522572207083508E-2</v>
      </c>
      <c r="M9" s="148">
        <f t="shared" si="3"/>
        <v>4.2589366777748779E-2</v>
      </c>
      <c r="N9" s="148">
        <f t="shared" si="4"/>
        <v>4.8904100832480077E-2</v>
      </c>
      <c r="O9" s="148">
        <f t="shared" si="5"/>
        <v>5.4289953560104284E-2</v>
      </c>
      <c r="P9" s="148">
        <f t="shared" si="6"/>
        <v>6.0369704141091045E-2</v>
      </c>
      <c r="Q9" s="148">
        <f t="shared" si="7"/>
        <v>7.2673697596523895E-2</v>
      </c>
      <c r="R9" s="148">
        <f t="shared" si="8"/>
        <v>7.7972238130799884E-2</v>
      </c>
      <c r="S9" s="148">
        <f t="shared" ref="S9:S72" si="9">(J9+J8)*($A9-$A8)/2*(3600/1000000)</f>
        <v>9.5574772120508744E-2</v>
      </c>
    </row>
    <row r="10" spans="1:19" x14ac:dyDescent="0.25">
      <c r="A10" s="151">
        <v>2</v>
      </c>
      <c r="B10" s="155">
        <v>20.248019035286028</v>
      </c>
      <c r="C10" s="155">
        <v>25.93529042227069</v>
      </c>
      <c r="D10" s="155">
        <v>31.206146349230011</v>
      </c>
      <c r="E10" s="155">
        <v>39.390492236685944</v>
      </c>
      <c r="F10" s="155">
        <v>46.370941649080081</v>
      </c>
      <c r="G10" s="155">
        <v>54.250732188631808</v>
      </c>
      <c r="H10" s="159">
        <v>70.197585589497848</v>
      </c>
      <c r="I10" s="159">
        <v>77.064872169639585</v>
      </c>
      <c r="J10" s="159">
        <v>99.87901215064737</v>
      </c>
      <c r="K10" s="148">
        <f t="shared" si="1"/>
        <v>3.5604561881912369E-2</v>
      </c>
      <c r="L10" s="148">
        <f t="shared" si="2"/>
        <v>4.3711794433216399E-2</v>
      </c>
      <c r="M10" s="148">
        <f t="shared" si="3"/>
        <v>5.1225424755495512E-2</v>
      </c>
      <c r="N10" s="148">
        <f t="shared" si="4"/>
        <v>6.2892248944993775E-2</v>
      </c>
      <c r="O10" s="148">
        <f t="shared" si="5"/>
        <v>7.2842912953819533E-2</v>
      </c>
      <c r="P10" s="148">
        <f t="shared" si="6"/>
        <v>8.4075592038891575E-2</v>
      </c>
      <c r="Q10" s="148">
        <f t="shared" si="7"/>
        <v>0.10680790779900165</v>
      </c>
      <c r="R10" s="148">
        <f t="shared" si="8"/>
        <v>0.11659725764945368</v>
      </c>
      <c r="S10" s="148">
        <f t="shared" si="9"/>
        <v>0.1491189232600158</v>
      </c>
    </row>
    <row r="11" spans="1:19" x14ac:dyDescent="0.25">
      <c r="A11" s="161">
        <v>2.5</v>
      </c>
      <c r="B11" s="155">
        <v>21.68905739026804</v>
      </c>
      <c r="C11" s="155">
        <v>30.675916649097847</v>
      </c>
      <c r="D11" s="155">
        <v>38.935265963924124</v>
      </c>
      <c r="E11" s="155">
        <v>51.710582834681176</v>
      </c>
      <c r="F11" s="155">
        <v>62.578278080830231</v>
      </c>
      <c r="G11" s="155">
        <v>74.829749413140874</v>
      </c>
      <c r="H11" s="159">
        <v>99.668731959998865</v>
      </c>
      <c r="I11" s="159">
        <v>110.36528802786546</v>
      </c>
      <c r="J11" s="159">
        <v>145.90082664259003</v>
      </c>
      <c r="K11" s="148">
        <f t="shared" si="1"/>
        <v>3.7743368782998658E-2</v>
      </c>
      <c r="L11" s="148">
        <f t="shared" si="2"/>
        <v>5.0950086364231685E-2</v>
      </c>
      <c r="M11" s="148">
        <f t="shared" si="3"/>
        <v>6.3127271081838715E-2</v>
      </c>
      <c r="N11" s="148">
        <f t="shared" si="4"/>
        <v>8.199096756423041E-2</v>
      </c>
      <c r="O11" s="148">
        <f t="shared" si="5"/>
        <v>9.8054297756919276E-2</v>
      </c>
      <c r="P11" s="148">
        <f t="shared" si="6"/>
        <v>0.1161724334415954</v>
      </c>
      <c r="Q11" s="148">
        <f t="shared" si="7"/>
        <v>0.15287968579454705</v>
      </c>
      <c r="R11" s="148">
        <f t="shared" si="8"/>
        <v>0.16868714417775454</v>
      </c>
      <c r="S11" s="148">
        <f t="shared" si="9"/>
        <v>0.22120185491391364</v>
      </c>
    </row>
    <row r="12" spans="1:19" x14ac:dyDescent="0.25">
      <c r="A12" s="151">
        <v>3</v>
      </c>
      <c r="B12" s="155">
        <v>23.983953975812405</v>
      </c>
      <c r="C12" s="155">
        <v>37.558682257667556</v>
      </c>
      <c r="D12" s="155">
        <v>49.825388611267101</v>
      </c>
      <c r="E12" s="155">
        <v>68.649207592719392</v>
      </c>
      <c r="F12" s="155">
        <v>84.575722650025568</v>
      </c>
      <c r="G12" s="155">
        <v>102.48010958716402</v>
      </c>
      <c r="H12" s="159">
        <v>138.91717650248469</v>
      </c>
      <c r="I12" s="159">
        <v>154.60828335330197</v>
      </c>
      <c r="J12" s="159">
        <v>206.73645711943993</v>
      </c>
      <c r="K12" s="148">
        <f t="shared" si="1"/>
        <v>4.1105710229472396E-2</v>
      </c>
      <c r="L12" s="148">
        <f t="shared" si="2"/>
        <v>6.1411139016088856E-2</v>
      </c>
      <c r="M12" s="148">
        <f t="shared" si="3"/>
        <v>7.98845891176721E-2</v>
      </c>
      <c r="N12" s="148">
        <f t="shared" si="4"/>
        <v>0.1083238113846605</v>
      </c>
      <c r="O12" s="148">
        <f t="shared" si="5"/>
        <v>0.13243860065777019</v>
      </c>
      <c r="P12" s="148">
        <f t="shared" si="6"/>
        <v>0.15957887310027441</v>
      </c>
      <c r="Q12" s="148">
        <f t="shared" si="7"/>
        <v>0.2147273176162352</v>
      </c>
      <c r="R12" s="148">
        <f t="shared" si="8"/>
        <v>0.23847621424305065</v>
      </c>
      <c r="S12" s="148">
        <f t="shared" si="9"/>
        <v>0.31737355538582696</v>
      </c>
    </row>
    <row r="13" spans="1:19" x14ac:dyDescent="0.25">
      <c r="A13" s="161">
        <v>3.5</v>
      </c>
      <c r="B13" s="155">
        <v>26.836217074384656</v>
      </c>
      <c r="C13" s="155">
        <v>45.850553427904487</v>
      </c>
      <c r="D13" s="155">
        <v>62.801868009501511</v>
      </c>
      <c r="E13" s="155">
        <v>88.64605787394045</v>
      </c>
      <c r="F13" s="155">
        <v>110.41447787920363</v>
      </c>
      <c r="G13" s="155">
        <v>134.82932028940851</v>
      </c>
      <c r="H13" s="159">
        <v>184.67231726710418</v>
      </c>
      <c r="I13" s="159">
        <v>206.13649804651646</v>
      </c>
      <c r="J13" s="159">
        <v>277.44367580362439</v>
      </c>
      <c r="K13" s="148">
        <f t="shared" si="1"/>
        <v>4.5738153945177357E-2</v>
      </c>
      <c r="L13" s="148">
        <f t="shared" si="2"/>
        <v>7.506831211701484E-2</v>
      </c>
      <c r="M13" s="148">
        <f t="shared" si="3"/>
        <v>0.10136453095869175</v>
      </c>
      <c r="N13" s="148">
        <f t="shared" si="4"/>
        <v>0.14156573891999383</v>
      </c>
      <c r="O13" s="148">
        <f t="shared" si="5"/>
        <v>0.17549118047630627</v>
      </c>
      <c r="P13" s="148">
        <f t="shared" si="6"/>
        <v>0.21357848688891529</v>
      </c>
      <c r="Q13" s="148">
        <f t="shared" si="7"/>
        <v>0.29123054439263002</v>
      </c>
      <c r="R13" s="148">
        <f t="shared" si="8"/>
        <v>0.32467030325983653</v>
      </c>
      <c r="S13" s="148">
        <f t="shared" si="9"/>
        <v>0.43576211963075789</v>
      </c>
    </row>
    <row r="14" spans="1:19" x14ac:dyDescent="0.25">
      <c r="A14" s="151">
        <v>4</v>
      </c>
      <c r="B14" s="155">
        <v>30.134373726643204</v>
      </c>
      <c r="C14" s="155">
        <v>55.112199881230708</v>
      </c>
      <c r="D14" s="155">
        <v>77.112316193059598</v>
      </c>
      <c r="E14" s="155">
        <v>110.45609740633269</v>
      </c>
      <c r="F14" s="155">
        <v>138.42556422101279</v>
      </c>
      <c r="G14" s="155">
        <v>169.7276686201495</v>
      </c>
      <c r="H14" s="159">
        <v>233.8174924996957</v>
      </c>
      <c r="I14" s="159">
        <v>261.41686752296852</v>
      </c>
      <c r="J14" s="159">
        <v>353.1060664257875</v>
      </c>
      <c r="K14" s="148">
        <f t="shared" si="1"/>
        <v>5.1273531720925074E-2</v>
      </c>
      <c r="L14" s="148">
        <f t="shared" si="2"/>
        <v>9.0866477978221671E-2</v>
      </c>
      <c r="M14" s="148">
        <f t="shared" si="3"/>
        <v>0.12592276578230499</v>
      </c>
      <c r="N14" s="148">
        <f t="shared" si="4"/>
        <v>0.17919193975224582</v>
      </c>
      <c r="O14" s="148">
        <f t="shared" si="5"/>
        <v>0.22395603789019475</v>
      </c>
      <c r="P14" s="148">
        <f t="shared" si="6"/>
        <v>0.27410129001860223</v>
      </c>
      <c r="Q14" s="148">
        <f t="shared" si="7"/>
        <v>0.3766408287901199</v>
      </c>
      <c r="R14" s="148">
        <f t="shared" si="8"/>
        <v>0.42079802901253649</v>
      </c>
      <c r="S14" s="148">
        <f t="shared" si="9"/>
        <v>0.5674947680064707</v>
      </c>
    </row>
    <row r="15" spans="1:19" x14ac:dyDescent="0.25">
      <c r="A15" s="161">
        <v>4.5</v>
      </c>
      <c r="B15" s="155">
        <v>33.701848087456597</v>
      </c>
      <c r="C15" s="155">
        <v>64.381476289321171</v>
      </c>
      <c r="D15" s="155">
        <v>91.007983465961729</v>
      </c>
      <c r="E15" s="155">
        <v>131.06998110689926</v>
      </c>
      <c r="F15" s="155">
        <v>164.50264048548516</v>
      </c>
      <c r="G15" s="155">
        <v>201.81871027447707</v>
      </c>
      <c r="H15" s="159">
        <v>278.49973322596969</v>
      </c>
      <c r="I15" s="159">
        <v>311.52132981490729</v>
      </c>
      <c r="J15" s="159">
        <v>421.22394935533742</v>
      </c>
      <c r="K15" s="148">
        <f t="shared" si="1"/>
        <v>5.7452599632689817E-2</v>
      </c>
      <c r="L15" s="148">
        <f t="shared" si="2"/>
        <v>0.10754430855349668</v>
      </c>
      <c r="M15" s="148">
        <f t="shared" si="3"/>
        <v>0.1513082696931192</v>
      </c>
      <c r="N15" s="148">
        <f t="shared" si="4"/>
        <v>0.21737347066190874</v>
      </c>
      <c r="O15" s="148">
        <f t="shared" si="5"/>
        <v>0.2726353842358481</v>
      </c>
      <c r="P15" s="148">
        <f t="shared" si="6"/>
        <v>0.33439174100516389</v>
      </c>
      <c r="Q15" s="148">
        <f t="shared" si="7"/>
        <v>0.46108550315309882</v>
      </c>
      <c r="R15" s="148">
        <f t="shared" si="8"/>
        <v>0.51564437760408821</v>
      </c>
      <c r="S15" s="148">
        <f t="shared" si="9"/>
        <v>0.69689701420301242</v>
      </c>
    </row>
    <row r="16" spans="1:19" x14ac:dyDescent="0.25">
      <c r="A16" s="151">
        <v>5</v>
      </c>
      <c r="B16" s="155">
        <v>37.846405029239278</v>
      </c>
      <c r="C16" s="155">
        <v>74.380734956358651</v>
      </c>
      <c r="D16" s="155">
        <v>105.53677319917836</v>
      </c>
      <c r="E16" s="155">
        <v>152.00310177222383</v>
      </c>
      <c r="F16" s="155">
        <v>190.53902910461477</v>
      </c>
      <c r="G16" s="155">
        <v>233.41164053282921</v>
      </c>
      <c r="H16" s="159">
        <v>321.90104872771559</v>
      </c>
      <c r="I16" s="159">
        <v>360.00775919314356</v>
      </c>
      <c r="J16" s="159">
        <v>486.6038778534579</v>
      </c>
      <c r="K16" s="148">
        <f t="shared" si="1"/>
        <v>6.4393427805026285E-2</v>
      </c>
      <c r="L16" s="148">
        <f t="shared" si="2"/>
        <v>0.12488599012111183</v>
      </c>
      <c r="M16" s="148">
        <f t="shared" si="3"/>
        <v>0.17689028099862608</v>
      </c>
      <c r="N16" s="148">
        <f t="shared" si="4"/>
        <v>0.2547657745912108</v>
      </c>
      <c r="O16" s="148">
        <f t="shared" si="5"/>
        <v>0.31953750263108988</v>
      </c>
      <c r="P16" s="148">
        <f t="shared" si="6"/>
        <v>0.39170731572657569</v>
      </c>
      <c r="Q16" s="148">
        <f t="shared" si="7"/>
        <v>0.54036070375831668</v>
      </c>
      <c r="R16" s="148">
        <f t="shared" si="8"/>
        <v>0.6043761801072457</v>
      </c>
      <c r="S16" s="148">
        <f t="shared" si="9"/>
        <v>0.81704504448791571</v>
      </c>
    </row>
    <row r="17" spans="1:19" x14ac:dyDescent="0.25">
      <c r="A17" s="161">
        <v>5.5</v>
      </c>
      <c r="B17" s="155">
        <v>42.227372186420872</v>
      </c>
      <c r="C17" s="155">
        <v>84.350573454421124</v>
      </c>
      <c r="D17" s="155">
        <v>119.63160073745061</v>
      </c>
      <c r="E17" s="155">
        <v>171.76556985503231</v>
      </c>
      <c r="F17" s="155">
        <v>214.71518162773199</v>
      </c>
      <c r="G17" s="155">
        <v>262.33189217468578</v>
      </c>
      <c r="H17" s="159">
        <v>361.08049384925249</v>
      </c>
      <c r="I17" s="159">
        <v>403.60518069754858</v>
      </c>
      <c r="J17" s="159">
        <v>544.87846922041138</v>
      </c>
      <c r="K17" s="148">
        <f t="shared" si="1"/>
        <v>7.2066399494094144E-2</v>
      </c>
      <c r="L17" s="148">
        <f t="shared" si="2"/>
        <v>0.14285817756970179</v>
      </c>
      <c r="M17" s="148">
        <f t="shared" si="3"/>
        <v>0.20265153654296605</v>
      </c>
      <c r="N17" s="148">
        <f t="shared" si="4"/>
        <v>0.2913918044645305</v>
      </c>
      <c r="O17" s="148">
        <f t="shared" si="5"/>
        <v>0.3647287896591121</v>
      </c>
      <c r="P17" s="148">
        <f t="shared" si="6"/>
        <v>0.44616917943676349</v>
      </c>
      <c r="Q17" s="148">
        <f t="shared" si="7"/>
        <v>0.61468338831927127</v>
      </c>
      <c r="R17" s="148">
        <f t="shared" si="8"/>
        <v>0.68725164590162291</v>
      </c>
      <c r="S17" s="148">
        <f t="shared" si="9"/>
        <v>0.92833411236648233</v>
      </c>
    </row>
    <row r="18" spans="1:19" x14ac:dyDescent="0.25">
      <c r="A18" s="151">
        <v>6</v>
      </c>
      <c r="B18" s="155">
        <v>46.572426281274133</v>
      </c>
      <c r="C18" s="155">
        <v>93.658930605227852</v>
      </c>
      <c r="D18" s="155">
        <v>132.39437535082047</v>
      </c>
      <c r="E18" s="155">
        <v>189.09444878929853</v>
      </c>
      <c r="F18" s="155">
        <v>235.48479454047251</v>
      </c>
      <c r="G18" s="155">
        <v>286.72943929948156</v>
      </c>
      <c r="H18" s="159">
        <v>393.52930355195497</v>
      </c>
      <c r="I18" s="159">
        <v>439.52115260865605</v>
      </c>
      <c r="J18" s="159">
        <v>592.31286591783055</v>
      </c>
      <c r="K18" s="148">
        <f t="shared" si="1"/>
        <v>7.9919818620925509E-2</v>
      </c>
      <c r="L18" s="148">
        <f t="shared" si="2"/>
        <v>0.16020855365368408</v>
      </c>
      <c r="M18" s="148">
        <f t="shared" si="3"/>
        <v>0.22682337847944398</v>
      </c>
      <c r="N18" s="148">
        <f t="shared" si="4"/>
        <v>0.3247740167798977</v>
      </c>
      <c r="O18" s="148">
        <f t="shared" si="5"/>
        <v>0.40517997855138405</v>
      </c>
      <c r="P18" s="148">
        <f t="shared" si="6"/>
        <v>0.49415519832675059</v>
      </c>
      <c r="Q18" s="148">
        <f t="shared" si="7"/>
        <v>0.6791488176610867</v>
      </c>
      <c r="R18" s="148">
        <f t="shared" si="8"/>
        <v>0.75881369997558412</v>
      </c>
      <c r="S18" s="148">
        <f t="shared" si="9"/>
        <v>1.0234722016244175</v>
      </c>
    </row>
    <row r="19" spans="1:19" x14ac:dyDescent="0.25">
      <c r="A19" s="161">
        <v>6.5</v>
      </c>
      <c r="B19" s="155">
        <v>50.365745077646721</v>
      </c>
      <c r="C19" s="155">
        <v>101.15601327569418</v>
      </c>
      <c r="D19" s="155">
        <v>142.23678527992485</v>
      </c>
      <c r="E19" s="155">
        <v>201.83027038960049</v>
      </c>
      <c r="F19" s="155">
        <v>250.26538210310352</v>
      </c>
      <c r="G19" s="155">
        <v>303.58248957360297</v>
      </c>
      <c r="H19" s="159">
        <v>415.23371694482825</v>
      </c>
      <c r="I19" s="159">
        <v>463.31473682434432</v>
      </c>
      <c r="J19" s="159">
        <v>623.04698407508567</v>
      </c>
      <c r="K19" s="148">
        <f t="shared" si="1"/>
        <v>8.7244354223028772E-2</v>
      </c>
      <c r="L19" s="148">
        <f t="shared" si="2"/>
        <v>0.17533344949282983</v>
      </c>
      <c r="M19" s="148">
        <f t="shared" si="3"/>
        <v>0.24716804456767075</v>
      </c>
      <c r="N19" s="148">
        <f t="shared" si="4"/>
        <v>0.35183224726100909</v>
      </c>
      <c r="O19" s="148">
        <f t="shared" si="5"/>
        <v>0.43717515897921844</v>
      </c>
      <c r="P19" s="148">
        <f t="shared" si="6"/>
        <v>0.53128073598577608</v>
      </c>
      <c r="Q19" s="148">
        <f t="shared" si="7"/>
        <v>0.72788671844710484</v>
      </c>
      <c r="R19" s="148">
        <f t="shared" si="8"/>
        <v>0.81255230048970029</v>
      </c>
      <c r="S19" s="148">
        <f t="shared" si="9"/>
        <v>1.0938238649936245</v>
      </c>
    </row>
    <row r="20" spans="1:19" x14ac:dyDescent="0.25">
      <c r="A20" s="151">
        <v>7</v>
      </c>
      <c r="B20" s="155">
        <v>54.064388458624329</v>
      </c>
      <c r="C20" s="155">
        <v>107.85897121692783</v>
      </c>
      <c r="D20" s="155">
        <v>150.59289460619615</v>
      </c>
      <c r="E20" s="155">
        <v>211.9864736542944</v>
      </c>
      <c r="F20" s="155">
        <v>261.52674852269433</v>
      </c>
      <c r="G20" s="155">
        <v>315.85570549628915</v>
      </c>
      <c r="H20" s="159">
        <v>430.21757063223345</v>
      </c>
      <c r="I20" s="159">
        <v>479.46588827748121</v>
      </c>
      <c r="J20" s="159">
        <v>643.07607105867328</v>
      </c>
      <c r="K20" s="148">
        <f t="shared" si="1"/>
        <v>9.3987120182643949E-2</v>
      </c>
      <c r="L20" s="148">
        <f t="shared" si="2"/>
        <v>0.18811348604335981</v>
      </c>
      <c r="M20" s="148">
        <f t="shared" si="3"/>
        <v>0.26354671189750889</v>
      </c>
      <c r="N20" s="148">
        <f t="shared" si="4"/>
        <v>0.3724350696395054</v>
      </c>
      <c r="O20" s="148">
        <f t="shared" si="5"/>
        <v>0.46061291756321809</v>
      </c>
      <c r="P20" s="148">
        <f t="shared" si="6"/>
        <v>0.55749437556290293</v>
      </c>
      <c r="Q20" s="148">
        <f t="shared" si="7"/>
        <v>0.76090615881935553</v>
      </c>
      <c r="R20" s="148">
        <f t="shared" si="8"/>
        <v>0.84850256259164292</v>
      </c>
      <c r="S20" s="148">
        <f t="shared" si="9"/>
        <v>1.1395107496203831</v>
      </c>
    </row>
    <row r="21" spans="1:19" x14ac:dyDescent="0.25">
      <c r="A21" s="161">
        <v>7.5</v>
      </c>
      <c r="B21" s="155">
        <v>57.449100379310835</v>
      </c>
      <c r="C21" s="155">
        <v>113.52480754908426</v>
      </c>
      <c r="D21" s="155">
        <v>157.28765289793651</v>
      </c>
      <c r="E21" s="155">
        <v>219.55309861441953</v>
      </c>
      <c r="F21" s="155">
        <v>269.43276313180263</v>
      </c>
      <c r="G21" s="155">
        <v>323.92680488399759</v>
      </c>
      <c r="H21" s="159">
        <v>439.24109805835189</v>
      </c>
      <c r="I21" s="159">
        <v>488.89956535019803</v>
      </c>
      <c r="J21" s="159">
        <v>653.87232581639853</v>
      </c>
      <c r="K21" s="148">
        <f t="shared" si="1"/>
        <v>0.10036213995414166</v>
      </c>
      <c r="L21" s="148">
        <f t="shared" si="2"/>
        <v>0.19924540088941087</v>
      </c>
      <c r="M21" s="148">
        <f t="shared" si="3"/>
        <v>0.27709249275371939</v>
      </c>
      <c r="N21" s="148">
        <f t="shared" si="4"/>
        <v>0.38838561504184255</v>
      </c>
      <c r="O21" s="148">
        <f t="shared" si="5"/>
        <v>0.47786356048904727</v>
      </c>
      <c r="P21" s="148">
        <f t="shared" si="6"/>
        <v>0.5758042593422581</v>
      </c>
      <c r="Q21" s="148">
        <f t="shared" si="7"/>
        <v>0.78251280182152683</v>
      </c>
      <c r="R21" s="148">
        <f t="shared" si="8"/>
        <v>0.87152890826491125</v>
      </c>
      <c r="S21" s="148">
        <f t="shared" si="9"/>
        <v>1.1672535571875646</v>
      </c>
    </row>
    <row r="22" spans="1:19" x14ac:dyDescent="0.25">
      <c r="A22" s="151">
        <v>8</v>
      </c>
      <c r="B22" s="156">
        <v>60.370535595157286</v>
      </c>
      <c r="C22" s="156">
        <v>117.97721088362734</v>
      </c>
      <c r="D22" s="156">
        <v>162.18184699933576</v>
      </c>
      <c r="E22" s="156">
        <v>224.49054495928692</v>
      </c>
      <c r="F22" s="156">
        <v>274.05231811650094</v>
      </c>
      <c r="G22" s="216">
        <v>328</v>
      </c>
      <c r="H22" s="217">
        <v>442.74616187645961</v>
      </c>
      <c r="I22" s="217">
        <v>492.15997147065764</v>
      </c>
      <c r="J22" s="217">
        <v>656.31994294131516</v>
      </c>
      <c r="K22" s="148">
        <f t="shared" si="1"/>
        <v>0.10603767237702132</v>
      </c>
      <c r="L22" s="148">
        <f t="shared" si="2"/>
        <v>0.20835181658944044</v>
      </c>
      <c r="M22" s="148">
        <f t="shared" si="3"/>
        <v>0.28752254990754506</v>
      </c>
      <c r="N22" s="148">
        <f t="shared" si="4"/>
        <v>0.3996392792163358</v>
      </c>
      <c r="O22" s="148">
        <f t="shared" si="5"/>
        <v>0.4891365731234732</v>
      </c>
      <c r="P22" s="148">
        <f t="shared" si="6"/>
        <v>0.58673412439559791</v>
      </c>
      <c r="Q22" s="148">
        <f t="shared" si="7"/>
        <v>0.79378853394133031</v>
      </c>
      <c r="R22" s="148">
        <f t="shared" si="8"/>
        <v>0.88295358313877004</v>
      </c>
      <c r="S22" s="148">
        <f t="shared" si="9"/>
        <v>1.1791730418819424</v>
      </c>
    </row>
    <row r="23" spans="1:19" x14ac:dyDescent="0.25">
      <c r="A23" s="152">
        <v>8.5</v>
      </c>
      <c r="B23" s="155">
        <v>62.567326238962259</v>
      </c>
      <c r="C23" s="155">
        <v>120.79761993472835</v>
      </c>
      <c r="D23" s="155">
        <v>164.80140882582486</v>
      </c>
      <c r="E23" s="216">
        <v>226.3</v>
      </c>
      <c r="F23" s="216">
        <v>274.89999999999998</v>
      </c>
      <c r="G23" s="155">
        <v>327.62390841603627</v>
      </c>
      <c r="H23" s="159">
        <v>440.29707813246256</v>
      </c>
      <c r="I23" s="159">
        <v>488.81818301034559</v>
      </c>
      <c r="J23" s="159">
        <v>650.01245760465486</v>
      </c>
      <c r="K23" s="148">
        <f t="shared" si="1"/>
        <v>0.11064407565070759</v>
      </c>
      <c r="L23" s="148">
        <f t="shared" si="2"/>
        <v>0.21489734773652008</v>
      </c>
      <c r="M23" s="148">
        <f t="shared" si="3"/>
        <v>0.29428493024264457</v>
      </c>
      <c r="N23" s="148">
        <f t="shared" si="4"/>
        <v>0.40571149046335825</v>
      </c>
      <c r="O23" s="148">
        <f t="shared" si="5"/>
        <v>0.49405708630485079</v>
      </c>
      <c r="P23" s="148">
        <f t="shared" si="6"/>
        <v>0.5900615175744327</v>
      </c>
      <c r="Q23" s="148">
        <f t="shared" si="7"/>
        <v>0.79473891600802993</v>
      </c>
      <c r="R23" s="148">
        <f t="shared" si="8"/>
        <v>0.88288033903290286</v>
      </c>
      <c r="S23" s="148">
        <f t="shared" si="9"/>
        <v>1.1756991604913729</v>
      </c>
    </row>
    <row r="24" spans="1:19" x14ac:dyDescent="0.25">
      <c r="A24" s="152">
        <v>9</v>
      </c>
      <c r="B24" s="155">
        <v>64.463132296595489</v>
      </c>
      <c r="C24" s="155">
        <v>122.74439036498518</v>
      </c>
      <c r="D24" s="155">
        <v>166.09222246340846</v>
      </c>
      <c r="E24" s="155">
        <v>226.13805319247058</v>
      </c>
      <c r="F24" s="155">
        <v>273.26770171989142</v>
      </c>
      <c r="G24" s="155">
        <v>324.21967350225555</v>
      </c>
      <c r="H24" s="159">
        <v>433.6438696211377</v>
      </c>
      <c r="I24" s="159">
        <v>480.76585003071415</v>
      </c>
      <c r="J24" s="159">
        <v>637.31202655917275</v>
      </c>
      <c r="K24" s="148">
        <f t="shared" si="1"/>
        <v>0.11432741268200197</v>
      </c>
      <c r="L24" s="148">
        <f t="shared" si="2"/>
        <v>0.21918780926974216</v>
      </c>
      <c r="M24" s="148">
        <f t="shared" si="3"/>
        <v>0.29780426816030997</v>
      </c>
      <c r="N24" s="148">
        <f t="shared" si="4"/>
        <v>0.4071942478732235</v>
      </c>
      <c r="O24" s="148">
        <f t="shared" si="5"/>
        <v>0.49335093154790227</v>
      </c>
      <c r="P24" s="148">
        <f t="shared" si="6"/>
        <v>0.58665922372646262</v>
      </c>
      <c r="Q24" s="148">
        <f t="shared" si="7"/>
        <v>0.78654685297824023</v>
      </c>
      <c r="R24" s="148">
        <f t="shared" ref="R24:R87" si="10">(I24+I23)*($A24-$A23)/2*(3600/1000000)</f>
        <v>0.87262562973695368</v>
      </c>
      <c r="S24" s="148">
        <f t="shared" si="9"/>
        <v>1.1585920357474446</v>
      </c>
    </row>
    <row r="25" spans="1:19" x14ac:dyDescent="0.25">
      <c r="A25" s="152">
        <v>9.5</v>
      </c>
      <c r="B25" s="155">
        <v>66.110549718408237</v>
      </c>
      <c r="C25" s="155">
        <v>124.20793251543412</v>
      </c>
      <c r="D25" s="155">
        <v>166.77569935389721</v>
      </c>
      <c r="E25" s="155">
        <v>225.24666045373678</v>
      </c>
      <c r="F25" s="155">
        <v>270.84344323444338</v>
      </c>
      <c r="G25" s="155">
        <v>319.97809529597691</v>
      </c>
      <c r="H25" s="159">
        <v>425.99415328789604</v>
      </c>
      <c r="I25" s="159">
        <v>471.64846727863579</v>
      </c>
      <c r="J25" s="159">
        <v>623.31883926129467</v>
      </c>
      <c r="K25" s="148">
        <f t="shared" si="1"/>
        <v>0.11751631381350335</v>
      </c>
      <c r="L25" s="148">
        <f t="shared" si="2"/>
        <v>0.22225709059237736</v>
      </c>
      <c r="M25" s="148">
        <f t="shared" si="3"/>
        <v>0.29958112963557509</v>
      </c>
      <c r="N25" s="148">
        <f t="shared" si="4"/>
        <v>0.40624624228158662</v>
      </c>
      <c r="O25" s="148">
        <f t="shared" si="5"/>
        <v>0.48970003045890131</v>
      </c>
      <c r="P25" s="148">
        <f t="shared" si="6"/>
        <v>0.57977799191840917</v>
      </c>
      <c r="Q25" s="148">
        <f t="shared" si="7"/>
        <v>0.77367422061813029</v>
      </c>
      <c r="R25" s="148">
        <f t="shared" si="10"/>
        <v>0.85717288557841487</v>
      </c>
      <c r="S25" s="148">
        <f t="shared" si="9"/>
        <v>1.1345677792384208</v>
      </c>
    </row>
    <row r="26" spans="1:19" x14ac:dyDescent="0.25">
      <c r="A26" s="152">
        <v>10</v>
      </c>
      <c r="B26" s="155">
        <v>67.521637780736526</v>
      </c>
      <c r="C26" s="155">
        <v>125.36775750043427</v>
      </c>
      <c r="D26" s="216">
        <v>167.2</v>
      </c>
      <c r="E26" s="155">
        <v>224.2417291206672</v>
      </c>
      <c r="F26" s="155">
        <v>268.47384052998956</v>
      </c>
      <c r="G26" s="155">
        <v>316.00637340553715</v>
      </c>
      <c r="H26" s="159">
        <v>418.98038380216883</v>
      </c>
      <c r="I26" s="159">
        <v>463.32468307701896</v>
      </c>
      <c r="J26" s="159">
        <v>610.64299274850077</v>
      </c>
      <c r="K26" s="148">
        <f t="shared" si="1"/>
        <v>0.12026896874923029</v>
      </c>
      <c r="L26" s="148">
        <f t="shared" si="2"/>
        <v>0.22461812101428155</v>
      </c>
      <c r="M26" s="148">
        <f t="shared" si="3"/>
        <v>0.30057812941850748</v>
      </c>
      <c r="N26" s="148">
        <f t="shared" si="4"/>
        <v>0.40453955061696356</v>
      </c>
      <c r="O26" s="148">
        <f t="shared" si="5"/>
        <v>0.48538555538798961</v>
      </c>
      <c r="P26" s="148">
        <f t="shared" si="6"/>
        <v>0.57238602183136267</v>
      </c>
      <c r="Q26" s="148">
        <f t="shared" si="7"/>
        <v>0.76047708338105835</v>
      </c>
      <c r="R26" s="148">
        <f t="shared" si="10"/>
        <v>0.84147583532008929</v>
      </c>
      <c r="S26" s="148">
        <f t="shared" si="9"/>
        <v>1.1105656488088158</v>
      </c>
    </row>
    <row r="27" spans="1:19" x14ac:dyDescent="0.25">
      <c r="A27" s="152">
        <v>10.5</v>
      </c>
      <c r="B27" s="155">
        <v>68.362650749413319</v>
      </c>
      <c r="C27" s="216">
        <v>125.4</v>
      </c>
      <c r="D27" s="155">
        <v>166.13818052333258</v>
      </c>
      <c r="E27" s="155">
        <v>221.30160542155161</v>
      </c>
      <c r="F27" s="155">
        <v>263.84643483754746</v>
      </c>
      <c r="G27" s="155">
        <v>309.44573163256587</v>
      </c>
      <c r="H27" s="159">
        <v>408.61455700015529</v>
      </c>
      <c r="I27" s="159">
        <v>451.32020723070684</v>
      </c>
      <c r="J27" s="159">
        <v>593.19468282884782</v>
      </c>
      <c r="K27" s="148">
        <f t="shared" si="1"/>
        <v>0.12229585967713484</v>
      </c>
      <c r="L27" s="148">
        <f t="shared" si="2"/>
        <v>0.22569098175039085</v>
      </c>
      <c r="M27" s="148">
        <f t="shared" si="3"/>
        <v>0.30000436247099926</v>
      </c>
      <c r="N27" s="148">
        <f t="shared" si="4"/>
        <v>0.4009890010879969</v>
      </c>
      <c r="O27" s="148">
        <f t="shared" si="5"/>
        <v>0.47908824783078335</v>
      </c>
      <c r="P27" s="148">
        <f t="shared" si="6"/>
        <v>0.56290689453429266</v>
      </c>
      <c r="Q27" s="148">
        <f t="shared" si="7"/>
        <v>0.74483544672209168</v>
      </c>
      <c r="R27" s="148">
        <f t="shared" si="10"/>
        <v>0.82318040127695313</v>
      </c>
      <c r="S27" s="148">
        <f t="shared" si="9"/>
        <v>1.0834539080196137</v>
      </c>
    </row>
    <row r="28" spans="1:19" x14ac:dyDescent="0.25">
      <c r="A28" s="152">
        <v>11</v>
      </c>
      <c r="B28" s="155">
        <v>69.106399056700894</v>
      </c>
      <c r="C28" s="155">
        <v>125.39235357988156</v>
      </c>
      <c r="D28" s="155">
        <v>165.16415026822887</v>
      </c>
      <c r="E28" s="155">
        <v>218.70451640162423</v>
      </c>
      <c r="F28" s="155">
        <v>259.81344608301038</v>
      </c>
      <c r="G28" s="155">
        <v>303.78367699099869</v>
      </c>
      <c r="H28" s="159">
        <v>399.70838948315543</v>
      </c>
      <c r="I28" s="159">
        <v>441.01700844654079</v>
      </c>
      <c r="J28" s="159">
        <v>578.25033990208294</v>
      </c>
      <c r="K28" s="148">
        <f t="shared" si="1"/>
        <v>0.12372214482550278</v>
      </c>
      <c r="L28" s="148">
        <f t="shared" si="2"/>
        <v>0.22571311822189341</v>
      </c>
      <c r="M28" s="148">
        <f t="shared" si="3"/>
        <v>0.29817209771240527</v>
      </c>
      <c r="N28" s="148">
        <f t="shared" si="4"/>
        <v>0.39600550964085823</v>
      </c>
      <c r="O28" s="148">
        <f t="shared" si="5"/>
        <v>0.47129389282850204</v>
      </c>
      <c r="P28" s="148">
        <f t="shared" si="6"/>
        <v>0.551906467761208</v>
      </c>
      <c r="Q28" s="148">
        <f t="shared" si="7"/>
        <v>0.72749065183497963</v>
      </c>
      <c r="R28" s="148">
        <f t="shared" si="10"/>
        <v>0.80310349410952286</v>
      </c>
      <c r="S28" s="148">
        <f t="shared" si="9"/>
        <v>1.0543005204578377</v>
      </c>
    </row>
    <row r="29" spans="1:19" x14ac:dyDescent="0.25">
      <c r="A29" s="152">
        <v>11.5</v>
      </c>
      <c r="B29" s="155">
        <v>69.729550882008795</v>
      </c>
      <c r="C29" s="155">
        <v>125.14318581671348</v>
      </c>
      <c r="D29" s="155">
        <v>163.86964396947403</v>
      </c>
      <c r="E29" s="155">
        <v>215.68714715673471</v>
      </c>
      <c r="F29" s="155">
        <v>255.28782620778867</v>
      </c>
      <c r="G29" s="155">
        <v>297.55423690655505</v>
      </c>
      <c r="H29" s="159">
        <v>390.06397521901511</v>
      </c>
      <c r="I29" s="159">
        <v>429.9019839142652</v>
      </c>
      <c r="J29" s="159">
        <v>562.24973092197547</v>
      </c>
      <c r="K29" s="148">
        <f t="shared" si="1"/>
        <v>0.12495235494483872</v>
      </c>
      <c r="L29" s="148">
        <f t="shared" si="2"/>
        <v>0.22548198545693551</v>
      </c>
      <c r="M29" s="148">
        <f t="shared" si="3"/>
        <v>0.2961304148139326</v>
      </c>
      <c r="N29" s="148">
        <f t="shared" si="4"/>
        <v>0.39095249720252301</v>
      </c>
      <c r="O29" s="148">
        <f t="shared" si="5"/>
        <v>0.46359114506171906</v>
      </c>
      <c r="P29" s="148">
        <f t="shared" si="6"/>
        <v>0.54120412250779837</v>
      </c>
      <c r="Q29" s="148">
        <f t="shared" si="7"/>
        <v>0.71079512823195345</v>
      </c>
      <c r="R29" s="148">
        <f t="shared" si="10"/>
        <v>0.78382709312472532</v>
      </c>
      <c r="S29" s="148">
        <f t="shared" si="9"/>
        <v>1.0264500637416525</v>
      </c>
    </row>
    <row r="30" spans="1:19" x14ac:dyDescent="0.25">
      <c r="A30" s="152">
        <v>12</v>
      </c>
      <c r="B30" s="155">
        <v>70.352140250558634</v>
      </c>
      <c r="C30" s="155">
        <v>125.05379443606552</v>
      </c>
      <c r="D30" s="155">
        <v>162.90110316960573</v>
      </c>
      <c r="E30" s="155">
        <v>213.26254684686506</v>
      </c>
      <c r="F30" s="155">
        <v>251.5864314193046</v>
      </c>
      <c r="G30" s="155">
        <v>292.4111833238083</v>
      </c>
      <c r="H30" s="159">
        <v>382.03215879051646</v>
      </c>
      <c r="I30" s="159">
        <v>420.62616267646882</v>
      </c>
      <c r="J30" s="159">
        <v>548.8411420291294</v>
      </c>
      <c r="K30" s="148">
        <f t="shared" si="1"/>
        <v>0.12607352201931066</v>
      </c>
      <c r="L30" s="148">
        <f t="shared" si="2"/>
        <v>0.22517728222750108</v>
      </c>
      <c r="M30" s="148">
        <f t="shared" si="3"/>
        <v>0.29409367242517176</v>
      </c>
      <c r="N30" s="148">
        <f t="shared" si="4"/>
        <v>0.38605472460323981</v>
      </c>
      <c r="O30" s="148">
        <f t="shared" si="5"/>
        <v>0.45618683186438391</v>
      </c>
      <c r="P30" s="148">
        <f t="shared" si="6"/>
        <v>0.53096887820732708</v>
      </c>
      <c r="Q30" s="148">
        <f t="shared" si="7"/>
        <v>0.69488652060857847</v>
      </c>
      <c r="R30" s="148">
        <f t="shared" si="10"/>
        <v>0.76547533193166051</v>
      </c>
      <c r="S30" s="148">
        <f t="shared" si="9"/>
        <v>0.99998178565599427</v>
      </c>
    </row>
    <row r="31" spans="1:19" x14ac:dyDescent="0.25">
      <c r="A31" s="152">
        <v>12.5</v>
      </c>
      <c r="B31" s="155">
        <v>70.41926056437886</v>
      </c>
      <c r="C31" s="155">
        <v>123.93666823460123</v>
      </c>
      <c r="D31" s="155">
        <v>160.61629429308704</v>
      </c>
      <c r="E31" s="155">
        <v>209.16970065810449</v>
      </c>
      <c r="F31" s="155">
        <v>245.96893422270338</v>
      </c>
      <c r="G31" s="155">
        <v>285.09909920560114</v>
      </c>
      <c r="H31" s="159">
        <v>371.24120020506086</v>
      </c>
      <c r="I31" s="159">
        <v>408.33707606899009</v>
      </c>
      <c r="J31" s="159">
        <v>531.57505293237909</v>
      </c>
      <c r="K31" s="148">
        <f t="shared" si="1"/>
        <v>0.12669426073344375</v>
      </c>
      <c r="L31" s="148">
        <f t="shared" si="2"/>
        <v>0.22409141640360006</v>
      </c>
      <c r="M31" s="148">
        <f t="shared" si="3"/>
        <v>0.2911656577164235</v>
      </c>
      <c r="N31" s="148">
        <f t="shared" si="4"/>
        <v>0.38018902275447258</v>
      </c>
      <c r="O31" s="148">
        <f t="shared" si="5"/>
        <v>0.44779982907780719</v>
      </c>
      <c r="P31" s="148">
        <f t="shared" si="6"/>
        <v>0.51975925427646852</v>
      </c>
      <c r="Q31" s="148">
        <f t="shared" si="7"/>
        <v>0.67794602309601959</v>
      </c>
      <c r="R31" s="148">
        <f t="shared" si="10"/>
        <v>0.74606691487091303</v>
      </c>
      <c r="S31" s="148">
        <f t="shared" si="9"/>
        <v>0.97237457546535777</v>
      </c>
    </row>
    <row r="32" spans="1:19" x14ac:dyDescent="0.25">
      <c r="A32" s="152">
        <v>13</v>
      </c>
      <c r="B32" s="216">
        <v>70.5</v>
      </c>
      <c r="C32" s="155">
        <v>122.95427177989156</v>
      </c>
      <c r="D32" s="155">
        <v>158.58568272538466</v>
      </c>
      <c r="E32" s="155">
        <v>205.51922675663681</v>
      </c>
      <c r="F32" s="155">
        <v>240.95500160304894</v>
      </c>
      <c r="G32" s="155">
        <v>278.57190563842795</v>
      </c>
      <c r="H32" s="159">
        <v>361.60237189425391</v>
      </c>
      <c r="I32" s="159">
        <v>397.3582663223408</v>
      </c>
      <c r="J32" s="159">
        <v>516.1446270062537</v>
      </c>
      <c r="K32" s="148">
        <f t="shared" si="1"/>
        <v>0.12682733450794098</v>
      </c>
      <c r="L32" s="148">
        <f t="shared" si="2"/>
        <v>0.22220184601304352</v>
      </c>
      <c r="M32" s="148">
        <f t="shared" si="3"/>
        <v>0.28728177931662452</v>
      </c>
      <c r="N32" s="148">
        <f t="shared" si="4"/>
        <v>0.3732200346732672</v>
      </c>
      <c r="O32" s="148">
        <f t="shared" si="5"/>
        <v>0.43823154224317706</v>
      </c>
      <c r="P32" s="148">
        <f t="shared" si="6"/>
        <v>0.50730390435962613</v>
      </c>
      <c r="Q32" s="148">
        <f t="shared" si="7"/>
        <v>0.65955921488938329</v>
      </c>
      <c r="R32" s="148">
        <f t="shared" si="10"/>
        <v>0.72512580815219774</v>
      </c>
      <c r="S32" s="148">
        <f t="shared" si="9"/>
        <v>0.94294771194476956</v>
      </c>
    </row>
    <row r="33" spans="1:19" x14ac:dyDescent="0.25">
      <c r="A33" s="152">
        <v>13.5</v>
      </c>
      <c r="B33" s="155">
        <v>70.419780786453686</v>
      </c>
      <c r="C33" s="155">
        <v>121.73933362376413</v>
      </c>
      <c r="D33" s="155">
        <v>156.31088604012271</v>
      </c>
      <c r="E33" s="155">
        <v>201.64206594550024</v>
      </c>
      <c r="F33" s="155">
        <v>235.7487677621821</v>
      </c>
      <c r="G33" s="155">
        <v>271.90129616985485</v>
      </c>
      <c r="H33" s="159">
        <v>351.88985997962948</v>
      </c>
      <c r="I33" s="159">
        <v>386.33580219828968</v>
      </c>
      <c r="J33" s="159">
        <v>500.77030822672452</v>
      </c>
      <c r="K33" s="148">
        <f t="shared" si="1"/>
        <v>0.1268278027078083</v>
      </c>
      <c r="L33" s="148">
        <f t="shared" si="2"/>
        <v>0.22022424486329012</v>
      </c>
      <c r="M33" s="148">
        <f t="shared" si="3"/>
        <v>0.28340691188895661</v>
      </c>
      <c r="N33" s="148">
        <f t="shared" si="4"/>
        <v>0.36644516343192335</v>
      </c>
      <c r="O33" s="148">
        <f t="shared" si="5"/>
        <v>0.42903339242870792</v>
      </c>
      <c r="P33" s="148">
        <f t="shared" si="6"/>
        <v>0.49542588162745443</v>
      </c>
      <c r="Q33" s="148">
        <f t="shared" si="7"/>
        <v>0.64214300868649499</v>
      </c>
      <c r="R33" s="148">
        <f t="shared" si="10"/>
        <v>0.70532466166856744</v>
      </c>
      <c r="S33" s="148">
        <f t="shared" si="9"/>
        <v>0.9152234417096804</v>
      </c>
    </row>
    <row r="34" spans="1:19" x14ac:dyDescent="0.25">
      <c r="A34" s="152">
        <v>14</v>
      </c>
      <c r="B34" s="155">
        <v>70.296861932156048</v>
      </c>
      <c r="C34" s="155">
        <v>120.51240210769971</v>
      </c>
      <c r="D34" s="155">
        <v>154.06245494914401</v>
      </c>
      <c r="E34" s="155">
        <v>197.85304175200076</v>
      </c>
      <c r="F34" s="155">
        <v>230.68327526964836</v>
      </c>
      <c r="G34" s="155">
        <v>265.42921451812651</v>
      </c>
      <c r="H34" s="159">
        <v>342.49501213986241</v>
      </c>
      <c r="I34" s="159">
        <v>375.68230649141918</v>
      </c>
      <c r="J34" s="159">
        <v>485.93539846471185</v>
      </c>
      <c r="K34" s="148">
        <f t="shared" si="1"/>
        <v>0.12664497844674877</v>
      </c>
      <c r="L34" s="148">
        <f t="shared" si="2"/>
        <v>0.21802656215831745</v>
      </c>
      <c r="M34" s="148">
        <f t="shared" si="3"/>
        <v>0.27933600689033999</v>
      </c>
      <c r="N34" s="148">
        <f t="shared" si="4"/>
        <v>0.3595455969277509</v>
      </c>
      <c r="O34" s="148">
        <f t="shared" si="5"/>
        <v>0.41978883872864742</v>
      </c>
      <c r="P34" s="148">
        <f t="shared" si="6"/>
        <v>0.48359745961918321</v>
      </c>
      <c r="Q34" s="148">
        <f t="shared" si="7"/>
        <v>0.62494638490754273</v>
      </c>
      <c r="R34" s="148">
        <f t="shared" si="10"/>
        <v>0.68581629782073805</v>
      </c>
      <c r="S34" s="148">
        <f t="shared" si="9"/>
        <v>0.88803513602229267</v>
      </c>
    </row>
    <row r="35" spans="1:19" x14ac:dyDescent="0.25">
      <c r="A35" s="152">
        <v>14.5</v>
      </c>
      <c r="B35" s="155">
        <v>69.630428354718504</v>
      </c>
      <c r="C35" s="155">
        <v>118.35884091721319</v>
      </c>
      <c r="D35" s="155">
        <v>150.67988349040249</v>
      </c>
      <c r="E35" s="155">
        <v>192.69876425745335</v>
      </c>
      <c r="F35" s="155">
        <v>224.10398056314193</v>
      </c>
      <c r="G35" s="155">
        <v>257.29930188639435</v>
      </c>
      <c r="H35" s="159">
        <v>331.0799394164207</v>
      </c>
      <c r="I35" s="159">
        <v>362.85252609842632</v>
      </c>
      <c r="J35" s="159">
        <v>468.40575031045819</v>
      </c>
      <c r="K35" s="148">
        <f t="shared" si="1"/>
        <v>0.12593456125818708</v>
      </c>
      <c r="L35" s="148">
        <f t="shared" si="2"/>
        <v>0.2149841187224216</v>
      </c>
      <c r="M35" s="148">
        <f t="shared" si="3"/>
        <v>0.27426810459559187</v>
      </c>
      <c r="N35" s="148">
        <f t="shared" si="4"/>
        <v>0.35149662540850873</v>
      </c>
      <c r="O35" s="148">
        <f t="shared" si="5"/>
        <v>0.40930853024951125</v>
      </c>
      <c r="P35" s="148">
        <f t="shared" si="6"/>
        <v>0.47045566476406875</v>
      </c>
      <c r="Q35" s="148">
        <f t="shared" si="7"/>
        <v>0.60621745640065483</v>
      </c>
      <c r="R35" s="148">
        <f t="shared" si="10"/>
        <v>0.66468134933086098</v>
      </c>
      <c r="S35" s="148">
        <f t="shared" si="9"/>
        <v>0.85890703389765299</v>
      </c>
    </row>
    <row r="36" spans="1:19" x14ac:dyDescent="0.25">
      <c r="A36" s="152">
        <v>15</v>
      </c>
      <c r="B36" s="155">
        <v>68.891437030363136</v>
      </c>
      <c r="C36" s="155">
        <v>116.10578455135999</v>
      </c>
      <c r="D36" s="155">
        <v>147.18998935595459</v>
      </c>
      <c r="E36" s="155">
        <v>187.43334020375494</v>
      </c>
      <c r="F36" s="155">
        <v>217.41394508219159</v>
      </c>
      <c r="G36" s="155">
        <v>249.05993426482226</v>
      </c>
      <c r="H36" s="159">
        <v>319.55393614175864</v>
      </c>
      <c r="I36" s="159">
        <v>349.91117972460125</v>
      </c>
      <c r="J36" s="159">
        <v>450.76242518438022</v>
      </c>
      <c r="K36" s="148">
        <f t="shared" si="1"/>
        <v>0.12466967884657347</v>
      </c>
      <c r="L36" s="148">
        <f t="shared" si="2"/>
        <v>0.21101816292171585</v>
      </c>
      <c r="M36" s="148">
        <f t="shared" si="3"/>
        <v>0.26808288556172138</v>
      </c>
      <c r="N36" s="148">
        <f t="shared" si="4"/>
        <v>0.34211889401508749</v>
      </c>
      <c r="O36" s="148">
        <f t="shared" si="5"/>
        <v>0.39736613308080021</v>
      </c>
      <c r="P36" s="148">
        <f t="shared" si="6"/>
        <v>0.45572331253609488</v>
      </c>
      <c r="Q36" s="148">
        <f t="shared" si="7"/>
        <v>0.58557048800236144</v>
      </c>
      <c r="R36" s="148">
        <f t="shared" si="10"/>
        <v>0.64148733524072477</v>
      </c>
      <c r="S36" s="148">
        <f t="shared" si="9"/>
        <v>0.82725135794535454</v>
      </c>
    </row>
    <row r="37" spans="1:19" x14ac:dyDescent="0.25">
      <c r="A37" s="152">
        <v>15.5</v>
      </c>
      <c r="B37" s="155">
        <v>68.070699275850444</v>
      </c>
      <c r="C37" s="155">
        <v>113.84638377045698</v>
      </c>
      <c r="D37" s="155">
        <v>143.80028897910054</v>
      </c>
      <c r="E37" s="155">
        <v>182.45423454892787</v>
      </c>
      <c r="F37" s="155">
        <v>211.17938179877891</v>
      </c>
      <c r="G37" s="155">
        <v>241.47127992373782</v>
      </c>
      <c r="H37" s="159">
        <v>309.0596056574268</v>
      </c>
      <c r="I37" s="159">
        <v>338.16556095892872</v>
      </c>
      <c r="J37" s="159">
        <v>434.85984199411962</v>
      </c>
      <c r="K37" s="148">
        <f t="shared" si="1"/>
        <v>0.12326592267559222</v>
      </c>
      <c r="L37" s="148">
        <f t="shared" si="2"/>
        <v>0.20695695148963528</v>
      </c>
      <c r="M37" s="148">
        <f t="shared" si="3"/>
        <v>0.2618912505015496</v>
      </c>
      <c r="N37" s="148">
        <f t="shared" si="4"/>
        <v>0.33289881727741449</v>
      </c>
      <c r="O37" s="148">
        <f t="shared" si="5"/>
        <v>0.38573399419287341</v>
      </c>
      <c r="P37" s="148">
        <f t="shared" si="6"/>
        <v>0.44147809276970401</v>
      </c>
      <c r="Q37" s="148">
        <f t="shared" si="7"/>
        <v>0.56575218761926693</v>
      </c>
      <c r="R37" s="148">
        <f t="shared" si="10"/>
        <v>0.619269066615177</v>
      </c>
      <c r="S37" s="148">
        <f t="shared" si="9"/>
        <v>0.79706004046064993</v>
      </c>
    </row>
    <row r="38" spans="1:19" x14ac:dyDescent="0.25">
      <c r="A38" s="152">
        <v>16</v>
      </c>
      <c r="B38" s="155">
        <v>67.203724499059916</v>
      </c>
      <c r="C38" s="155">
        <v>111.55726446551976</v>
      </c>
      <c r="D38" s="155">
        <v>140.40919532359368</v>
      </c>
      <c r="E38" s="155">
        <v>177.5231603955408</v>
      </c>
      <c r="F38" s="155">
        <v>205.03712658028834</v>
      </c>
      <c r="G38" s="155">
        <v>234.02501208236342</v>
      </c>
      <c r="H38" s="159">
        <v>298.80715727943209</v>
      </c>
      <c r="I38" s="159">
        <v>326.70467067354548</v>
      </c>
      <c r="J38" s="159">
        <v>419.38432926472751</v>
      </c>
      <c r="K38" s="148">
        <f t="shared" si="1"/>
        <v>0.12174698139741932</v>
      </c>
      <c r="L38" s="148">
        <f t="shared" si="2"/>
        <v>0.20286328341237905</v>
      </c>
      <c r="M38" s="148">
        <f t="shared" si="3"/>
        <v>0.25578853587242484</v>
      </c>
      <c r="N38" s="148">
        <f t="shared" si="4"/>
        <v>0.32397965545002178</v>
      </c>
      <c r="O38" s="148">
        <f t="shared" si="5"/>
        <v>0.37459485754116051</v>
      </c>
      <c r="P38" s="148">
        <f t="shared" si="6"/>
        <v>0.42794666280549115</v>
      </c>
      <c r="Q38" s="148">
        <f t="shared" si="7"/>
        <v>0.54708008664317298</v>
      </c>
      <c r="R38" s="148">
        <f t="shared" si="10"/>
        <v>0.59838320846922677</v>
      </c>
      <c r="S38" s="148">
        <f t="shared" si="9"/>
        <v>0.76881975413296244</v>
      </c>
    </row>
    <row r="39" spans="1:19" x14ac:dyDescent="0.25">
      <c r="A39" s="152">
        <v>16.5</v>
      </c>
      <c r="B39" s="155">
        <v>65.957163371323617</v>
      </c>
      <c r="C39" s="155">
        <v>108.6480201176372</v>
      </c>
      <c r="D39" s="155">
        <v>136.27393478377954</v>
      </c>
      <c r="E39" s="155">
        <v>171.71331031281224</v>
      </c>
      <c r="F39" s="155">
        <v>197.93131360068693</v>
      </c>
      <c r="G39" s="155">
        <v>225.53302670385324</v>
      </c>
      <c r="H39" s="159">
        <v>287.30031831254422</v>
      </c>
      <c r="I39" s="159">
        <v>313.89952770472621</v>
      </c>
      <c r="J39" s="159">
        <v>402.26602870559918</v>
      </c>
      <c r="K39" s="148">
        <f t="shared" si="1"/>
        <v>0.11984479908334518</v>
      </c>
      <c r="L39" s="148">
        <f t="shared" si="2"/>
        <v>0.19818475612484127</v>
      </c>
      <c r="M39" s="148">
        <f t="shared" si="3"/>
        <v>0.24901481709663592</v>
      </c>
      <c r="N39" s="148">
        <f t="shared" si="4"/>
        <v>0.31431282363751778</v>
      </c>
      <c r="O39" s="148">
        <f t="shared" si="5"/>
        <v>0.36267159616287775</v>
      </c>
      <c r="P39" s="148">
        <f t="shared" si="6"/>
        <v>0.41360223490759501</v>
      </c>
      <c r="Q39" s="148">
        <f t="shared" si="7"/>
        <v>0.52749672803277858</v>
      </c>
      <c r="R39" s="148">
        <f t="shared" si="10"/>
        <v>0.57654377854044447</v>
      </c>
      <c r="S39" s="148">
        <f t="shared" si="9"/>
        <v>0.73948532217329399</v>
      </c>
    </row>
    <row r="40" spans="1:19" x14ac:dyDescent="0.25">
      <c r="A40" s="152">
        <v>17</v>
      </c>
      <c r="B40" s="155">
        <v>64.704484343976787</v>
      </c>
      <c r="C40" s="155">
        <v>105.77705157370553</v>
      </c>
      <c r="D40" s="155">
        <v>132.22384121139669</v>
      </c>
      <c r="E40" s="155">
        <v>166.06375847588518</v>
      </c>
      <c r="F40" s="155">
        <v>191.05071639904261</v>
      </c>
      <c r="G40" s="155">
        <v>217.33947080952751</v>
      </c>
      <c r="H40" s="159">
        <v>276.23948649143404</v>
      </c>
      <c r="I40" s="159">
        <v>301.60394411167704</v>
      </c>
      <c r="J40" s="159">
        <v>385.86841741382653</v>
      </c>
      <c r="K40" s="148">
        <f t="shared" si="1"/>
        <v>0.11759548294377035</v>
      </c>
      <c r="L40" s="148">
        <f t="shared" si="2"/>
        <v>0.19298256452220847</v>
      </c>
      <c r="M40" s="148">
        <f t="shared" si="3"/>
        <v>0.24164799839565856</v>
      </c>
      <c r="N40" s="148">
        <f t="shared" si="4"/>
        <v>0.30399936190982768</v>
      </c>
      <c r="O40" s="148">
        <f t="shared" si="5"/>
        <v>0.3500838269997566</v>
      </c>
      <c r="P40" s="148">
        <f t="shared" si="6"/>
        <v>0.39858524776204263</v>
      </c>
      <c r="Q40" s="148">
        <f t="shared" si="7"/>
        <v>0.5071858243235805</v>
      </c>
      <c r="R40" s="148">
        <f t="shared" si="10"/>
        <v>0.55395312463476287</v>
      </c>
      <c r="S40" s="148">
        <f t="shared" si="9"/>
        <v>0.70932100150748323</v>
      </c>
    </row>
    <row r="41" spans="1:19" x14ac:dyDescent="0.25">
      <c r="A41" s="152">
        <v>17.5</v>
      </c>
      <c r="B41" s="155">
        <v>63.499812391178864</v>
      </c>
      <c r="C41" s="155">
        <v>103.06178160975944</v>
      </c>
      <c r="D41" s="155">
        <v>128.41546939690511</v>
      </c>
      <c r="E41" s="155">
        <v>160.77668268037326</v>
      </c>
      <c r="F41" s="155">
        <v>184.62740919653277</v>
      </c>
      <c r="G41" s="155">
        <v>209.70459991601561</v>
      </c>
      <c r="H41" s="159">
        <v>265.95667823524008</v>
      </c>
      <c r="I41" s="159">
        <v>290.18083912993501</v>
      </c>
      <c r="J41" s="159">
        <v>370.65707834385444</v>
      </c>
      <c r="K41" s="148">
        <f t="shared" si="1"/>
        <v>0.11538386706164008</v>
      </c>
      <c r="L41" s="148">
        <f t="shared" si="2"/>
        <v>0.18795494986511846</v>
      </c>
      <c r="M41" s="148">
        <f t="shared" si="3"/>
        <v>0.23457537954747162</v>
      </c>
      <c r="N41" s="148">
        <f t="shared" si="4"/>
        <v>0.29415639704063257</v>
      </c>
      <c r="O41" s="148">
        <f t="shared" si="5"/>
        <v>0.3381103130360178</v>
      </c>
      <c r="P41" s="148">
        <f t="shared" si="6"/>
        <v>0.38433966365298877</v>
      </c>
      <c r="Q41" s="148">
        <f t="shared" si="7"/>
        <v>0.48797654825400671</v>
      </c>
      <c r="R41" s="148">
        <f t="shared" si="10"/>
        <v>0.53260630491745087</v>
      </c>
      <c r="S41" s="148">
        <f t="shared" si="9"/>
        <v>0.68087294618191285</v>
      </c>
    </row>
    <row r="42" spans="1:19" x14ac:dyDescent="0.25">
      <c r="A42" s="152">
        <v>18</v>
      </c>
      <c r="B42" s="155">
        <v>62.376373510717485</v>
      </c>
      <c r="C42" s="155">
        <v>100.56771946501519</v>
      </c>
      <c r="D42" s="155">
        <v>124.94243580030934</v>
      </c>
      <c r="E42" s="155">
        <v>155.99033723588929</v>
      </c>
      <c r="F42" s="155">
        <v>178.83894043888665</v>
      </c>
      <c r="G42" s="155">
        <v>202.85177919819608</v>
      </c>
      <c r="H42" s="159">
        <v>256.76504482953374</v>
      </c>
      <c r="I42" s="159">
        <v>279.98202916210397</v>
      </c>
      <c r="J42" s="159">
        <v>357.1122791260118</v>
      </c>
      <c r="K42" s="148">
        <f t="shared" si="1"/>
        <v>0.11328856731170671</v>
      </c>
      <c r="L42" s="148">
        <f t="shared" si="2"/>
        <v>0.18326655096729716</v>
      </c>
      <c r="M42" s="148">
        <f t="shared" si="3"/>
        <v>0.228022114677493</v>
      </c>
      <c r="N42" s="148">
        <f t="shared" si="4"/>
        <v>0.28509031792463629</v>
      </c>
      <c r="O42" s="148">
        <f t="shared" si="5"/>
        <v>0.32711971467187745</v>
      </c>
      <c r="P42" s="148">
        <f t="shared" si="6"/>
        <v>0.37130074120279055</v>
      </c>
      <c r="Q42" s="148">
        <f t="shared" si="7"/>
        <v>0.47044955075829648</v>
      </c>
      <c r="R42" s="148">
        <f t="shared" si="10"/>
        <v>0.51314658146283509</v>
      </c>
      <c r="S42" s="148">
        <f t="shared" si="9"/>
        <v>0.65499242172287964</v>
      </c>
    </row>
    <row r="43" spans="1:19" x14ac:dyDescent="0.25">
      <c r="A43" s="152">
        <v>18.5</v>
      </c>
      <c r="B43" s="155">
        <v>60.986701313129352</v>
      </c>
      <c r="C43" s="155">
        <v>97.628400035454575</v>
      </c>
      <c r="D43" s="155">
        <v>120.92245699984373</v>
      </c>
      <c r="E43" s="155">
        <v>150.53529436583793</v>
      </c>
      <c r="F43" s="155">
        <v>172.29620704215978</v>
      </c>
      <c r="G43" s="155">
        <v>195.15581097004946</v>
      </c>
      <c r="H43" s="159">
        <v>246.52529191743182</v>
      </c>
      <c r="I43" s="159">
        <v>268.64683140055314</v>
      </c>
      <c r="J43" s="159">
        <v>342.13785183105682</v>
      </c>
      <c r="K43" s="148">
        <f t="shared" si="1"/>
        <v>0.11102676734146215</v>
      </c>
      <c r="L43" s="148">
        <f t="shared" si="2"/>
        <v>0.17837650755042278</v>
      </c>
      <c r="M43" s="148">
        <f t="shared" si="3"/>
        <v>0.22127840352013778</v>
      </c>
      <c r="N43" s="148">
        <f t="shared" si="4"/>
        <v>0.27587306844155451</v>
      </c>
      <c r="O43" s="148">
        <f t="shared" si="5"/>
        <v>0.31602163273294176</v>
      </c>
      <c r="P43" s="148">
        <f t="shared" si="6"/>
        <v>0.35820683115142099</v>
      </c>
      <c r="Q43" s="148">
        <f t="shared" si="7"/>
        <v>0.45296130307226895</v>
      </c>
      <c r="R43" s="148">
        <f t="shared" si="10"/>
        <v>0.49376597450639137</v>
      </c>
      <c r="S43" s="148">
        <f t="shared" si="9"/>
        <v>0.6293251178613618</v>
      </c>
    </row>
    <row r="44" spans="1:19" x14ac:dyDescent="0.25">
      <c r="A44" s="152">
        <v>19</v>
      </c>
      <c r="B44" s="155">
        <v>59.653017617855113</v>
      </c>
      <c r="C44" s="155">
        <v>94.814563938586048</v>
      </c>
      <c r="D44" s="155">
        <v>117.0767706051781</v>
      </c>
      <c r="E44" s="155">
        <v>145.31888258161123</v>
      </c>
      <c r="F44" s="155">
        <v>166.04031162049327</v>
      </c>
      <c r="G44" s="155">
        <v>187.79716625175999</v>
      </c>
      <c r="H44" s="159">
        <v>236.73568003919468</v>
      </c>
      <c r="I44" s="159">
        <v>257.81035794187608</v>
      </c>
      <c r="J44" s="159">
        <v>327.82354963199214</v>
      </c>
      <c r="K44" s="148">
        <f t="shared" si="1"/>
        <v>0.10857574703788601</v>
      </c>
      <c r="L44" s="148">
        <f t="shared" si="2"/>
        <v>0.17319866757663654</v>
      </c>
      <c r="M44" s="148">
        <f t="shared" si="3"/>
        <v>0.21419930484451963</v>
      </c>
      <c r="N44" s="148">
        <f t="shared" si="4"/>
        <v>0.26626875925270421</v>
      </c>
      <c r="O44" s="148">
        <f t="shared" si="5"/>
        <v>0.30450286679638772</v>
      </c>
      <c r="P44" s="148">
        <f t="shared" si="6"/>
        <v>0.34465767949962844</v>
      </c>
      <c r="Q44" s="148">
        <f t="shared" si="7"/>
        <v>0.43493487476096382</v>
      </c>
      <c r="R44" s="148">
        <f t="shared" si="10"/>
        <v>0.47381147040818633</v>
      </c>
      <c r="S44" s="148">
        <f t="shared" si="9"/>
        <v>0.60296526131674411</v>
      </c>
    </row>
    <row r="45" spans="1:19" x14ac:dyDescent="0.25">
      <c r="A45" s="152">
        <v>19.5</v>
      </c>
      <c r="B45" s="155">
        <v>58.37830594012199</v>
      </c>
      <c r="C45" s="155">
        <v>92.137540470212755</v>
      </c>
      <c r="D45" s="155">
        <v>113.42304562717781</v>
      </c>
      <c r="E45" s="155">
        <v>140.36716723083734</v>
      </c>
      <c r="F45" s="155">
        <v>160.10355569566164</v>
      </c>
      <c r="G45" s="155">
        <v>180.81455666849399</v>
      </c>
      <c r="H45" s="159">
        <v>227.44948230908477</v>
      </c>
      <c r="I45" s="159">
        <v>247.53215259939702</v>
      </c>
      <c r="J45" s="159">
        <v>314.2497485303</v>
      </c>
      <c r="K45" s="148">
        <f t="shared" si="1"/>
        <v>0.10622819120217938</v>
      </c>
      <c r="L45" s="148">
        <f t="shared" si="2"/>
        <v>0.1682568939679189</v>
      </c>
      <c r="M45" s="148">
        <f t="shared" si="3"/>
        <v>0.20744983460912031</v>
      </c>
      <c r="N45" s="148">
        <f t="shared" si="4"/>
        <v>0.25711744483120369</v>
      </c>
      <c r="O45" s="148">
        <f t="shared" si="5"/>
        <v>0.29352948058453943</v>
      </c>
      <c r="P45" s="148">
        <f t="shared" si="6"/>
        <v>0.33175055062822861</v>
      </c>
      <c r="Q45" s="148">
        <f t="shared" si="7"/>
        <v>0.41776664611345149</v>
      </c>
      <c r="R45" s="148">
        <f t="shared" si="10"/>
        <v>0.45480825948714576</v>
      </c>
      <c r="S45" s="148">
        <f t="shared" si="9"/>
        <v>0.57786596834606285</v>
      </c>
    </row>
    <row r="46" spans="1:19" x14ac:dyDescent="0.25">
      <c r="A46" s="152">
        <v>20</v>
      </c>
      <c r="B46" s="155">
        <v>57.215536410284997</v>
      </c>
      <c r="C46" s="155">
        <v>89.696085772347246</v>
      </c>
      <c r="D46" s="155">
        <v>110.08902542034707</v>
      </c>
      <c r="E46" s="155">
        <v>135.84453235566644</v>
      </c>
      <c r="F46" s="155">
        <v>154.67708840772721</v>
      </c>
      <c r="G46" s="155">
        <v>174.4271179676189</v>
      </c>
      <c r="H46" s="159">
        <v>218.94907801033099</v>
      </c>
      <c r="I46" s="159">
        <v>238.12182958941801</v>
      </c>
      <c r="J46" s="159">
        <v>301.8165412112171</v>
      </c>
      <c r="K46" s="148">
        <f t="shared" si="1"/>
        <v>0.10403445811536628</v>
      </c>
      <c r="L46" s="148">
        <f t="shared" si="2"/>
        <v>0.16365026361830401</v>
      </c>
      <c r="M46" s="148">
        <f t="shared" si="3"/>
        <v>0.20116086394277241</v>
      </c>
      <c r="N46" s="148">
        <f t="shared" si="4"/>
        <v>0.24859052962785338</v>
      </c>
      <c r="O46" s="148">
        <f t="shared" si="5"/>
        <v>0.28330257969304995</v>
      </c>
      <c r="P46" s="148">
        <f t="shared" si="6"/>
        <v>0.31971750717250158</v>
      </c>
      <c r="Q46" s="148">
        <f t="shared" si="7"/>
        <v>0.40175870428747418</v>
      </c>
      <c r="R46" s="148">
        <f t="shared" si="10"/>
        <v>0.4370885839699335</v>
      </c>
      <c r="S46" s="148">
        <f t="shared" si="9"/>
        <v>0.5544596607673653</v>
      </c>
    </row>
    <row r="47" spans="1:19" x14ac:dyDescent="0.25">
      <c r="A47" s="152">
        <v>20.5</v>
      </c>
      <c r="B47" s="155">
        <v>55.833689408585904</v>
      </c>
      <c r="C47" s="155">
        <v>86.910200457450031</v>
      </c>
      <c r="D47" s="155">
        <v>106.35078992992588</v>
      </c>
      <c r="E47" s="155">
        <v>130.85685292510294</v>
      </c>
      <c r="F47" s="155">
        <v>148.7500079790415</v>
      </c>
      <c r="G47" s="155">
        <v>167.50597385818784</v>
      </c>
      <c r="H47" s="159">
        <v>209.8253611365451</v>
      </c>
      <c r="I47" s="159">
        <v>228.04960594716718</v>
      </c>
      <c r="J47" s="159">
        <v>288.59323803614654</v>
      </c>
      <c r="K47" s="148">
        <f t="shared" si="1"/>
        <v>0.1017443032369838</v>
      </c>
      <c r="L47" s="148">
        <f t="shared" si="2"/>
        <v>0.15894565760681753</v>
      </c>
      <c r="M47" s="148">
        <f t="shared" si="3"/>
        <v>0.19479583381524565</v>
      </c>
      <c r="N47" s="148">
        <f t="shared" si="4"/>
        <v>0.24003124675269244</v>
      </c>
      <c r="O47" s="148">
        <f t="shared" si="5"/>
        <v>0.27308438674809182</v>
      </c>
      <c r="P47" s="148">
        <f t="shared" si="6"/>
        <v>0.30773978264322605</v>
      </c>
      <c r="Q47" s="148">
        <f t="shared" si="7"/>
        <v>0.38589699523218846</v>
      </c>
      <c r="R47" s="148">
        <f t="shared" si="10"/>
        <v>0.41955429198292665</v>
      </c>
      <c r="S47" s="148">
        <f t="shared" si="9"/>
        <v>0.53136880132262732</v>
      </c>
    </row>
    <row r="48" spans="1:19" x14ac:dyDescent="0.25">
      <c r="A48" s="152">
        <v>21</v>
      </c>
      <c r="B48" s="155">
        <v>54.556883122284518</v>
      </c>
      <c r="C48" s="155">
        <v>84.363256396513947</v>
      </c>
      <c r="D48" s="155">
        <v>102.95439240394566</v>
      </c>
      <c r="E48" s="155">
        <v>126.35708521409529</v>
      </c>
      <c r="F48" s="155">
        <v>143.42792895880021</v>
      </c>
      <c r="G48" s="155">
        <v>161.31812302339799</v>
      </c>
      <c r="H48" s="159">
        <v>201.70582461205899</v>
      </c>
      <c r="I48" s="159">
        <v>219.09821633665581</v>
      </c>
      <c r="J48" s="159">
        <v>276.8783096499136</v>
      </c>
      <c r="K48" s="148">
        <f t="shared" si="1"/>
        <v>9.9351515277783381E-2</v>
      </c>
      <c r="L48" s="148">
        <f t="shared" si="2"/>
        <v>0.15414611116856758</v>
      </c>
      <c r="M48" s="148">
        <f t="shared" si="3"/>
        <v>0.18837466410048437</v>
      </c>
      <c r="N48" s="148">
        <f t="shared" si="4"/>
        <v>0.23149254432527844</v>
      </c>
      <c r="O48" s="148">
        <f t="shared" si="5"/>
        <v>0.26296014324405753</v>
      </c>
      <c r="P48" s="148">
        <f t="shared" si="6"/>
        <v>0.29594168719342723</v>
      </c>
      <c r="Q48" s="148">
        <f t="shared" si="7"/>
        <v>0.37037806717374372</v>
      </c>
      <c r="R48" s="148">
        <f t="shared" si="10"/>
        <v>0.40243304005544067</v>
      </c>
      <c r="S48" s="148">
        <f t="shared" si="9"/>
        <v>0.50892439291745417</v>
      </c>
    </row>
    <row r="49" spans="1:19" x14ac:dyDescent="0.25">
      <c r="A49" s="152">
        <v>21.5</v>
      </c>
      <c r="B49" s="155">
        <v>53.338663036490772</v>
      </c>
      <c r="C49" s="155">
        <v>81.938625783489698</v>
      </c>
      <c r="D49" s="155">
        <v>99.723287272255845</v>
      </c>
      <c r="E49" s="155">
        <v>122.07808201128204</v>
      </c>
      <c r="F49" s="155">
        <v>138.36754001963243</v>
      </c>
      <c r="G49" s="155">
        <v>155.43459322457343</v>
      </c>
      <c r="H49" s="159">
        <v>193.9868169435772</v>
      </c>
      <c r="I49" s="159">
        <v>210.58878611736785</v>
      </c>
      <c r="J49" s="159">
        <v>265.74297901016223</v>
      </c>
      <c r="K49" s="148">
        <f t="shared" si="1"/>
        <v>9.7105991542897757E-2</v>
      </c>
      <c r="L49" s="148">
        <f t="shared" si="2"/>
        <v>0.14967169396200328</v>
      </c>
      <c r="M49" s="148">
        <f t="shared" si="3"/>
        <v>0.18240991170858134</v>
      </c>
      <c r="N49" s="148">
        <f t="shared" si="4"/>
        <v>0.22359165050283958</v>
      </c>
      <c r="O49" s="148">
        <f t="shared" si="5"/>
        <v>0.25361592208058936</v>
      </c>
      <c r="P49" s="148">
        <f t="shared" si="6"/>
        <v>0.28507744462317425</v>
      </c>
      <c r="Q49" s="148">
        <f t="shared" si="7"/>
        <v>0.3561233774000726</v>
      </c>
      <c r="R49" s="148">
        <f t="shared" si="10"/>
        <v>0.38671830220862125</v>
      </c>
      <c r="S49" s="148">
        <f t="shared" si="9"/>
        <v>0.48835915979406824</v>
      </c>
    </row>
    <row r="50" spans="1:19" x14ac:dyDescent="0.25">
      <c r="A50" s="152">
        <v>22</v>
      </c>
      <c r="B50" s="155">
        <v>52.215099749050708</v>
      </c>
      <c r="C50" s="155">
        <v>79.698500310317698</v>
      </c>
      <c r="D50" s="155">
        <v>96.735082854667738</v>
      </c>
      <c r="E50" s="155">
        <v>118.11631309794672</v>
      </c>
      <c r="F50" s="155">
        <v>133.67878683323573</v>
      </c>
      <c r="G50" s="155">
        <v>149.97938137254025</v>
      </c>
      <c r="H50" s="159">
        <v>186.82443594690801</v>
      </c>
      <c r="I50" s="159">
        <v>202.69123690523404</v>
      </c>
      <c r="J50" s="159">
        <v>255.4030924379278</v>
      </c>
      <c r="K50" s="148">
        <f t="shared" si="1"/>
        <v>9.4998386506987331E-2</v>
      </c>
      <c r="L50" s="148">
        <f t="shared" si="2"/>
        <v>0.14547341348442666</v>
      </c>
      <c r="M50" s="148">
        <f t="shared" si="3"/>
        <v>0.1768125331142312</v>
      </c>
      <c r="N50" s="148">
        <f t="shared" si="4"/>
        <v>0.21617495559830588</v>
      </c>
      <c r="O50" s="148">
        <f t="shared" si="5"/>
        <v>0.24484169416758134</v>
      </c>
      <c r="P50" s="148">
        <f t="shared" si="6"/>
        <v>0.27487257713740232</v>
      </c>
      <c r="Q50" s="148">
        <f t="shared" si="7"/>
        <v>0.34273012760143667</v>
      </c>
      <c r="R50" s="148">
        <f t="shared" si="10"/>
        <v>0.37195202072034167</v>
      </c>
      <c r="S50" s="148">
        <f t="shared" si="9"/>
        <v>0.46903146430328096</v>
      </c>
    </row>
    <row r="51" spans="1:19" x14ac:dyDescent="0.25">
      <c r="A51" s="152">
        <v>22.5</v>
      </c>
      <c r="B51" s="155">
        <v>50.972354709801159</v>
      </c>
      <c r="C51" s="155">
        <v>77.271027703973488</v>
      </c>
      <c r="D51" s="155">
        <v>93.523956147101856</v>
      </c>
      <c r="E51" s="155">
        <v>113.89076308476004</v>
      </c>
      <c r="F51" s="155">
        <v>128.69834097182815</v>
      </c>
      <c r="G51" s="155">
        <v>144.20347038223929</v>
      </c>
      <c r="H51" s="159">
        <v>179.27369423295437</v>
      </c>
      <c r="I51" s="159">
        <v>194.37618947502534</v>
      </c>
      <c r="J51" s="159">
        <v>244.5489085678114</v>
      </c>
      <c r="K51" s="148">
        <f t="shared" si="1"/>
        <v>9.2868709012966691E-2</v>
      </c>
      <c r="L51" s="148">
        <f t="shared" si="2"/>
        <v>0.14127257521286207</v>
      </c>
      <c r="M51" s="148">
        <f t="shared" si="3"/>
        <v>0.17123313510159263</v>
      </c>
      <c r="N51" s="148">
        <f t="shared" si="4"/>
        <v>0.20880636856443607</v>
      </c>
      <c r="O51" s="148">
        <f t="shared" si="5"/>
        <v>0.23613941502455749</v>
      </c>
      <c r="P51" s="148">
        <f t="shared" si="6"/>
        <v>0.26476456657930159</v>
      </c>
      <c r="Q51" s="148">
        <f t="shared" si="7"/>
        <v>0.32948831716187615</v>
      </c>
      <c r="R51" s="148">
        <f t="shared" si="10"/>
        <v>0.3573606837422334</v>
      </c>
      <c r="S51" s="148">
        <f t="shared" si="9"/>
        <v>0.44995680090516527</v>
      </c>
    </row>
    <row r="52" spans="1:19" x14ac:dyDescent="0.25">
      <c r="A52" s="152">
        <v>23</v>
      </c>
      <c r="B52" s="155">
        <v>49.87315186002953</v>
      </c>
      <c r="C52" s="155">
        <v>75.119287662045053</v>
      </c>
      <c r="D52" s="155">
        <v>90.674220951409126</v>
      </c>
      <c r="E52" s="155">
        <v>110.13595476887926</v>
      </c>
      <c r="F52" s="155">
        <v>124.26897181714284</v>
      </c>
      <c r="G52" s="155">
        <v>139.06262656241296</v>
      </c>
      <c r="H52" s="159">
        <v>172.5474032452276</v>
      </c>
      <c r="I52" s="159">
        <v>186.96714811730675</v>
      </c>
      <c r="J52" s="159">
        <v>234.87166967220054</v>
      </c>
      <c r="K52" s="148">
        <f t="shared" si="1"/>
        <v>9.0760955912847621E-2</v>
      </c>
      <c r="L52" s="148">
        <f t="shared" si="2"/>
        <v>0.13715128382941669</v>
      </c>
      <c r="M52" s="148">
        <f t="shared" si="3"/>
        <v>0.1657783593886599</v>
      </c>
      <c r="N52" s="148">
        <f t="shared" si="4"/>
        <v>0.20162404606827536</v>
      </c>
      <c r="O52" s="148">
        <f t="shared" si="5"/>
        <v>0.22767058151007388</v>
      </c>
      <c r="P52" s="148">
        <f t="shared" si="6"/>
        <v>0.254939487250187</v>
      </c>
      <c r="Q52" s="148">
        <f t="shared" si="7"/>
        <v>0.31663898773036375</v>
      </c>
      <c r="R52" s="148">
        <f t="shared" si="10"/>
        <v>0.34320900383309888</v>
      </c>
      <c r="S52" s="148">
        <f t="shared" si="9"/>
        <v>0.4314785204160107</v>
      </c>
    </row>
    <row r="53" spans="1:19" x14ac:dyDescent="0.25">
      <c r="A53" s="152">
        <v>23.5</v>
      </c>
      <c r="B53" s="155">
        <v>48.889771180524534</v>
      </c>
      <c r="C53" s="155">
        <v>73.198990293989851</v>
      </c>
      <c r="D53" s="155">
        <v>88.135958603265166</v>
      </c>
      <c r="E53" s="155">
        <v>106.79986109248193</v>
      </c>
      <c r="F53" s="155">
        <v>120.34061794329948</v>
      </c>
      <c r="G53" s="155">
        <v>134.51112875092713</v>
      </c>
      <c r="H53" s="159">
        <v>166.60274649310921</v>
      </c>
      <c r="I53" s="159">
        <v>180.42254719711246</v>
      </c>
      <c r="J53" s="159">
        <v>226.3339656432978</v>
      </c>
      <c r="K53" s="148">
        <f t="shared" si="1"/>
        <v>8.8886630736498648E-2</v>
      </c>
      <c r="L53" s="148">
        <f t="shared" si="2"/>
        <v>0.1334864501604314</v>
      </c>
      <c r="M53" s="148">
        <f t="shared" si="3"/>
        <v>0.16092916159920684</v>
      </c>
      <c r="N53" s="148">
        <f t="shared" si="4"/>
        <v>0.19524223427522508</v>
      </c>
      <c r="O53" s="148">
        <f t="shared" si="5"/>
        <v>0.22014863078439806</v>
      </c>
      <c r="P53" s="148">
        <f t="shared" si="6"/>
        <v>0.24621637978200608</v>
      </c>
      <c r="Q53" s="148">
        <f t="shared" si="7"/>
        <v>0.30523513476450315</v>
      </c>
      <c r="R53" s="148">
        <f t="shared" si="10"/>
        <v>0.33065072578297727</v>
      </c>
      <c r="S53" s="148">
        <f t="shared" si="9"/>
        <v>0.41508507178394849</v>
      </c>
    </row>
    <row r="54" spans="1:19" x14ac:dyDescent="0.25">
      <c r="A54" s="152">
        <v>24</v>
      </c>
      <c r="B54" s="155">
        <v>48.024124751385642</v>
      </c>
      <c r="C54" s="155">
        <v>71.507078714464143</v>
      </c>
      <c r="D54" s="155">
        <v>85.900430261077076</v>
      </c>
      <c r="E54" s="155">
        <v>103.86440445954136</v>
      </c>
      <c r="F54" s="155">
        <v>116.8870021450555</v>
      </c>
      <c r="G54" s="155">
        <v>130.51337689828779</v>
      </c>
      <c r="H54" s="159">
        <v>161.3855359712376</v>
      </c>
      <c r="I54" s="159">
        <v>174.6801940691264</v>
      </c>
      <c r="J54" s="159">
        <v>218.84701123996498</v>
      </c>
      <c r="K54" s="148">
        <f t="shared" si="1"/>
        <v>8.7222506338719155E-2</v>
      </c>
      <c r="L54" s="148">
        <f t="shared" si="2"/>
        <v>0.13023546210760858</v>
      </c>
      <c r="M54" s="148">
        <f t="shared" si="3"/>
        <v>0.15663274997790802</v>
      </c>
      <c r="N54" s="148">
        <f t="shared" si="4"/>
        <v>0.18959783899682095</v>
      </c>
      <c r="O54" s="148">
        <f t="shared" si="5"/>
        <v>0.21350485807951947</v>
      </c>
      <c r="P54" s="148">
        <f t="shared" si="6"/>
        <v>0.23852205508429342</v>
      </c>
      <c r="Q54" s="148">
        <f t="shared" si="7"/>
        <v>0.2951894542179121</v>
      </c>
      <c r="R54" s="148">
        <f t="shared" si="10"/>
        <v>0.31959246713961498</v>
      </c>
      <c r="S54" s="148">
        <f t="shared" si="9"/>
        <v>0.40066287919493654</v>
      </c>
    </row>
    <row r="55" spans="1:19" x14ac:dyDescent="0.25">
      <c r="A55" s="152">
        <v>24.5</v>
      </c>
      <c r="B55" s="155">
        <v>46.99485619518191</v>
      </c>
      <c r="C55" s="155">
        <v>69.543296501161706</v>
      </c>
      <c r="D55" s="155">
        <v>83.33139001148524</v>
      </c>
      <c r="E55" s="155">
        <v>100.52105514654568</v>
      </c>
      <c r="F55" s="155">
        <v>112.97277480646015</v>
      </c>
      <c r="G55" s="155">
        <v>125.99994662447932</v>
      </c>
      <c r="H55" s="159">
        <v>155.52658780067122</v>
      </c>
      <c r="I55" s="159">
        <v>168.24181767134345</v>
      </c>
      <c r="J55" s="159">
        <v>210.48368871820759</v>
      </c>
      <c r="K55" s="148">
        <f t="shared" si="1"/>
        <v>8.55170828519108E-2</v>
      </c>
      <c r="L55" s="148">
        <f t="shared" si="2"/>
        <v>0.12694533769406327</v>
      </c>
      <c r="M55" s="148">
        <f t="shared" si="3"/>
        <v>0.15230863824530608</v>
      </c>
      <c r="N55" s="148">
        <f t="shared" si="4"/>
        <v>0.18394691364547833</v>
      </c>
      <c r="O55" s="148">
        <f t="shared" si="5"/>
        <v>0.20687379925636407</v>
      </c>
      <c r="P55" s="148">
        <f t="shared" si="6"/>
        <v>0.23086199117049039</v>
      </c>
      <c r="Q55" s="148">
        <f t="shared" si="7"/>
        <v>0.28522091139471789</v>
      </c>
      <c r="R55" s="148">
        <f t="shared" si="10"/>
        <v>0.30862981056642291</v>
      </c>
      <c r="S55" s="148">
        <f t="shared" si="9"/>
        <v>0.38639762996235527</v>
      </c>
    </row>
    <row r="56" spans="1:19" x14ac:dyDescent="0.25">
      <c r="A56" s="153">
        <v>25</v>
      </c>
      <c r="B56" s="155">
        <v>45.931129657153697</v>
      </c>
      <c r="C56" s="155">
        <v>67.534825868922781</v>
      </c>
      <c r="D56" s="155">
        <v>80.715152677201189</v>
      </c>
      <c r="E56" s="155">
        <v>97.129245293047902</v>
      </c>
      <c r="F56" s="155">
        <v>109.00997123334217</v>
      </c>
      <c r="G56" s="155">
        <v>121.43774917918201</v>
      </c>
      <c r="H56" s="159">
        <v>149.61778595855273</v>
      </c>
      <c r="I56" s="159">
        <v>161.75311971614303</v>
      </c>
      <c r="J56" s="159">
        <v>202.06849025310402</v>
      </c>
      <c r="K56" s="148">
        <f t="shared" si="1"/>
        <v>8.3633387267102038E-2</v>
      </c>
      <c r="L56" s="148">
        <f t="shared" si="2"/>
        <v>0.12337031013307603</v>
      </c>
      <c r="M56" s="148">
        <f t="shared" si="3"/>
        <v>0.14764188841981779</v>
      </c>
      <c r="N56" s="148">
        <f t="shared" si="4"/>
        <v>0.17788527039563423</v>
      </c>
      <c r="O56" s="148">
        <f t="shared" si="5"/>
        <v>0.19978447143582209</v>
      </c>
      <c r="P56" s="148">
        <f t="shared" si="6"/>
        <v>0.22269392622329517</v>
      </c>
      <c r="Q56" s="148">
        <f t="shared" si="7"/>
        <v>0.27462993638330158</v>
      </c>
      <c r="R56" s="148">
        <f t="shared" si="10"/>
        <v>0.29699544364873787</v>
      </c>
      <c r="S56" s="148">
        <f t="shared" si="9"/>
        <v>0.37129696107418042</v>
      </c>
    </row>
    <row r="57" spans="1:19" x14ac:dyDescent="0.25">
      <c r="A57" s="154">
        <v>25.5</v>
      </c>
      <c r="B57" s="155">
        <v>44.866755183429596</v>
      </c>
      <c r="C57" s="155">
        <v>65.542751496678747</v>
      </c>
      <c r="D57" s="155">
        <v>78.129713910012157</v>
      </c>
      <c r="E57" s="155">
        <v>93.788199466921455</v>
      </c>
      <c r="F57" s="155">
        <v>105.11326749258303</v>
      </c>
      <c r="G57" s="155">
        <v>116.95763533103343</v>
      </c>
      <c r="H57" s="159">
        <v>143.82655695438015</v>
      </c>
      <c r="I57" s="159">
        <v>155.3972775378445</v>
      </c>
      <c r="J57" s="159">
        <v>193.83691974465555</v>
      </c>
      <c r="K57" s="148">
        <f t="shared" si="1"/>
        <v>8.1718096356524966E-2</v>
      </c>
      <c r="L57" s="148">
        <f t="shared" si="2"/>
        <v>0.11976981962904139</v>
      </c>
      <c r="M57" s="148">
        <f t="shared" si="3"/>
        <v>0.142960379928492</v>
      </c>
      <c r="N57" s="148">
        <f t="shared" si="4"/>
        <v>0.17182570028397243</v>
      </c>
      <c r="O57" s="148">
        <f t="shared" si="5"/>
        <v>0.19271091485333267</v>
      </c>
      <c r="P57" s="148">
        <f t="shared" si="6"/>
        <v>0.21455584605919387</v>
      </c>
      <c r="Q57" s="148">
        <f t="shared" si="7"/>
        <v>0.26409990862163957</v>
      </c>
      <c r="R57" s="148">
        <f t="shared" si="10"/>
        <v>0.28543535752858878</v>
      </c>
      <c r="S57" s="148">
        <f t="shared" si="9"/>
        <v>0.35631486899798359</v>
      </c>
    </row>
    <row r="58" spans="1:19" x14ac:dyDescent="0.25">
      <c r="A58" s="154">
        <v>26</v>
      </c>
      <c r="B58" s="155">
        <v>43.785327575024851</v>
      </c>
      <c r="C58" s="155">
        <v>63.536196368658594</v>
      </c>
      <c r="D58" s="155">
        <v>75.534921254248204</v>
      </c>
      <c r="E58" s="155">
        <v>90.445958479508334</v>
      </c>
      <c r="F58" s="155">
        <v>101.22203987334112</v>
      </c>
      <c r="G58" s="155">
        <v>112.4899125730479</v>
      </c>
      <c r="H58" s="159">
        <v>138.06276656565728</v>
      </c>
      <c r="I58" s="159">
        <v>149.07535397865962</v>
      </c>
      <c r="J58" s="159">
        <v>185.6607953842713</v>
      </c>
      <c r="K58" s="148">
        <f t="shared" si="1"/>
        <v>7.9786874482608988E-2</v>
      </c>
      <c r="L58" s="148">
        <f t="shared" si="2"/>
        <v>0.1161710530788036</v>
      </c>
      <c r="M58" s="148">
        <f t="shared" si="3"/>
        <v>0.13829817164783431</v>
      </c>
      <c r="N58" s="148">
        <f t="shared" si="4"/>
        <v>0.16581074215178679</v>
      </c>
      <c r="O58" s="148">
        <f t="shared" si="5"/>
        <v>0.18570177662933174</v>
      </c>
      <c r="P58" s="148">
        <f t="shared" si="6"/>
        <v>0.20650279311367317</v>
      </c>
      <c r="Q58" s="148">
        <f t="shared" si="7"/>
        <v>0.25370039116803372</v>
      </c>
      <c r="R58" s="148">
        <f t="shared" si="10"/>
        <v>0.27402536836485369</v>
      </c>
      <c r="S58" s="148">
        <f t="shared" si="9"/>
        <v>0.34154794361603419</v>
      </c>
    </row>
    <row r="59" spans="1:19" x14ac:dyDescent="0.25">
      <c r="A59" s="154">
        <v>26.5</v>
      </c>
      <c r="B59" s="155">
        <v>42.414674019769599</v>
      </c>
      <c r="C59" s="155">
        <v>61.049644163026535</v>
      </c>
      <c r="D59" s="155">
        <v>72.353822698989717</v>
      </c>
      <c r="E59" s="155">
        <v>86.392139793709433</v>
      </c>
      <c r="F59" s="155">
        <v>96.532686508807402</v>
      </c>
      <c r="G59" s="155">
        <v>107.1351523779081</v>
      </c>
      <c r="H59" s="159">
        <v>131.20383251571963</v>
      </c>
      <c r="I59" s="159">
        <v>141.5686687600373</v>
      </c>
      <c r="J59" s="159">
        <v>176.0021851421665</v>
      </c>
      <c r="K59" s="148">
        <f t="shared" si="1"/>
        <v>7.7580001435315016E-2</v>
      </c>
      <c r="L59" s="148">
        <f t="shared" si="2"/>
        <v>0.11212725647851662</v>
      </c>
      <c r="M59" s="148">
        <f t="shared" si="3"/>
        <v>0.13309986955791411</v>
      </c>
      <c r="N59" s="148">
        <f t="shared" si="4"/>
        <v>0.15915428844589599</v>
      </c>
      <c r="O59" s="148">
        <f t="shared" si="5"/>
        <v>0.17797925374393367</v>
      </c>
      <c r="P59" s="148">
        <f t="shared" si="6"/>
        <v>0.19766255845586042</v>
      </c>
      <c r="Q59" s="148">
        <f t="shared" si="7"/>
        <v>0.2423399391732392</v>
      </c>
      <c r="R59" s="148">
        <f t="shared" si="10"/>
        <v>0.26157962046482719</v>
      </c>
      <c r="S59" s="148">
        <f t="shared" si="9"/>
        <v>0.32549668247379399</v>
      </c>
    </row>
    <row r="60" spans="1:19" x14ac:dyDescent="0.25">
      <c r="A60" s="154">
        <v>27</v>
      </c>
      <c r="B60" s="155">
        <v>40.899256611265486</v>
      </c>
      <c r="C60" s="155">
        <v>58.327319443759968</v>
      </c>
      <c r="D60" s="155">
        <v>68.886852675249372</v>
      </c>
      <c r="E60" s="155">
        <v>81.993307952475661</v>
      </c>
      <c r="F60" s="155">
        <v>91.457199138369759</v>
      </c>
      <c r="G60" s="155">
        <v>101.35163661496395</v>
      </c>
      <c r="H60" s="159">
        <v>123.81726710124644</v>
      </c>
      <c r="I60" s="159">
        <v>133.4917727152814</v>
      </c>
      <c r="J60" s="159">
        <v>165.63190881559882</v>
      </c>
      <c r="K60" s="148">
        <f t="shared" si="1"/>
        <v>7.4982537567931565E-2</v>
      </c>
      <c r="L60" s="148">
        <f t="shared" si="2"/>
        <v>0.10743926724610785</v>
      </c>
      <c r="M60" s="148">
        <f t="shared" si="3"/>
        <v>0.12711660783681517</v>
      </c>
      <c r="N60" s="148">
        <f t="shared" si="4"/>
        <v>0.15154690297156659</v>
      </c>
      <c r="O60" s="148">
        <f t="shared" si="5"/>
        <v>0.16919089708245946</v>
      </c>
      <c r="P60" s="148">
        <f t="shared" si="6"/>
        <v>0.18763811009358483</v>
      </c>
      <c r="Q60" s="148">
        <f t="shared" si="7"/>
        <v>0.22951898965526946</v>
      </c>
      <c r="R60" s="148">
        <f t="shared" si="10"/>
        <v>0.24755439732778683</v>
      </c>
      <c r="S60" s="148">
        <f t="shared" si="9"/>
        <v>0.30747068456198878</v>
      </c>
    </row>
    <row r="61" spans="1:19" x14ac:dyDescent="0.25">
      <c r="A61" s="154">
        <v>27.5</v>
      </c>
      <c r="B61" s="155">
        <v>39.277919627177923</v>
      </c>
      <c r="C61" s="155">
        <v>55.432268569557642</v>
      </c>
      <c r="D61" s="155">
        <v>65.20984173367421</v>
      </c>
      <c r="E61" s="155">
        <v>77.339704778767199</v>
      </c>
      <c r="F61" s="155">
        <v>86.095339011361801</v>
      </c>
      <c r="G61" s="155">
        <v>95.248674009456181</v>
      </c>
      <c r="H61" s="159">
        <v>116.0355459442973</v>
      </c>
      <c r="I61" s="159">
        <v>124.98711796248034</v>
      </c>
      <c r="J61" s="159">
        <v>154.7255619155045</v>
      </c>
      <c r="K61" s="148">
        <f t="shared" si="1"/>
        <v>7.2159458614599062E-2</v>
      </c>
      <c r="L61" s="148">
        <f t="shared" si="2"/>
        <v>0.10238362921198585</v>
      </c>
      <c r="M61" s="148">
        <f t="shared" si="3"/>
        <v>0.12068702496803121</v>
      </c>
      <c r="N61" s="148">
        <f t="shared" si="4"/>
        <v>0.14339971145811858</v>
      </c>
      <c r="O61" s="148">
        <f t="shared" si="5"/>
        <v>0.1597972843347584</v>
      </c>
      <c r="P61" s="148">
        <f t="shared" si="6"/>
        <v>0.17694027956197811</v>
      </c>
      <c r="Q61" s="148">
        <f t="shared" si="7"/>
        <v>0.21586753174098935</v>
      </c>
      <c r="R61" s="148">
        <f t="shared" si="10"/>
        <v>0.23263100160998557</v>
      </c>
      <c r="S61" s="148">
        <f t="shared" si="9"/>
        <v>0.28832172365799297</v>
      </c>
    </row>
    <row r="62" spans="1:19" x14ac:dyDescent="0.25">
      <c r="A62" s="154">
        <v>28</v>
      </c>
      <c r="B62" s="155">
        <v>37.612720002000337</v>
      </c>
      <c r="C62" s="155">
        <v>52.470429798023439</v>
      </c>
      <c r="D62" s="155">
        <v>61.454469030848692</v>
      </c>
      <c r="E62" s="155">
        <v>72.594473668294498</v>
      </c>
      <c r="F62" s="155">
        <v>80.632729181107237</v>
      </c>
      <c r="G62" s="155">
        <v>89.035353600247674</v>
      </c>
      <c r="H62" s="159">
        <v>108.12132572227176</v>
      </c>
      <c r="I62" s="159">
        <v>116.34042932395266</v>
      </c>
      <c r="J62" s="159">
        <v>143.64550504765765</v>
      </c>
      <c r="K62" s="148">
        <f t="shared" si="1"/>
        <v>6.9201575666260423E-2</v>
      </c>
      <c r="L62" s="148">
        <f t="shared" si="2"/>
        <v>9.711242853082297E-2</v>
      </c>
      <c r="M62" s="148">
        <f t="shared" si="3"/>
        <v>0.1139978796880706</v>
      </c>
      <c r="N62" s="148">
        <f t="shared" si="4"/>
        <v>0.13494076060235552</v>
      </c>
      <c r="O62" s="148">
        <f t="shared" si="5"/>
        <v>0.15005526137322214</v>
      </c>
      <c r="P62" s="148">
        <f t="shared" si="6"/>
        <v>0.16585562484873345</v>
      </c>
      <c r="Q62" s="148">
        <f t="shared" si="7"/>
        <v>0.20174118449991216</v>
      </c>
      <c r="R62" s="148">
        <f t="shared" si="10"/>
        <v>0.2171947925577897</v>
      </c>
      <c r="S62" s="148">
        <f t="shared" si="9"/>
        <v>0.26853396026684595</v>
      </c>
    </row>
    <row r="63" spans="1:19" x14ac:dyDescent="0.25">
      <c r="A63" s="154">
        <v>28.5</v>
      </c>
      <c r="B63" s="155">
        <v>35.865503447180188</v>
      </c>
      <c r="C63" s="155">
        <v>49.377670299324315</v>
      </c>
      <c r="D63" s="155">
        <v>57.541744878536178</v>
      </c>
      <c r="E63" s="155">
        <v>67.660776648096373</v>
      </c>
      <c r="F63" s="155">
        <v>74.959961588383806</v>
      </c>
      <c r="G63" s="155">
        <v>82.589211562473722</v>
      </c>
      <c r="H63" s="159">
        <v>99.922058507758493</v>
      </c>
      <c r="I63" s="159">
        <v>107.38620357957188</v>
      </c>
      <c r="J63" s="159">
        <v>132.18319559667006</v>
      </c>
      <c r="K63" s="148">
        <f t="shared" si="1"/>
        <v>6.6130401104262465E-2</v>
      </c>
      <c r="L63" s="148">
        <f t="shared" si="2"/>
        <v>9.1663290087612981E-2</v>
      </c>
      <c r="M63" s="148">
        <f t="shared" si="3"/>
        <v>0.10709659251844637</v>
      </c>
      <c r="N63" s="148">
        <f t="shared" si="4"/>
        <v>0.12622972528475176</v>
      </c>
      <c r="O63" s="148">
        <f t="shared" si="5"/>
        <v>0.14003342169254193</v>
      </c>
      <c r="P63" s="148">
        <f t="shared" si="6"/>
        <v>0.15446210864644927</v>
      </c>
      <c r="Q63" s="148">
        <f t="shared" si="7"/>
        <v>0.18723904580702722</v>
      </c>
      <c r="R63" s="148">
        <f t="shared" si="10"/>
        <v>0.20135396961317209</v>
      </c>
      <c r="S63" s="148">
        <f t="shared" si="9"/>
        <v>0.24824583057989491</v>
      </c>
    </row>
    <row r="64" spans="1:19" x14ac:dyDescent="0.25">
      <c r="A64" s="154">
        <v>29</v>
      </c>
      <c r="B64" s="155">
        <v>34.110515315512728</v>
      </c>
      <c r="C64" s="155">
        <v>46.279731124594555</v>
      </c>
      <c r="D64" s="155">
        <v>53.627273852075938</v>
      </c>
      <c r="E64" s="155">
        <v>62.730460337962256</v>
      </c>
      <c r="F64" s="155">
        <v>69.294627939206691</v>
      </c>
      <c r="G64" s="155">
        <v>76.154666679903784</v>
      </c>
      <c r="H64" s="159">
        <v>91.743622516760652</v>
      </c>
      <c r="I64" s="159">
        <v>98.456785579453353</v>
      </c>
      <c r="J64" s="159">
        <v>120.75890447900292</v>
      </c>
      <c r="K64" s="148">
        <f t="shared" si="1"/>
        <v>6.2978416886423624E-2</v>
      </c>
      <c r="L64" s="148">
        <f t="shared" si="2"/>
        <v>8.6091661281526982E-2</v>
      </c>
      <c r="M64" s="148">
        <f t="shared" si="3"/>
        <v>0.1000521168575509</v>
      </c>
      <c r="N64" s="148">
        <f t="shared" si="4"/>
        <v>0.11735211328745276</v>
      </c>
      <c r="O64" s="148">
        <f t="shared" si="5"/>
        <v>0.12982913057483145</v>
      </c>
      <c r="P64" s="148">
        <f t="shared" si="6"/>
        <v>0.14286949041813973</v>
      </c>
      <c r="Q64" s="148">
        <f t="shared" si="7"/>
        <v>0.17249911292206721</v>
      </c>
      <c r="R64" s="148">
        <f t="shared" si="10"/>
        <v>0.18525869024312272</v>
      </c>
      <c r="S64" s="148">
        <f t="shared" si="9"/>
        <v>0.22764789006810568</v>
      </c>
    </row>
    <row r="65" spans="1:19" x14ac:dyDescent="0.25">
      <c r="A65" s="154">
        <v>29.5</v>
      </c>
      <c r="B65" s="155">
        <v>32.425936138334748</v>
      </c>
      <c r="C65" s="155">
        <v>43.312406465701741</v>
      </c>
      <c r="D65" s="155">
        <v>49.88195868181284</v>
      </c>
      <c r="E65" s="155">
        <v>58.01860771645125</v>
      </c>
      <c r="F65" s="155">
        <v>63.88422228530797</v>
      </c>
      <c r="G65" s="155">
        <v>70.01351892212503</v>
      </c>
      <c r="H65" s="159">
        <v>83.944558608421062</v>
      </c>
      <c r="I65" s="159">
        <v>89.9437635600341</v>
      </c>
      <c r="J65" s="159">
        <v>109.87400819794317</v>
      </c>
      <c r="K65" s="148">
        <f t="shared" si="1"/>
        <v>5.9882806308462724E-2</v>
      </c>
      <c r="L65" s="148">
        <f t="shared" si="2"/>
        <v>8.0632923831266662E-2</v>
      </c>
      <c r="M65" s="148">
        <f t="shared" si="3"/>
        <v>9.3158309280499896E-2</v>
      </c>
      <c r="N65" s="148">
        <f t="shared" si="4"/>
        <v>0.10867416124897214</v>
      </c>
      <c r="O65" s="148">
        <f t="shared" si="5"/>
        <v>0.11986096520206319</v>
      </c>
      <c r="P65" s="148">
        <f t="shared" si="6"/>
        <v>0.13155136704182593</v>
      </c>
      <c r="Q65" s="148">
        <f t="shared" si="7"/>
        <v>0.15811936301266352</v>
      </c>
      <c r="R65" s="148">
        <f t="shared" si="10"/>
        <v>0.1695604942255387</v>
      </c>
      <c r="S65" s="148">
        <f t="shared" si="9"/>
        <v>0.20756962140925148</v>
      </c>
    </row>
    <row r="66" spans="1:19" x14ac:dyDescent="0.25">
      <c r="A66" s="154">
        <v>30</v>
      </c>
      <c r="B66" s="155">
        <v>30.874401805021876</v>
      </c>
      <c r="C66" s="155">
        <v>40.579067947783344</v>
      </c>
      <c r="D66" s="155">
        <v>46.431496021970062</v>
      </c>
      <c r="E66" s="155">
        <v>53.67683284264163</v>
      </c>
      <c r="F66" s="155">
        <v>58.897991515356694</v>
      </c>
      <c r="G66" s="155">
        <v>64.352969922071793</v>
      </c>
      <c r="H66" s="159">
        <v>76.754629860942188</v>
      </c>
      <c r="I66" s="159">
        <v>82.095229083172512</v>
      </c>
      <c r="J66" s="159">
        <v>99.837488244273217</v>
      </c>
      <c r="K66" s="148">
        <f t="shared" si="1"/>
        <v>5.6970304149020962E-2</v>
      </c>
      <c r="L66" s="148">
        <f t="shared" si="2"/>
        <v>7.5502326972136574E-2</v>
      </c>
      <c r="M66" s="148">
        <f t="shared" si="3"/>
        <v>8.6682109233404608E-2</v>
      </c>
      <c r="N66" s="148">
        <f t="shared" si="4"/>
        <v>0.10052589650318358</v>
      </c>
      <c r="O66" s="148">
        <f t="shared" si="5"/>
        <v>0.11050399242059819</v>
      </c>
      <c r="P66" s="148">
        <f t="shared" si="6"/>
        <v>0.12092983995977714</v>
      </c>
      <c r="Q66" s="148">
        <f t="shared" si="7"/>
        <v>0.14462926962242692</v>
      </c>
      <c r="R66" s="148">
        <f t="shared" si="10"/>
        <v>0.15483509337888593</v>
      </c>
      <c r="S66" s="148">
        <f t="shared" si="9"/>
        <v>0.18874034679799476</v>
      </c>
    </row>
    <row r="67" spans="1:19" x14ac:dyDescent="0.25">
      <c r="A67" s="154">
        <v>30.5</v>
      </c>
      <c r="B67" s="155">
        <v>29.41200614322161</v>
      </c>
      <c r="C67" s="155">
        <v>38.004489430091695</v>
      </c>
      <c r="D67" s="155">
        <v>43.182234387283088</v>
      </c>
      <c r="E67" s="155">
        <v>49.588944937471545</v>
      </c>
      <c r="F67" s="155">
        <v>54.203636469259585</v>
      </c>
      <c r="G67" s="155">
        <v>59.023910246467167</v>
      </c>
      <c r="H67" s="159">
        <v>69.986349941022553</v>
      </c>
      <c r="I67" s="159">
        <v>74.707169347059406</v>
      </c>
      <c r="J67" s="159">
        <v>90.390428447651644</v>
      </c>
      <c r="K67" s="148">
        <f t="shared" si="1"/>
        <v>5.4257767153419137E-2</v>
      </c>
      <c r="L67" s="148">
        <f t="shared" si="2"/>
        <v>7.0725201640087526E-2</v>
      </c>
      <c r="M67" s="148">
        <f t="shared" si="3"/>
        <v>8.0652357368327834E-2</v>
      </c>
      <c r="N67" s="148">
        <f t="shared" si="4"/>
        <v>9.293920000210186E-2</v>
      </c>
      <c r="O67" s="148">
        <f t="shared" si="5"/>
        <v>0.10179146518615464</v>
      </c>
      <c r="P67" s="148">
        <f t="shared" si="6"/>
        <v>0.11103919215168506</v>
      </c>
      <c r="Q67" s="148">
        <f t="shared" si="7"/>
        <v>0.13206688182176826</v>
      </c>
      <c r="R67" s="148">
        <f t="shared" si="10"/>
        <v>0.1411221585872087</v>
      </c>
      <c r="S67" s="148">
        <f t="shared" si="9"/>
        <v>0.17120512502273236</v>
      </c>
    </row>
    <row r="68" spans="1:19" x14ac:dyDescent="0.25">
      <c r="A68" s="154">
        <v>31</v>
      </c>
      <c r="B68" s="155">
        <v>28.082152339787434</v>
      </c>
      <c r="C68" s="155">
        <v>35.662719743013078</v>
      </c>
      <c r="D68" s="155">
        <v>40.226168138414295</v>
      </c>
      <c r="E68" s="155">
        <v>45.868842723288388</v>
      </c>
      <c r="F68" s="155">
        <v>49.93068650696182</v>
      </c>
      <c r="G68" s="155">
        <v>54.172177494123297</v>
      </c>
      <c r="H68" s="159">
        <v>63.822815968273929</v>
      </c>
      <c r="I68" s="159">
        <v>67.978726756275208</v>
      </c>
      <c r="J68" s="159">
        <v>81.785276018427112</v>
      </c>
      <c r="K68" s="148">
        <f t="shared" si="1"/>
        <v>5.1744742634708137E-2</v>
      </c>
      <c r="L68" s="148">
        <f t="shared" si="2"/>
        <v>6.6300488255794293E-2</v>
      </c>
      <c r="M68" s="148">
        <f t="shared" si="3"/>
        <v>7.5067562273127636E-2</v>
      </c>
      <c r="N68" s="148">
        <f t="shared" si="4"/>
        <v>8.5912008894683936E-2</v>
      </c>
      <c r="O68" s="148">
        <f t="shared" si="5"/>
        <v>9.3720890678599261E-2</v>
      </c>
      <c r="P68" s="148">
        <f t="shared" si="6"/>
        <v>0.1018764789665314</v>
      </c>
      <c r="Q68" s="148">
        <f t="shared" si="7"/>
        <v>0.12042824931836685</v>
      </c>
      <c r="R68" s="148">
        <f t="shared" si="10"/>
        <v>0.12841730649300115</v>
      </c>
      <c r="S68" s="148">
        <f t="shared" si="9"/>
        <v>0.15495813401947087</v>
      </c>
    </row>
    <row r="69" spans="1:19" x14ac:dyDescent="0.25">
      <c r="A69" s="154">
        <v>31.5</v>
      </c>
      <c r="B69" s="155">
        <v>26.890223604498093</v>
      </c>
      <c r="C69" s="155">
        <v>33.563310797998881</v>
      </c>
      <c r="D69" s="155">
        <v>37.575440174288794</v>
      </c>
      <c r="E69" s="155">
        <v>42.531957481210583</v>
      </c>
      <c r="F69" s="155">
        <v>46.096993047286155</v>
      </c>
      <c r="G69" s="155">
        <v>49.818175462127925</v>
      </c>
      <c r="H69" s="159">
        <v>58.290148281312604</v>
      </c>
      <c r="I69" s="159">
        <v>61.938483397088667</v>
      </c>
      <c r="J69" s="159">
        <v>74.05879133204941</v>
      </c>
      <c r="K69" s="148">
        <f t="shared" si="1"/>
        <v>4.9475138349856979E-2</v>
      </c>
      <c r="L69" s="148">
        <f t="shared" si="2"/>
        <v>6.230342748691077E-2</v>
      </c>
      <c r="M69" s="148">
        <f t="shared" si="3"/>
        <v>7.0021447481432769E-2</v>
      </c>
      <c r="N69" s="148">
        <f t="shared" si="4"/>
        <v>7.9560720184049083E-2</v>
      </c>
      <c r="O69" s="148">
        <f t="shared" si="5"/>
        <v>8.6424911598823179E-2</v>
      </c>
      <c r="P69" s="148">
        <f t="shared" si="6"/>
        <v>9.3591317660626103E-2</v>
      </c>
      <c r="Q69" s="148">
        <f t="shared" si="7"/>
        <v>0.10990166782462787</v>
      </c>
      <c r="R69" s="148">
        <f t="shared" si="10"/>
        <v>0.11692548913802747</v>
      </c>
      <c r="S69" s="148">
        <f t="shared" si="9"/>
        <v>0.14025966061542885</v>
      </c>
    </row>
    <row r="70" spans="1:19" x14ac:dyDescent="0.25">
      <c r="A70" s="154">
        <v>32</v>
      </c>
      <c r="B70" s="155">
        <v>25.862921168808768</v>
      </c>
      <c r="C70" s="155">
        <v>31.752258507908088</v>
      </c>
      <c r="D70" s="155">
        <v>35.288004106748815</v>
      </c>
      <c r="E70" s="155">
        <v>39.651616506997108</v>
      </c>
      <c r="F70" s="155">
        <v>42.78741254862134</v>
      </c>
      <c r="G70" s="155">
        <v>46.059148175295931</v>
      </c>
      <c r="H70" s="159">
        <v>53.512779870730533</v>
      </c>
      <c r="I70" s="159">
        <v>56.722580803157577</v>
      </c>
      <c r="J70" s="159">
        <v>67.386013431019222</v>
      </c>
      <c r="K70" s="148">
        <f t="shared" si="1"/>
        <v>4.7477830295976173E-2</v>
      </c>
      <c r="L70" s="148">
        <f t="shared" si="2"/>
        <v>5.8784012375316261E-2</v>
      </c>
      <c r="M70" s="148">
        <f t="shared" si="3"/>
        <v>6.5577099852933834E-2</v>
      </c>
      <c r="N70" s="148">
        <f t="shared" si="4"/>
        <v>7.3965216589386915E-2</v>
      </c>
      <c r="O70" s="148">
        <f t="shared" si="5"/>
        <v>7.9995965036316743E-2</v>
      </c>
      <c r="P70" s="148">
        <f t="shared" si="6"/>
        <v>8.6289591273681465E-2</v>
      </c>
      <c r="Q70" s="148">
        <f t="shared" si="7"/>
        <v>0.10062263533683882</v>
      </c>
      <c r="R70" s="148">
        <f t="shared" si="10"/>
        <v>0.10679495778022162</v>
      </c>
      <c r="S70" s="148">
        <f t="shared" si="9"/>
        <v>0.12730032428676177</v>
      </c>
    </row>
    <row r="71" spans="1:19" x14ac:dyDescent="0.25">
      <c r="A71" s="154">
        <v>32.5</v>
      </c>
      <c r="B71" s="155">
        <v>24.92038818420005</v>
      </c>
      <c r="C71" s="155">
        <v>30.100799966693785</v>
      </c>
      <c r="D71" s="155">
        <v>33.210133525237772</v>
      </c>
      <c r="E71" s="155">
        <v>37.046999066440172</v>
      </c>
      <c r="F71" s="155">
        <v>39.80401266851721</v>
      </c>
      <c r="G71" s="155">
        <v>42.680502402734881</v>
      </c>
      <c r="H71" s="159">
        <v>49.233997665962875</v>
      </c>
      <c r="I71" s="159">
        <v>52.056167591457019</v>
      </c>
      <c r="J71" s="159">
        <v>61.431832780179157</v>
      </c>
      <c r="K71" s="148">
        <f t="shared" si="1"/>
        <v>4.5704978417707938E-2</v>
      </c>
      <c r="L71" s="148">
        <f t="shared" si="2"/>
        <v>5.5667752627141687E-2</v>
      </c>
      <c r="M71" s="148">
        <f t="shared" si="3"/>
        <v>6.1648323868787935E-2</v>
      </c>
      <c r="N71" s="148">
        <f t="shared" si="4"/>
        <v>6.9028754016093555E-2</v>
      </c>
      <c r="O71" s="148">
        <f t="shared" si="5"/>
        <v>7.433228269542469E-2</v>
      </c>
      <c r="P71" s="148">
        <f t="shared" si="6"/>
        <v>7.9865685520227742E-2</v>
      </c>
      <c r="Q71" s="148">
        <f t="shared" si="7"/>
        <v>9.2472099783024064E-2</v>
      </c>
      <c r="R71" s="148">
        <f t="shared" si="10"/>
        <v>9.7900873555153131E-2</v>
      </c>
      <c r="S71" s="148">
        <f t="shared" si="9"/>
        <v>0.11593606159007853</v>
      </c>
    </row>
    <row r="72" spans="1:19" x14ac:dyDescent="0.25">
      <c r="A72" s="154">
        <v>33</v>
      </c>
      <c r="B72" s="155">
        <v>24.121813257047691</v>
      </c>
      <c r="C72" s="155">
        <v>28.699256645432918</v>
      </c>
      <c r="D72" s="155">
        <v>31.445357635183257</v>
      </c>
      <c r="E72" s="155">
        <v>34.833229631278357</v>
      </c>
      <c r="F72" s="155">
        <v>37.267240523128123</v>
      </c>
      <c r="G72" s="155">
        <v>39.806689407662532</v>
      </c>
      <c r="H72" s="159">
        <v>45.592730994218186</v>
      </c>
      <c r="I72" s="159">
        <v>48.084407862417009</v>
      </c>
      <c r="J72" s="159">
        <v>56.362126317171501</v>
      </c>
      <c r="K72" s="148">
        <f t="shared" ref="K72:K113" si="11">(B72+B71)*($A72-$A71)/2*(3600/1000000)</f>
        <v>4.4137981297122965E-2</v>
      </c>
      <c r="L72" s="148">
        <f t="shared" ref="L72:L113" si="12">(C72+C71)*($A72-$A71)/2*(3600/1000000)</f>
        <v>5.2920050950914031E-2</v>
      </c>
      <c r="M72" s="148">
        <f t="shared" ref="M72:M113" si="13">(D72+D71)*($A72-$A71)/2*(3600/1000000)</f>
        <v>5.8189942044378933E-2</v>
      </c>
      <c r="N72" s="148">
        <f t="shared" ref="N72:N113" si="14">(E72+E71)*($A72-$A71)/2*(3600/1000000)</f>
        <v>6.4692205827946686E-2</v>
      </c>
      <c r="O72" s="148">
        <f t="shared" ref="O72:O113" si="15">(F72+F71)*($A72-$A71)/2*(3600/1000000)</f>
        <v>6.9364127872480794E-2</v>
      </c>
      <c r="P72" s="148">
        <f t="shared" ref="P72:P113" si="16">(G72+G71)*($A72-$A71)/2*(3600/1000000)</f>
        <v>7.4238472629357663E-2</v>
      </c>
      <c r="Q72" s="148">
        <f t="shared" ref="Q72:Q113" si="17">(H72+H71)*($A72-$A71)/2*(3600/1000000)</f>
        <v>8.5344055794162946E-2</v>
      </c>
      <c r="R72" s="148">
        <f t="shared" si="10"/>
        <v>9.0126517908486622E-2</v>
      </c>
      <c r="S72" s="148">
        <f t="shared" si="9"/>
        <v>0.1060145631876156</v>
      </c>
    </row>
    <row r="73" spans="1:19" x14ac:dyDescent="0.25">
      <c r="A73" s="154">
        <v>33.5</v>
      </c>
      <c r="B73" s="155">
        <v>23.406227623568792</v>
      </c>
      <c r="C73" s="155">
        <v>27.443129050156337</v>
      </c>
      <c r="D73" s="155">
        <v>29.863526329916333</v>
      </c>
      <c r="E73" s="155">
        <v>32.848736991770039</v>
      </c>
      <c r="F73" s="155">
        <v>34.993044365027842</v>
      </c>
      <c r="G73" s="155">
        <v>37.230188708597673</v>
      </c>
      <c r="H73" s="159">
        <v>42.327919074645159</v>
      </c>
      <c r="I73" s="159">
        <v>44.5231844634922</v>
      </c>
      <c r="J73" s="159">
        <v>51.816180218386727</v>
      </c>
      <c r="K73" s="148">
        <f t="shared" si="11"/>
        <v>4.2775236792554835E-2</v>
      </c>
      <c r="L73" s="148">
        <f t="shared" si="12"/>
        <v>5.0528147126030327E-2</v>
      </c>
      <c r="M73" s="148">
        <f t="shared" si="13"/>
        <v>5.5177995568589627E-2</v>
      </c>
      <c r="N73" s="148">
        <f t="shared" si="14"/>
        <v>6.0913769960743554E-2</v>
      </c>
      <c r="O73" s="148">
        <f t="shared" si="15"/>
        <v>6.5034256399340365E-2</v>
      </c>
      <c r="P73" s="148">
        <f t="shared" si="16"/>
        <v>6.9333190304634182E-2</v>
      </c>
      <c r="Q73" s="148">
        <f t="shared" si="17"/>
        <v>7.9128585061977022E-2</v>
      </c>
      <c r="R73" s="148">
        <f t="shared" si="10"/>
        <v>8.3346833093318293E-2</v>
      </c>
      <c r="S73" s="148">
        <f t="shared" ref="S73:S113" si="18">(J73+J72)*($A73-$A72)/2*(3600/1000000)</f>
        <v>9.736047588200239E-2</v>
      </c>
    </row>
    <row r="74" spans="1:19" x14ac:dyDescent="0.25">
      <c r="A74" s="154">
        <v>34</v>
      </c>
      <c r="B74" s="155">
        <v>22.769072739959469</v>
      </c>
      <c r="C74" s="155">
        <v>26.324485568963325</v>
      </c>
      <c r="D74" s="155">
        <v>28.454729182008805</v>
      </c>
      <c r="E74" s="155">
        <v>31.081222379606501</v>
      </c>
      <c r="F74" s="155">
        <v>32.967444272383283</v>
      </c>
      <c r="G74" s="155">
        <v>34.935284814787906</v>
      </c>
      <c r="H74" s="159">
        <v>39.419829312671041</v>
      </c>
      <c r="I74" s="159">
        <v>41.351034891239216</v>
      </c>
      <c r="J74" s="159">
        <v>47.766784967690526</v>
      </c>
      <c r="K74" s="148">
        <f t="shared" si="11"/>
        <v>4.155777032717544E-2</v>
      </c>
      <c r="L74" s="148">
        <f t="shared" si="12"/>
        <v>4.8390853157207696E-2</v>
      </c>
      <c r="M74" s="148">
        <f t="shared" si="13"/>
        <v>5.248642996073262E-2</v>
      </c>
      <c r="N74" s="148">
        <f t="shared" si="14"/>
        <v>5.7536963434238884E-2</v>
      </c>
      <c r="O74" s="148">
        <f t="shared" si="15"/>
        <v>6.1164439773670004E-2</v>
      </c>
      <c r="P74" s="148">
        <f t="shared" si="16"/>
        <v>6.4948926171047014E-2</v>
      </c>
      <c r="Q74" s="148">
        <f t="shared" si="17"/>
        <v>7.3572973548584567E-2</v>
      </c>
      <c r="R74" s="148">
        <f t="shared" si="10"/>
        <v>7.7286797419258285E-2</v>
      </c>
      <c r="S74" s="148">
        <f t="shared" si="18"/>
        <v>8.9624668667469515E-2</v>
      </c>
    </row>
    <row r="75" spans="1:19" x14ac:dyDescent="0.25">
      <c r="A75" s="154">
        <v>34.5</v>
      </c>
      <c r="B75" s="155">
        <v>22.205151961838691</v>
      </c>
      <c r="C75" s="155">
        <v>25.338677028927226</v>
      </c>
      <c r="D75" s="155">
        <v>27.215778312081497</v>
      </c>
      <c r="E75" s="155">
        <v>29.529958447459762</v>
      </c>
      <c r="F75" s="155">
        <v>31.191800154011943</v>
      </c>
      <c r="G75" s="155">
        <v>32.925549639800039</v>
      </c>
      <c r="H75" s="159">
        <v>36.876711398581271</v>
      </c>
      <c r="I75" s="159">
        <v>38.578223254241394</v>
      </c>
      <c r="J75" s="159">
        <v>44.230896868682748</v>
      </c>
      <c r="K75" s="148">
        <f t="shared" si="11"/>
        <v>4.0476802231618349E-2</v>
      </c>
      <c r="L75" s="148">
        <f t="shared" si="12"/>
        <v>4.6496846338101493E-2</v>
      </c>
      <c r="M75" s="148">
        <f t="shared" si="13"/>
        <v>5.0103456744681273E-2</v>
      </c>
      <c r="N75" s="148">
        <f t="shared" si="14"/>
        <v>5.4550062744359633E-2</v>
      </c>
      <c r="O75" s="148">
        <f t="shared" si="15"/>
        <v>5.7743319983755696E-2</v>
      </c>
      <c r="P75" s="148">
        <f t="shared" si="16"/>
        <v>6.1074751009129145E-2</v>
      </c>
      <c r="Q75" s="148">
        <f t="shared" si="17"/>
        <v>6.8666886640127073E-2</v>
      </c>
      <c r="R75" s="148">
        <f t="shared" si="10"/>
        <v>7.1936332330932551E-2</v>
      </c>
      <c r="S75" s="148">
        <f t="shared" si="18"/>
        <v>8.2797913652735949E-2</v>
      </c>
    </row>
    <row r="76" spans="1:19" x14ac:dyDescent="0.25">
      <c r="A76" s="154">
        <v>35</v>
      </c>
      <c r="B76" s="155">
        <v>21.695111335902769</v>
      </c>
      <c r="C76" s="155">
        <v>24.446775930161362</v>
      </c>
      <c r="D76" s="155">
        <v>26.094679657195208</v>
      </c>
      <c r="E76" s="155">
        <v>28.126047184002946</v>
      </c>
      <c r="F76" s="155">
        <v>29.58468377876936</v>
      </c>
      <c r="G76" s="155">
        <v>31.106432453967926</v>
      </c>
      <c r="H76" s="159">
        <v>34.574565389334651</v>
      </c>
      <c r="I76" s="159">
        <v>36.068067722772916</v>
      </c>
      <c r="J76" s="159">
        <v>41.029702991577906</v>
      </c>
      <c r="K76" s="148">
        <f t="shared" si="11"/>
        <v>3.9510236967967315E-2</v>
      </c>
      <c r="L76" s="148">
        <f t="shared" si="12"/>
        <v>4.4806907663179726E-2</v>
      </c>
      <c r="M76" s="148">
        <f t="shared" si="13"/>
        <v>4.797941217234903E-2</v>
      </c>
      <c r="N76" s="148">
        <f t="shared" si="14"/>
        <v>5.1890405068316429E-2</v>
      </c>
      <c r="O76" s="148">
        <f t="shared" si="15"/>
        <v>5.4698835539503173E-2</v>
      </c>
      <c r="P76" s="148">
        <f t="shared" si="16"/>
        <v>5.7628783884391167E-2</v>
      </c>
      <c r="Q76" s="148">
        <f t="shared" si="17"/>
        <v>6.4306149109124341E-2</v>
      </c>
      <c r="R76" s="148">
        <f t="shared" si="10"/>
        <v>6.7181661879312876E-2</v>
      </c>
      <c r="S76" s="148">
        <f t="shared" si="18"/>
        <v>7.6734539874234592E-2</v>
      </c>
    </row>
    <row r="77" spans="1:19" x14ac:dyDescent="0.25">
      <c r="A77" s="154">
        <v>35.5</v>
      </c>
      <c r="B77" s="155">
        <v>21.262301452782864</v>
      </c>
      <c r="C77" s="155">
        <v>23.689083565912803</v>
      </c>
      <c r="D77" s="155">
        <v>25.141796601173564</v>
      </c>
      <c r="E77" s="155">
        <v>26.932219794378362</v>
      </c>
      <c r="F77" s="155">
        <v>28.217694815992047</v>
      </c>
      <c r="G77" s="155">
        <v>29.558792162030407</v>
      </c>
      <c r="H77" s="159">
        <v>32.615353090143344</v>
      </c>
      <c r="I77" s="159">
        <v>33.931617767278681</v>
      </c>
      <c r="J77" s="159">
        <v>38.304443372526961</v>
      </c>
      <c r="K77" s="148">
        <f t="shared" si="11"/>
        <v>3.8661671509817065E-2</v>
      </c>
      <c r="L77" s="148">
        <f t="shared" si="12"/>
        <v>4.3322273546466741E-2</v>
      </c>
      <c r="M77" s="148">
        <f t="shared" si="13"/>
        <v>4.611282863253189E-2</v>
      </c>
      <c r="N77" s="148">
        <f t="shared" si="14"/>
        <v>4.9552440280543182E-2</v>
      </c>
      <c r="O77" s="148">
        <f t="shared" si="15"/>
        <v>5.2022140735285265E-2</v>
      </c>
      <c r="P77" s="148">
        <f t="shared" si="16"/>
        <v>5.45987021543985E-2</v>
      </c>
      <c r="Q77" s="148">
        <f t="shared" si="17"/>
        <v>6.0470926631530197E-2</v>
      </c>
      <c r="R77" s="148">
        <f t="shared" si="10"/>
        <v>6.2999716941046446E-2</v>
      </c>
      <c r="S77" s="148">
        <f t="shared" si="18"/>
        <v>7.1400731727694372E-2</v>
      </c>
    </row>
    <row r="78" spans="1:19" x14ac:dyDescent="0.25">
      <c r="A78" s="154">
        <v>36</v>
      </c>
      <c r="B78" s="155">
        <v>20.863718143031864</v>
      </c>
      <c r="C78" s="155">
        <v>22.991459124974526</v>
      </c>
      <c r="D78" s="155">
        <v>24.26454214979146</v>
      </c>
      <c r="E78" s="155">
        <v>25.83324745645638</v>
      </c>
      <c r="F78" s="155">
        <v>26.959386757114494</v>
      </c>
      <c r="G78" s="155">
        <v>28.134256421492815</v>
      </c>
      <c r="H78" s="159">
        <v>30.812098697510152</v>
      </c>
      <c r="I78" s="159">
        <v>31.965273550477157</v>
      </c>
      <c r="J78" s="159">
        <v>35.796290679461499</v>
      </c>
      <c r="K78" s="148">
        <f t="shared" si="11"/>
        <v>3.7913417636233251E-2</v>
      </c>
      <c r="L78" s="148">
        <f t="shared" si="12"/>
        <v>4.2012488421798597E-2</v>
      </c>
      <c r="M78" s="148">
        <f t="shared" si="13"/>
        <v>4.4465704875868518E-2</v>
      </c>
      <c r="N78" s="148">
        <f t="shared" si="14"/>
        <v>4.7488920525751273E-2</v>
      </c>
      <c r="O78" s="148">
        <f t="shared" si="15"/>
        <v>4.9659373415795884E-2</v>
      </c>
      <c r="P78" s="148">
        <f t="shared" si="16"/>
        <v>5.1923743725170897E-2</v>
      </c>
      <c r="Q78" s="148">
        <f t="shared" si="17"/>
        <v>5.7084706608888147E-2</v>
      </c>
      <c r="R78" s="148">
        <f t="shared" si="10"/>
        <v>5.9307202185980248E-2</v>
      </c>
      <c r="S78" s="148">
        <f t="shared" si="18"/>
        <v>6.6690660646789621E-2</v>
      </c>
    </row>
    <row r="79" spans="1:19" x14ac:dyDescent="0.25">
      <c r="A79" s="154">
        <v>36.5</v>
      </c>
      <c r="B79" s="155">
        <v>20.522707863453743</v>
      </c>
      <c r="C79" s="155">
        <v>22.396090553002004</v>
      </c>
      <c r="D79" s="155">
        <v>23.516750357374946</v>
      </c>
      <c r="E79" s="155">
        <v>24.897519146263761</v>
      </c>
      <c r="F79" s="155">
        <v>25.888691294869606</v>
      </c>
      <c r="G79" s="155">
        <v>26.922757856705505</v>
      </c>
      <c r="H79" s="159">
        <v>29.279715046242252</v>
      </c>
      <c r="I79" s="159">
        <v>30.294705281042759</v>
      </c>
      <c r="J79" s="159">
        <v>33.666652705380017</v>
      </c>
      <c r="K79" s="148">
        <f t="shared" si="11"/>
        <v>3.7247783405837044E-2</v>
      </c>
      <c r="L79" s="148">
        <f t="shared" si="12"/>
        <v>4.0848794710178875E-2</v>
      </c>
      <c r="M79" s="148">
        <f t="shared" si="13"/>
        <v>4.3003163256449761E-2</v>
      </c>
      <c r="N79" s="148">
        <f t="shared" si="14"/>
        <v>4.5657689942448121E-2</v>
      </c>
      <c r="O79" s="148">
        <f t="shared" si="15"/>
        <v>4.7563270246785694E-2</v>
      </c>
      <c r="P79" s="148">
        <f t="shared" si="16"/>
        <v>4.955131285037849E-2</v>
      </c>
      <c r="Q79" s="148">
        <f t="shared" si="17"/>
        <v>5.4082632369377159E-2</v>
      </c>
      <c r="R79" s="148">
        <f t="shared" si="10"/>
        <v>5.6033980948367923E-2</v>
      </c>
      <c r="S79" s="148">
        <f t="shared" si="18"/>
        <v>6.2516649046357356E-2</v>
      </c>
    </row>
    <row r="80" spans="1:19" x14ac:dyDescent="0.25">
      <c r="A80" s="154">
        <v>37</v>
      </c>
      <c r="B80" s="155">
        <v>20.211162420691494</v>
      </c>
      <c r="C80" s="155">
        <v>21.852109414805732</v>
      </c>
      <c r="D80" s="155">
        <v>22.833465346678516</v>
      </c>
      <c r="E80" s="155">
        <v>24.042461627304036</v>
      </c>
      <c r="F80" s="155">
        <v>24.910268703348287</v>
      </c>
      <c r="G80" s="155">
        <v>25.815634594347436</v>
      </c>
      <c r="H80" s="159">
        <v>27.879295713734329</v>
      </c>
      <c r="I80" s="159">
        <v>28.767982149539669</v>
      </c>
      <c r="J80" s="159">
        <v>31.720329704731899</v>
      </c>
      <c r="K80" s="148">
        <f t="shared" si="11"/>
        <v>3.6660483255730715E-2</v>
      </c>
      <c r="L80" s="148">
        <f t="shared" si="12"/>
        <v>3.9823379971026959E-2</v>
      </c>
      <c r="M80" s="148">
        <f t="shared" si="13"/>
        <v>4.1715194133648111E-2</v>
      </c>
      <c r="N80" s="148">
        <f t="shared" si="14"/>
        <v>4.4045982696211017E-2</v>
      </c>
      <c r="O80" s="148">
        <f t="shared" si="15"/>
        <v>4.5719063998396106E-2</v>
      </c>
      <c r="P80" s="148">
        <f t="shared" si="16"/>
        <v>4.7464553205947647E-2</v>
      </c>
      <c r="Q80" s="148">
        <f t="shared" si="17"/>
        <v>5.1443109683978923E-2</v>
      </c>
      <c r="R80" s="148">
        <f t="shared" si="10"/>
        <v>5.3156418687524187E-2</v>
      </c>
      <c r="S80" s="148">
        <f t="shared" si="18"/>
        <v>5.884828416910072E-2</v>
      </c>
    </row>
    <row r="81" spans="1:19" x14ac:dyDescent="0.25">
      <c r="A81" s="154">
        <v>37.5</v>
      </c>
      <c r="B81" s="155">
        <v>19.948251956442718</v>
      </c>
      <c r="C81" s="155">
        <v>21.392455477308037</v>
      </c>
      <c r="D81" s="155">
        <v>22.255768148056791</v>
      </c>
      <c r="E81" s="155">
        <v>23.319147823459748</v>
      </c>
      <c r="F81" s="155">
        <v>24.082350665488686</v>
      </c>
      <c r="G81" s="155">
        <v>24.87859400377031</v>
      </c>
      <c r="H81" s="159">
        <v>26.693589495924066</v>
      </c>
      <c r="I81" s="159">
        <v>27.475191600926692</v>
      </c>
      <c r="J81" s="159">
        <v>30.071789198083074</v>
      </c>
      <c r="K81" s="148">
        <f t="shared" si="11"/>
        <v>3.6143472939420787E-2</v>
      </c>
      <c r="L81" s="148">
        <f t="shared" si="12"/>
        <v>3.8920108402902394E-2</v>
      </c>
      <c r="M81" s="148">
        <f t="shared" si="13"/>
        <v>4.0580310145261776E-2</v>
      </c>
      <c r="N81" s="148">
        <f t="shared" si="14"/>
        <v>4.2625448505687398E-2</v>
      </c>
      <c r="O81" s="148">
        <f t="shared" si="15"/>
        <v>4.4093357431953271E-2</v>
      </c>
      <c r="P81" s="148">
        <f t="shared" si="16"/>
        <v>4.5624805738305969E-2</v>
      </c>
      <c r="Q81" s="148">
        <f t="shared" si="17"/>
        <v>4.9115596688692552E-2</v>
      </c>
      <c r="R81" s="148">
        <f t="shared" si="10"/>
        <v>5.0618856375419727E-2</v>
      </c>
      <c r="S81" s="148">
        <f t="shared" si="18"/>
        <v>5.5612907012533477E-2</v>
      </c>
    </row>
    <row r="82" spans="1:19" x14ac:dyDescent="0.25">
      <c r="A82" s="154">
        <v>38</v>
      </c>
      <c r="B82" s="155">
        <v>19.714773947371924</v>
      </c>
      <c r="C82" s="155">
        <v>20.984121830608959</v>
      </c>
      <c r="D82" s="155">
        <v>21.742494861544628</v>
      </c>
      <c r="E82" s="155">
        <v>22.676410272306907</v>
      </c>
      <c r="F82" s="155">
        <v>23.346607562516169</v>
      </c>
      <c r="G82" s="155">
        <v>24.045829973749179</v>
      </c>
      <c r="H82" s="159">
        <v>25.639737871394729</v>
      </c>
      <c r="I82" s="159">
        <v>26.326131734831684</v>
      </c>
      <c r="J82" s="159">
        <v>28.606433495914189</v>
      </c>
      <c r="K82" s="148">
        <f t="shared" si="11"/>
        <v>3.5696723313433175E-2</v>
      </c>
      <c r="L82" s="148">
        <f t="shared" si="12"/>
        <v>3.8138919577125292E-2</v>
      </c>
      <c r="M82" s="148">
        <f t="shared" si="13"/>
        <v>3.9598436708641271E-2</v>
      </c>
      <c r="N82" s="148">
        <f t="shared" si="14"/>
        <v>4.139600228618999E-2</v>
      </c>
      <c r="O82" s="148">
        <f t="shared" si="15"/>
        <v>4.2686062405204374E-2</v>
      </c>
      <c r="P82" s="148">
        <f t="shared" si="16"/>
        <v>4.4031981579767537E-2</v>
      </c>
      <c r="Q82" s="148">
        <f t="shared" si="17"/>
        <v>4.7099994630586915E-2</v>
      </c>
      <c r="R82" s="148">
        <f t="shared" si="10"/>
        <v>4.8421191002182534E-2</v>
      </c>
      <c r="S82" s="148">
        <f t="shared" si="18"/>
        <v>5.2810400424597538E-2</v>
      </c>
    </row>
    <row r="83" spans="1:19" x14ac:dyDescent="0.25">
      <c r="A83" s="154">
        <v>38.5</v>
      </c>
      <c r="B83" s="155">
        <v>19.513816736275182</v>
      </c>
      <c r="C83" s="155">
        <v>20.633653404325457</v>
      </c>
      <c r="D83" s="155">
        <v>21.302529972787354</v>
      </c>
      <c r="E83" s="155">
        <v>22.126151867161653</v>
      </c>
      <c r="F83" s="155">
        <v>22.717167069314797</v>
      </c>
      <c r="G83" s="155">
        <v>23.333784757969774</v>
      </c>
      <c r="H83" s="159">
        <v>24.739413069316008</v>
      </c>
      <c r="I83" s="159">
        <v>25.34472699530037</v>
      </c>
      <c r="J83" s="159">
        <v>27.355669232630966</v>
      </c>
      <c r="K83" s="148">
        <f t="shared" si="11"/>
        <v>3.5305731615282394E-2</v>
      </c>
      <c r="L83" s="148">
        <f t="shared" si="12"/>
        <v>3.7455997711440973E-2</v>
      </c>
      <c r="M83" s="148">
        <f t="shared" si="13"/>
        <v>3.8740522350898782E-2</v>
      </c>
      <c r="N83" s="148">
        <f t="shared" si="14"/>
        <v>4.0322305925521704E-2</v>
      </c>
      <c r="O83" s="148">
        <f t="shared" si="15"/>
        <v>4.1457397168647867E-2</v>
      </c>
      <c r="P83" s="148">
        <f t="shared" si="16"/>
        <v>4.2641653258547053E-2</v>
      </c>
      <c r="Q83" s="148">
        <f t="shared" si="17"/>
        <v>4.5341235846639662E-2</v>
      </c>
      <c r="R83" s="148">
        <f t="shared" si="10"/>
        <v>4.6503772857118847E-2</v>
      </c>
      <c r="S83" s="148">
        <f t="shared" si="18"/>
        <v>5.036589245569064E-2</v>
      </c>
    </row>
    <row r="84" spans="1:19" x14ac:dyDescent="0.25">
      <c r="A84" s="154">
        <v>39</v>
      </c>
      <c r="B84" s="155">
        <v>19.337196397535028</v>
      </c>
      <c r="C84" s="155">
        <v>20.325352406800341</v>
      </c>
      <c r="D84" s="155">
        <v>20.915344384823129</v>
      </c>
      <c r="E84" s="155">
        <v>21.64172210305988</v>
      </c>
      <c r="F84" s="155">
        <v>22.162912178290597</v>
      </c>
      <c r="G84" s="155">
        <v>22.706689246373823</v>
      </c>
      <c r="H84" s="159">
        <v>23.946299890566905</v>
      </c>
      <c r="I84" s="159">
        <v>24.480120659309012</v>
      </c>
      <c r="J84" s="159">
        <v>26.253552072244197</v>
      </c>
      <c r="K84" s="148">
        <f t="shared" si="11"/>
        <v>3.4965911820429192E-2</v>
      </c>
      <c r="L84" s="148">
        <f t="shared" si="12"/>
        <v>3.6863105230013217E-2</v>
      </c>
      <c r="M84" s="148">
        <f t="shared" si="13"/>
        <v>3.7996086921849435E-2</v>
      </c>
      <c r="N84" s="148">
        <f t="shared" si="14"/>
        <v>3.9391086573199376E-2</v>
      </c>
      <c r="O84" s="148">
        <f t="shared" si="15"/>
        <v>4.0392071322844857E-2</v>
      </c>
      <c r="P84" s="148">
        <f t="shared" si="16"/>
        <v>4.1436426603909234E-2</v>
      </c>
      <c r="Q84" s="148">
        <f t="shared" si="17"/>
        <v>4.3817141663894624E-2</v>
      </c>
      <c r="R84" s="148">
        <f t="shared" si="10"/>
        <v>4.4842362889148446E-2</v>
      </c>
      <c r="S84" s="148">
        <f t="shared" si="18"/>
        <v>4.8248299174387645E-2</v>
      </c>
    </row>
    <row r="85" spans="1:19" x14ac:dyDescent="0.25">
      <c r="A85" s="154">
        <v>39.5</v>
      </c>
      <c r="B85" s="155">
        <v>19.172946038014612</v>
      </c>
      <c r="C85" s="155">
        <v>20.038706937902553</v>
      </c>
      <c r="D85" s="155">
        <v>20.555389676865399</v>
      </c>
      <c r="E85" s="155">
        <v>21.191401232518203</v>
      </c>
      <c r="F85" s="155">
        <v>21.647706598689837</v>
      </c>
      <c r="G85" s="155">
        <v>22.123795798584236</v>
      </c>
      <c r="H85" s="159">
        <v>23.209132834813673</v>
      </c>
      <c r="I85" s="159">
        <v>23.676517859085884</v>
      </c>
      <c r="J85" s="159">
        <v>25.229239919587535</v>
      </c>
      <c r="K85" s="148">
        <f t="shared" si="11"/>
        <v>3.4659128191994674E-2</v>
      </c>
      <c r="L85" s="148">
        <f t="shared" si="12"/>
        <v>3.6327653410232606E-2</v>
      </c>
      <c r="M85" s="148">
        <f t="shared" si="13"/>
        <v>3.7323660655519675E-2</v>
      </c>
      <c r="N85" s="148">
        <f t="shared" si="14"/>
        <v>3.8549811002020269E-2</v>
      </c>
      <c r="O85" s="148">
        <f t="shared" si="15"/>
        <v>3.9429556899282389E-2</v>
      </c>
      <c r="P85" s="148">
        <f t="shared" si="16"/>
        <v>4.0347436540462252E-2</v>
      </c>
      <c r="Q85" s="148">
        <f t="shared" si="17"/>
        <v>4.2439889452842522E-2</v>
      </c>
      <c r="R85" s="148">
        <f t="shared" si="10"/>
        <v>4.3340974666555405E-2</v>
      </c>
      <c r="S85" s="148">
        <f t="shared" si="18"/>
        <v>4.6334512792648559E-2</v>
      </c>
    </row>
    <row r="86" spans="1:19" x14ac:dyDescent="0.25">
      <c r="A86" s="154">
        <v>40</v>
      </c>
      <c r="B86" s="155">
        <v>19.029174134097307</v>
      </c>
      <c r="C86" s="155">
        <v>19.78764987875164</v>
      </c>
      <c r="D86" s="155">
        <v>20.240042357901501</v>
      </c>
      <c r="E86" s="155">
        <v>20.79679215353605</v>
      </c>
      <c r="F86" s="155">
        <v>21.196181255720823</v>
      </c>
      <c r="G86" s="155">
        <v>21.612897434776634</v>
      </c>
      <c r="H86" s="159">
        <v>22.562913147974228</v>
      </c>
      <c r="I86" s="159">
        <v>22.972023960883018</v>
      </c>
      <c r="J86" s="159">
        <v>24.331150486989397</v>
      </c>
      <c r="K86" s="148">
        <f t="shared" si="11"/>
        <v>3.4381908154900727E-2</v>
      </c>
      <c r="L86" s="148">
        <f t="shared" si="12"/>
        <v>3.5843721134988779E-2</v>
      </c>
      <c r="M86" s="148">
        <f t="shared" si="13"/>
        <v>3.6715888831290212E-2</v>
      </c>
      <c r="N86" s="148">
        <f t="shared" si="14"/>
        <v>3.7789374047448823E-2</v>
      </c>
      <c r="O86" s="148">
        <f t="shared" si="15"/>
        <v>3.8559499068969591E-2</v>
      </c>
      <c r="P86" s="148">
        <f t="shared" si="16"/>
        <v>3.9363023910024782E-2</v>
      </c>
      <c r="Q86" s="148">
        <f t="shared" si="17"/>
        <v>4.1194841384509108E-2</v>
      </c>
      <c r="R86" s="148">
        <f t="shared" si="10"/>
        <v>4.1983687637972007E-2</v>
      </c>
      <c r="S86" s="148">
        <f t="shared" si="18"/>
        <v>4.4604351365919233E-2</v>
      </c>
    </row>
    <row r="87" spans="1:19" x14ac:dyDescent="0.25">
      <c r="A87" s="154">
        <v>40.5</v>
      </c>
      <c r="B87" s="155">
        <v>18.906272788504687</v>
      </c>
      <c r="C87" s="155">
        <v>19.573726278124234</v>
      </c>
      <c r="D87" s="155">
        <v>19.971729762425181</v>
      </c>
      <c r="E87" s="155">
        <v>20.461499240231621</v>
      </c>
      <c r="F87" s="155">
        <v>20.812821774978023</v>
      </c>
      <c r="G87" s="155">
        <v>21.179391026475798</v>
      </c>
      <c r="H87" s="159">
        <v>22.015092621198825</v>
      </c>
      <c r="I87" s="159">
        <v>22.37497567788591</v>
      </c>
      <c r="J87" s="159">
        <v>23.570560329296022</v>
      </c>
      <c r="K87" s="148">
        <f t="shared" si="11"/>
        <v>3.4141902230341796E-2</v>
      </c>
      <c r="L87" s="148">
        <f t="shared" si="12"/>
        <v>3.5425238541188286E-2</v>
      </c>
      <c r="M87" s="148">
        <f t="shared" si="13"/>
        <v>3.6190594908294016E-2</v>
      </c>
      <c r="N87" s="148">
        <f t="shared" si="14"/>
        <v>3.7132462254390902E-2</v>
      </c>
      <c r="O87" s="148">
        <f t="shared" si="15"/>
        <v>3.780810272762896E-2</v>
      </c>
      <c r="P87" s="148">
        <f t="shared" si="16"/>
        <v>3.8513059615127188E-2</v>
      </c>
      <c r="Q87" s="148">
        <f t="shared" si="17"/>
        <v>4.0120205192255745E-2</v>
      </c>
      <c r="R87" s="148">
        <f t="shared" si="10"/>
        <v>4.0812299674892034E-2</v>
      </c>
      <c r="S87" s="148">
        <f t="shared" si="18"/>
        <v>4.3111539734656874E-2</v>
      </c>
    </row>
    <row r="88" spans="1:19" x14ac:dyDescent="0.25">
      <c r="A88" s="154">
        <v>41</v>
      </c>
      <c r="B88" s="155">
        <v>18.797525933330302</v>
      </c>
      <c r="C88" s="155">
        <v>19.384309392311653</v>
      </c>
      <c r="D88" s="155">
        <v>19.73408088997115</v>
      </c>
      <c r="E88" s="155">
        <v>20.164439342563352</v>
      </c>
      <c r="F88" s="155">
        <v>20.473122054478367</v>
      </c>
      <c r="G88" s="155">
        <v>20.795207434022004</v>
      </c>
      <c r="H88" s="159">
        <v>21.529507002505195</v>
      </c>
      <c r="I88" s="159">
        <v>21.845722712632348</v>
      </c>
      <c r="J88" s="159">
        <v>22.896237991242693</v>
      </c>
      <c r="K88" s="148">
        <f t="shared" si="11"/>
        <v>3.3933418849651488E-2</v>
      </c>
      <c r="L88" s="148">
        <f t="shared" si="12"/>
        <v>3.50622321033923E-2</v>
      </c>
      <c r="M88" s="148">
        <f t="shared" si="13"/>
        <v>3.5735229587156699E-2</v>
      </c>
      <c r="N88" s="148">
        <f t="shared" si="14"/>
        <v>3.6563344724515473E-2</v>
      </c>
      <c r="O88" s="148">
        <f t="shared" si="15"/>
        <v>3.7157349446510744E-2</v>
      </c>
      <c r="P88" s="148">
        <f t="shared" si="16"/>
        <v>3.7777138614448022E-2</v>
      </c>
      <c r="Q88" s="148">
        <f t="shared" si="17"/>
        <v>3.9190139661333612E-2</v>
      </c>
      <c r="R88" s="148">
        <f t="shared" ref="R88:R113" si="19">(I88+I87)*($A88-$A87)/2*(3600/1000000)</f>
        <v>3.9798628551466431E-2</v>
      </c>
      <c r="S88" s="148">
        <f t="shared" si="18"/>
        <v>4.1820118488484839E-2</v>
      </c>
    </row>
    <row r="89" spans="1:19" x14ac:dyDescent="0.25">
      <c r="A89" s="154">
        <v>41.5</v>
      </c>
      <c r="B89" s="155">
        <v>18.695719425399872</v>
      </c>
      <c r="C89" s="155">
        <v>19.207017479579896</v>
      </c>
      <c r="D89" s="155">
        <v>19.51166408211219</v>
      </c>
      <c r="E89" s="155">
        <v>19.886441565240123</v>
      </c>
      <c r="F89" s="155">
        <v>20.155234266547492</v>
      </c>
      <c r="G89" s="155">
        <v>20.435703896209379</v>
      </c>
      <c r="H89" s="159">
        <v>21.075139447564634</v>
      </c>
      <c r="I89" s="159">
        <v>21.350503312165596</v>
      </c>
      <c r="J89" s="159">
        <v>22.26530272812181</v>
      </c>
      <c r="K89" s="148">
        <f t="shared" si="11"/>
        <v>3.3743920822857161E-2</v>
      </c>
      <c r="L89" s="148">
        <f t="shared" si="12"/>
        <v>3.47321941847024E-2</v>
      </c>
      <c r="M89" s="148">
        <f t="shared" si="13"/>
        <v>3.5321170474875006E-2</v>
      </c>
      <c r="N89" s="148">
        <f t="shared" si="14"/>
        <v>3.6045792817023123E-2</v>
      </c>
      <c r="O89" s="148">
        <f t="shared" si="15"/>
        <v>3.6565520688923277E-2</v>
      </c>
      <c r="P89" s="148">
        <f t="shared" si="16"/>
        <v>3.7107820197208242E-2</v>
      </c>
      <c r="Q89" s="148">
        <f t="shared" si="17"/>
        <v>3.8344181805062848E-2</v>
      </c>
      <c r="R89" s="148">
        <f t="shared" si="19"/>
        <v>3.8876603422318148E-2</v>
      </c>
      <c r="S89" s="148">
        <f t="shared" si="18"/>
        <v>4.0645386647428054E-2</v>
      </c>
    </row>
    <row r="90" spans="1:19" x14ac:dyDescent="0.25">
      <c r="A90" s="154">
        <v>42</v>
      </c>
      <c r="B90" s="155">
        <v>18.599290424957335</v>
      </c>
      <c r="C90" s="155">
        <v>19.039180968084583</v>
      </c>
      <c r="D90" s="155">
        <v>19.301160207061542</v>
      </c>
      <c r="E90" s="155">
        <v>19.62339258205845</v>
      </c>
      <c r="F90" s="155">
        <v>19.854477549575339</v>
      </c>
      <c r="G90" s="155">
        <v>20.095607081746344</v>
      </c>
      <c r="H90" s="159">
        <v>20.645364319028225</v>
      </c>
      <c r="I90" s="159">
        <v>20.882109487684296</v>
      </c>
      <c r="J90" s="159">
        <v>21.668611893622252</v>
      </c>
      <c r="K90" s="148">
        <f t="shared" si="11"/>
        <v>3.3565508865321482E-2</v>
      </c>
      <c r="L90" s="148">
        <f t="shared" si="12"/>
        <v>3.4421578602898031E-2</v>
      </c>
      <c r="M90" s="148">
        <f t="shared" si="13"/>
        <v>3.4931541860256356E-2</v>
      </c>
      <c r="N90" s="148">
        <f t="shared" si="14"/>
        <v>3.5558850732568717E-2</v>
      </c>
      <c r="O90" s="148">
        <f t="shared" si="15"/>
        <v>3.6008740634510546E-2</v>
      </c>
      <c r="P90" s="148">
        <f t="shared" si="16"/>
        <v>3.6478179880160153E-2</v>
      </c>
      <c r="Q90" s="148">
        <f t="shared" si="17"/>
        <v>3.7548453389933567E-2</v>
      </c>
      <c r="R90" s="148">
        <f t="shared" si="19"/>
        <v>3.8009351519864898E-2</v>
      </c>
      <c r="S90" s="148">
        <f t="shared" si="18"/>
        <v>3.9540523159569657E-2</v>
      </c>
    </row>
    <row r="91" spans="1:19" x14ac:dyDescent="0.25">
      <c r="A91" s="154">
        <v>42.5</v>
      </c>
      <c r="B91" s="155">
        <v>18.521924605963633</v>
      </c>
      <c r="C91" s="155">
        <v>18.904875844468297</v>
      </c>
      <c r="D91" s="155">
        <v>19.132911182706142</v>
      </c>
      <c r="E91" s="155">
        <v>19.413377789269035</v>
      </c>
      <c r="F91" s="155">
        <v>19.614505094751767</v>
      </c>
      <c r="G91" s="155">
        <v>19.824376568915802</v>
      </c>
      <c r="H91" s="159">
        <v>20.302870616172889</v>
      </c>
      <c r="I91" s="159">
        <v>20.508927301263366</v>
      </c>
      <c r="J91" s="159">
        <v>21.19347803361093</v>
      </c>
      <c r="K91" s="148">
        <f t="shared" si="11"/>
        <v>3.3409093527828865E-2</v>
      </c>
      <c r="L91" s="148">
        <f t="shared" si="12"/>
        <v>3.4149651131297594E-2</v>
      </c>
      <c r="M91" s="148">
        <f t="shared" si="13"/>
        <v>3.4590664250790909E-2</v>
      </c>
      <c r="N91" s="148">
        <f t="shared" si="14"/>
        <v>3.5133093334194739E-2</v>
      </c>
      <c r="O91" s="148">
        <f t="shared" si="15"/>
        <v>3.5522084379894396E-2</v>
      </c>
      <c r="P91" s="148">
        <f t="shared" si="16"/>
        <v>3.5927985285595931E-2</v>
      </c>
      <c r="Q91" s="148">
        <f t="shared" si="17"/>
        <v>3.6853411441681E-2</v>
      </c>
      <c r="R91" s="148">
        <f t="shared" si="19"/>
        <v>3.7251933110052891E-2</v>
      </c>
      <c r="S91" s="148">
        <f t="shared" si="18"/>
        <v>3.8575880934509865E-2</v>
      </c>
    </row>
    <row r="92" spans="1:19" x14ac:dyDescent="0.25">
      <c r="A92" s="154">
        <v>43</v>
      </c>
      <c r="B92" s="155">
        <v>18.457531779866251</v>
      </c>
      <c r="C92" s="155">
        <v>18.792923389012071</v>
      </c>
      <c r="D92" s="155">
        <v>18.992570710114645</v>
      </c>
      <c r="E92" s="155">
        <v>19.23809244579477</v>
      </c>
      <c r="F92" s="155">
        <v>19.414148902197436</v>
      </c>
      <c r="G92" s="155">
        <v>19.597863580225546</v>
      </c>
      <c r="H92" s="159">
        <v>20.016726246342291</v>
      </c>
      <c r="I92" s="159">
        <v>20.197103521635338</v>
      </c>
      <c r="J92" s="159">
        <v>20.79634346304513</v>
      </c>
      <c r="K92" s="148">
        <f t="shared" si="11"/>
        <v>3.3281510747246897E-2</v>
      </c>
      <c r="L92" s="148">
        <f t="shared" si="12"/>
        <v>3.3928019310132326E-2</v>
      </c>
      <c r="M92" s="148">
        <f t="shared" si="13"/>
        <v>3.431293370353871E-2</v>
      </c>
      <c r="N92" s="148">
        <f t="shared" si="14"/>
        <v>3.4786323211557425E-2</v>
      </c>
      <c r="O92" s="148">
        <f t="shared" si="15"/>
        <v>3.5125788597254279E-2</v>
      </c>
      <c r="P92" s="148">
        <f t="shared" si="16"/>
        <v>3.5480016134227209E-2</v>
      </c>
      <c r="Q92" s="148">
        <f t="shared" si="17"/>
        <v>3.6287637176263661E-2</v>
      </c>
      <c r="R92" s="148">
        <f t="shared" si="19"/>
        <v>3.6635427740608829E-2</v>
      </c>
      <c r="S92" s="148">
        <f t="shared" si="18"/>
        <v>3.7790839346990457E-2</v>
      </c>
    </row>
    <row r="93" spans="1:19" x14ac:dyDescent="0.25">
      <c r="A93" s="154">
        <v>43.5</v>
      </c>
      <c r="B93" s="155">
        <v>18.3999457822318</v>
      </c>
      <c r="C93" s="155">
        <v>18.692784062745712</v>
      </c>
      <c r="D93" s="155">
        <v>18.867026913869225</v>
      </c>
      <c r="E93" s="155">
        <v>19.081274309044197</v>
      </c>
      <c r="F93" s="155">
        <v>19.234892461319408</v>
      </c>
      <c r="G93" s="155">
        <v>19.395197149026657</v>
      </c>
      <c r="H93" s="159">
        <v>19.760690951755599</v>
      </c>
      <c r="I93" s="159">
        <v>19.918085681832515</v>
      </c>
      <c r="J93" s="159">
        <v>20.440974214638373</v>
      </c>
      <c r="K93" s="148">
        <f t="shared" si="11"/>
        <v>3.3171729805888249E-2</v>
      </c>
      <c r="L93" s="148">
        <f t="shared" si="12"/>
        <v>3.3737136706582002E-2</v>
      </c>
      <c r="M93" s="148">
        <f t="shared" si="13"/>
        <v>3.4073637861585487E-2</v>
      </c>
      <c r="N93" s="148">
        <f t="shared" si="14"/>
        <v>3.4487430079355071E-2</v>
      </c>
      <c r="O93" s="148">
        <f t="shared" si="15"/>
        <v>3.4784137227165161E-2</v>
      </c>
      <c r="P93" s="148">
        <f t="shared" si="16"/>
        <v>3.5093754656326984E-2</v>
      </c>
      <c r="Q93" s="148">
        <f t="shared" si="17"/>
        <v>3.5799675478288107E-2</v>
      </c>
      <c r="R93" s="148">
        <f t="shared" si="19"/>
        <v>3.6103670283121066E-2</v>
      </c>
      <c r="S93" s="148">
        <f t="shared" si="18"/>
        <v>3.7113585909915155E-2</v>
      </c>
    </row>
    <row r="94" spans="1:19" x14ac:dyDescent="0.25">
      <c r="A94" s="154">
        <v>44</v>
      </c>
      <c r="B94" s="155">
        <v>18.347357737586464</v>
      </c>
      <c r="C94" s="155">
        <v>18.601347358837934</v>
      </c>
      <c r="D94" s="155">
        <v>18.752399962241046</v>
      </c>
      <c r="E94" s="155">
        <v>18.938100000624495</v>
      </c>
      <c r="F94" s="155">
        <v>19.071236823468944</v>
      </c>
      <c r="G94" s="155">
        <v>19.210173117960032</v>
      </c>
      <c r="H94" s="159">
        <v>19.526952141717569</v>
      </c>
      <c r="I94" s="159">
        <v>19.663368542121827</v>
      </c>
      <c r="J94" s="159">
        <v>20.116563966283625</v>
      </c>
      <c r="K94" s="148">
        <f t="shared" si="11"/>
        <v>3.3072573167836433E-2</v>
      </c>
      <c r="L94" s="148">
        <f t="shared" si="12"/>
        <v>3.3564718279425275E-2</v>
      </c>
      <c r="M94" s="148">
        <f t="shared" si="13"/>
        <v>3.3857484188499237E-2</v>
      </c>
      <c r="N94" s="148">
        <f t="shared" si="14"/>
        <v>3.4217436878701823E-2</v>
      </c>
      <c r="O94" s="148">
        <f t="shared" si="15"/>
        <v>3.4475516356309521E-2</v>
      </c>
      <c r="P94" s="148">
        <f t="shared" si="16"/>
        <v>3.4744833240288021E-2</v>
      </c>
      <c r="Q94" s="148">
        <f t="shared" si="17"/>
        <v>3.5358878784125844E-2</v>
      </c>
      <c r="R94" s="148">
        <f t="shared" si="19"/>
        <v>3.5623308801558902E-2</v>
      </c>
      <c r="S94" s="148">
        <f t="shared" si="18"/>
        <v>3.6501784362829796E-2</v>
      </c>
    </row>
    <row r="95" spans="1:19" x14ac:dyDescent="0.25">
      <c r="A95" s="154">
        <v>44.5</v>
      </c>
      <c r="B95" s="155">
        <v>18.303403036281058</v>
      </c>
      <c r="C95" s="155">
        <v>18.525137029855493</v>
      </c>
      <c r="D95" s="155">
        <v>18.65698163563987</v>
      </c>
      <c r="E95" s="155">
        <v>18.819057080820468</v>
      </c>
      <c r="F95" s="155">
        <v>18.935252305091225</v>
      </c>
      <c r="G95" s="155">
        <v>19.056510589428257</v>
      </c>
      <c r="H95" s="159">
        <v>19.332984625449821</v>
      </c>
      <c r="I95" s="159">
        <v>19.452044253678761</v>
      </c>
      <c r="J95" s="159">
        <v>19.847577917929264</v>
      </c>
      <c r="K95" s="148">
        <f t="shared" si="11"/>
        <v>3.2985684696480763E-2</v>
      </c>
      <c r="L95" s="148">
        <f t="shared" si="12"/>
        <v>3.3413835949824083E-2</v>
      </c>
      <c r="M95" s="148">
        <f t="shared" si="13"/>
        <v>3.3668443438092825E-2</v>
      </c>
      <c r="N95" s="148">
        <f t="shared" si="14"/>
        <v>3.3981441373300461E-2</v>
      </c>
      <c r="O95" s="148">
        <f t="shared" si="15"/>
        <v>3.420584021570415E-2</v>
      </c>
      <c r="P95" s="148">
        <f t="shared" si="16"/>
        <v>3.4440015336649456E-2</v>
      </c>
      <c r="Q95" s="148">
        <f t="shared" si="17"/>
        <v>3.4973943090450647E-2</v>
      </c>
      <c r="R95" s="148">
        <f t="shared" si="19"/>
        <v>3.5203871516220529E-2</v>
      </c>
      <c r="S95" s="148">
        <f t="shared" si="18"/>
        <v>3.5967727695791603E-2</v>
      </c>
    </row>
    <row r="96" spans="1:19" x14ac:dyDescent="0.25">
      <c r="A96" s="154">
        <v>45</v>
      </c>
      <c r="B96" s="155">
        <v>18.260291208257097</v>
      </c>
      <c r="C96" s="155">
        <v>18.450390743438344</v>
      </c>
      <c r="D96" s="155">
        <v>18.56339777555532</v>
      </c>
      <c r="E96" s="155">
        <v>18.702304421265183</v>
      </c>
      <c r="F96" s="155">
        <v>18.801884968087911</v>
      </c>
      <c r="G96" s="155">
        <v>18.905806326077251</v>
      </c>
      <c r="H96" s="159">
        <v>19.142753043038425</v>
      </c>
      <c r="I96" s="159">
        <v>19.244790791093962</v>
      </c>
      <c r="J96" s="159">
        <v>19.583775256110673</v>
      </c>
      <c r="K96" s="148">
        <f t="shared" si="11"/>
        <v>3.2907324820084335E-2</v>
      </c>
      <c r="L96" s="148">
        <f t="shared" si="12"/>
        <v>3.3277974995964452E-2</v>
      </c>
      <c r="M96" s="148">
        <f t="shared" si="13"/>
        <v>3.3498341470075667E-2</v>
      </c>
      <c r="N96" s="148">
        <f t="shared" si="14"/>
        <v>3.376922535187709E-2</v>
      </c>
      <c r="O96" s="148">
        <f t="shared" si="15"/>
        <v>3.3963423545861224E-2</v>
      </c>
      <c r="P96" s="148">
        <f t="shared" si="16"/>
        <v>3.4166085223954958E-2</v>
      </c>
      <c r="Q96" s="148">
        <f t="shared" si="17"/>
        <v>3.4628163901639426E-2</v>
      </c>
      <c r="R96" s="148">
        <f t="shared" si="19"/>
        <v>3.4827151540295455E-2</v>
      </c>
      <c r="S96" s="148">
        <f t="shared" si="18"/>
        <v>3.5488217856635945E-2</v>
      </c>
    </row>
    <row r="97" spans="1:19" x14ac:dyDescent="0.25">
      <c r="A97" s="154">
        <v>45.5</v>
      </c>
      <c r="B97" s="155">
        <v>18.223376757031883</v>
      </c>
      <c r="C97" s="155">
        <v>18.386342577941356</v>
      </c>
      <c r="D97" s="155">
        <v>18.483182238909738</v>
      </c>
      <c r="E97" s="155">
        <v>18.602200063713667</v>
      </c>
      <c r="F97" s="155">
        <v>18.687516522744648</v>
      </c>
      <c r="G97" s="155">
        <v>18.776554397800947</v>
      </c>
      <c r="H97" s="159">
        <v>18.979567931753664</v>
      </c>
      <c r="I97" s="159">
        <v>19.066992835103242</v>
      </c>
      <c r="J97" s="159">
        <v>19.357431272405542</v>
      </c>
      <c r="K97" s="148">
        <f t="shared" si="11"/>
        <v>3.283530116876008E-2</v>
      </c>
      <c r="L97" s="148">
        <f t="shared" si="12"/>
        <v>3.3153059989241729E-2</v>
      </c>
      <c r="M97" s="148">
        <f t="shared" si="13"/>
        <v>3.3341922013018548E-2</v>
      </c>
      <c r="N97" s="148">
        <f t="shared" si="14"/>
        <v>3.3574054036480963E-2</v>
      </c>
      <c r="O97" s="148">
        <f t="shared" si="15"/>
        <v>3.3740461341749309E-2</v>
      </c>
      <c r="P97" s="148">
        <f t="shared" si="16"/>
        <v>3.3914124651490379E-2</v>
      </c>
      <c r="Q97" s="148">
        <f t="shared" si="17"/>
        <v>3.4310088877312878E-2</v>
      </c>
      <c r="R97" s="148">
        <f t="shared" si="19"/>
        <v>3.4480605263577484E-2</v>
      </c>
      <c r="S97" s="148">
        <f t="shared" si="18"/>
        <v>3.5047085875664595E-2</v>
      </c>
    </row>
    <row r="98" spans="1:19" x14ac:dyDescent="0.25">
      <c r="A98" s="154">
        <v>46</v>
      </c>
      <c r="B98" s="155">
        <v>18.191006122856837</v>
      </c>
      <c r="C98" s="155">
        <v>18.33015801576332</v>
      </c>
      <c r="D98" s="155">
        <v>18.412804235046607</v>
      </c>
      <c r="E98" s="155">
        <v>18.514359865500289</v>
      </c>
      <c r="F98" s="155">
        <v>18.587152006731927</v>
      </c>
      <c r="G98" s="155">
        <v>18.663122035415714</v>
      </c>
      <c r="H98" s="159">
        <v>18.836341953271138</v>
      </c>
      <c r="I98" s="159">
        <v>18.910936657781129</v>
      </c>
      <c r="J98" s="159">
        <v>19.158751280146546</v>
      </c>
      <c r="K98" s="148">
        <f t="shared" si="11"/>
        <v>3.2772944591899847E-2</v>
      </c>
      <c r="L98" s="148">
        <f t="shared" si="12"/>
        <v>3.3044850534334209E-2</v>
      </c>
      <c r="M98" s="148">
        <f t="shared" si="13"/>
        <v>3.3206387826560706E-2</v>
      </c>
      <c r="N98" s="148">
        <f t="shared" si="14"/>
        <v>3.3404903936292557E-2</v>
      </c>
      <c r="O98" s="148">
        <f t="shared" si="15"/>
        <v>3.3547201676528915E-2</v>
      </c>
      <c r="P98" s="148">
        <f t="shared" si="16"/>
        <v>3.3695708789894994E-2</v>
      </c>
      <c r="Q98" s="148">
        <f t="shared" si="17"/>
        <v>3.4034318896522323E-2</v>
      </c>
      <c r="R98" s="148">
        <f t="shared" si="19"/>
        <v>3.4180136543595932E-2</v>
      </c>
      <c r="S98" s="148">
        <f t="shared" si="18"/>
        <v>3.4664564297296876E-2</v>
      </c>
    </row>
    <row r="99" spans="1:19" x14ac:dyDescent="0.25">
      <c r="A99" s="154">
        <v>46.5</v>
      </c>
      <c r="B99" s="155">
        <v>18.166625843086965</v>
      </c>
      <c r="C99" s="155">
        <v>18.287941961663321</v>
      </c>
      <c r="D99" s="155">
        <v>18.359979243101844</v>
      </c>
      <c r="E99" s="155">
        <v>18.44849197559796</v>
      </c>
      <c r="F99" s="155">
        <v>18.511932916695837</v>
      </c>
      <c r="G99" s="155">
        <v>18.578144592421822</v>
      </c>
      <c r="H99" s="159">
        <v>18.729115014151247</v>
      </c>
      <c r="I99" s="159">
        <v>18.794128288248601</v>
      </c>
      <c r="J99" s="159">
        <v>19.01011198407538</v>
      </c>
      <c r="K99" s="148">
        <f t="shared" si="11"/>
        <v>3.2721868769349419E-2</v>
      </c>
      <c r="L99" s="148">
        <f t="shared" si="12"/>
        <v>3.2956289979683973E-2</v>
      </c>
      <c r="M99" s="148">
        <f t="shared" si="13"/>
        <v>3.3095505130333609E-2</v>
      </c>
      <c r="N99" s="148">
        <f t="shared" si="14"/>
        <v>3.3266566656988426E-2</v>
      </c>
      <c r="O99" s="148">
        <f t="shared" si="15"/>
        <v>3.3389176431084987E-2</v>
      </c>
      <c r="P99" s="148">
        <f t="shared" si="16"/>
        <v>3.3517139965053781E-2</v>
      </c>
      <c r="Q99" s="148">
        <f t="shared" si="17"/>
        <v>3.3808911270680149E-2</v>
      </c>
      <c r="R99" s="148">
        <f t="shared" si="19"/>
        <v>3.3934558451426754E-2</v>
      </c>
      <c r="S99" s="148">
        <f t="shared" si="18"/>
        <v>3.4351976937799733E-2</v>
      </c>
    </row>
    <row r="100" spans="1:19" x14ac:dyDescent="0.25">
      <c r="A100" s="154">
        <v>47</v>
      </c>
      <c r="B100" s="155">
        <v>18.143100364646155</v>
      </c>
      <c r="C100" s="155">
        <v>18.247203416630118</v>
      </c>
      <c r="D100" s="155">
        <v>18.309001583281312</v>
      </c>
      <c r="E100" s="155">
        <v>18.384925838528829</v>
      </c>
      <c r="F100" s="155">
        <v>18.439341285583914</v>
      </c>
      <c r="G100" s="155">
        <v>18.49613453065966</v>
      </c>
      <c r="H100" s="159">
        <v>18.625630530245477</v>
      </c>
      <c r="I100" s="159">
        <v>18.681396148564225</v>
      </c>
      <c r="J100" s="159">
        <v>18.866657766468791</v>
      </c>
      <c r="K100" s="148">
        <f t="shared" si="11"/>
        <v>3.2678753586959805E-2</v>
      </c>
      <c r="L100" s="148">
        <f t="shared" si="12"/>
        <v>3.2881630840464089E-2</v>
      </c>
      <c r="M100" s="148">
        <f t="shared" si="13"/>
        <v>3.3002082743744839E-2</v>
      </c>
      <c r="N100" s="148">
        <f t="shared" si="14"/>
        <v>3.315007603271411E-2</v>
      </c>
      <c r="O100" s="148">
        <f t="shared" si="15"/>
        <v>3.3256146782051771E-2</v>
      </c>
      <c r="P100" s="148">
        <f t="shared" si="16"/>
        <v>3.3366851210773332E-2</v>
      </c>
      <c r="Q100" s="148">
        <f t="shared" si="17"/>
        <v>3.3619270989957047E-2</v>
      </c>
      <c r="R100" s="148">
        <f t="shared" si="19"/>
        <v>3.3727971993131545E-2</v>
      </c>
      <c r="S100" s="148">
        <f t="shared" si="18"/>
        <v>3.408909277548975E-2</v>
      </c>
    </row>
    <row r="101" spans="1:19" x14ac:dyDescent="0.25">
      <c r="A101" s="154">
        <v>47.5</v>
      </c>
      <c r="B101" s="155">
        <v>18.120556131493089</v>
      </c>
      <c r="C101" s="155">
        <v>18.208169261687186</v>
      </c>
      <c r="D101" s="155">
        <v>18.260159548903641</v>
      </c>
      <c r="E101" s="155">
        <v>18.324025946939592</v>
      </c>
      <c r="F101" s="155">
        <v>18.369796490748968</v>
      </c>
      <c r="G101" s="155">
        <v>18.417568383697535</v>
      </c>
      <c r="H101" s="159">
        <v>18.526495297374911</v>
      </c>
      <c r="I101" s="159">
        <v>18.57340313014349</v>
      </c>
      <c r="J101" s="159">
        <v>18.729237876589448</v>
      </c>
      <c r="K101" s="148">
        <f t="shared" si="11"/>
        <v>3.2637290846525321E-2</v>
      </c>
      <c r="L101" s="148">
        <f t="shared" si="12"/>
        <v>3.2809835410485572E-2</v>
      </c>
      <c r="M101" s="148">
        <f t="shared" si="13"/>
        <v>3.2912245018966453E-2</v>
      </c>
      <c r="N101" s="148">
        <f t="shared" si="14"/>
        <v>3.3038056606921579E-2</v>
      </c>
      <c r="O101" s="148">
        <f t="shared" si="15"/>
        <v>3.3128223998699594E-2</v>
      </c>
      <c r="P101" s="148">
        <f t="shared" si="16"/>
        <v>3.3222332622921472E-2</v>
      </c>
      <c r="Q101" s="148">
        <f t="shared" si="17"/>
        <v>3.3436913244858348E-2</v>
      </c>
      <c r="R101" s="148">
        <f t="shared" si="19"/>
        <v>3.3529319350836945E-2</v>
      </c>
      <c r="S101" s="148">
        <f t="shared" si="18"/>
        <v>3.3836306078752418E-2</v>
      </c>
    </row>
    <row r="102" spans="1:19" x14ac:dyDescent="0.25">
      <c r="A102" s="154">
        <v>48</v>
      </c>
      <c r="B102" s="155">
        <v>18.098980811987371</v>
      </c>
      <c r="C102" s="155">
        <v>18.170828029995278</v>
      </c>
      <c r="D102" s="155">
        <v>18.213444312631896</v>
      </c>
      <c r="E102" s="155">
        <v>18.265787634687207</v>
      </c>
      <c r="F102" s="155">
        <v>18.303297192012231</v>
      </c>
      <c r="G102" s="155">
        <v>18.342448146748843</v>
      </c>
      <c r="H102" s="159">
        <v>18.431718799957771</v>
      </c>
      <c r="I102" s="159">
        <v>18.470161942524619</v>
      </c>
      <c r="J102" s="159">
        <v>18.597875738300399</v>
      </c>
      <c r="K102" s="148">
        <f t="shared" si="11"/>
        <v>3.2597583249132416E-2</v>
      </c>
      <c r="L102" s="148">
        <f t="shared" si="12"/>
        <v>3.2741097562514219E-2</v>
      </c>
      <c r="M102" s="148">
        <f t="shared" si="13"/>
        <v>3.2826243475381982E-2</v>
      </c>
      <c r="N102" s="148">
        <f t="shared" si="14"/>
        <v>3.2930832223464115E-2</v>
      </c>
      <c r="O102" s="148">
        <f t="shared" si="15"/>
        <v>3.300578431448508E-2</v>
      </c>
      <c r="P102" s="148">
        <f t="shared" si="16"/>
        <v>3.3084014877401736E-2</v>
      </c>
      <c r="Q102" s="148">
        <f t="shared" si="17"/>
        <v>3.3262392687599417E-2</v>
      </c>
      <c r="R102" s="148">
        <f t="shared" si="19"/>
        <v>3.3339208565401297E-2</v>
      </c>
      <c r="S102" s="148">
        <f t="shared" si="18"/>
        <v>3.3594402253400858E-2</v>
      </c>
    </row>
    <row r="103" spans="1:19" x14ac:dyDescent="0.25">
      <c r="A103" s="154">
        <v>48.5</v>
      </c>
      <c r="B103" s="155">
        <v>18.084530775974105</v>
      </c>
      <c r="C103" s="155">
        <v>18.145859497896922</v>
      </c>
      <c r="D103" s="155">
        <v>18.182230468792852</v>
      </c>
      <c r="E103" s="155">
        <v>18.226900416753029</v>
      </c>
      <c r="F103" s="155">
        <v>18.258910254810498</v>
      </c>
      <c r="G103" s="155">
        <v>18.292321283380048</v>
      </c>
      <c r="H103" s="159">
        <v>18.368504127074388</v>
      </c>
      <c r="I103" s="159">
        <v>18.401311189821371</v>
      </c>
      <c r="J103" s="159">
        <v>18.510301096262694</v>
      </c>
      <c r="K103" s="148">
        <f t="shared" si="11"/>
        <v>3.2565160429165331E-2</v>
      </c>
      <c r="L103" s="148">
        <f t="shared" si="12"/>
        <v>3.2685018775102978E-2</v>
      </c>
      <c r="M103" s="148">
        <f t="shared" si="13"/>
        <v>3.2756107303282267E-2</v>
      </c>
      <c r="N103" s="148">
        <f t="shared" si="14"/>
        <v>3.2843419246296218E-2</v>
      </c>
      <c r="O103" s="148">
        <f t="shared" si="15"/>
        <v>3.2905986702140455E-2</v>
      </c>
      <c r="P103" s="148">
        <f t="shared" si="16"/>
        <v>3.2971292487116E-2</v>
      </c>
      <c r="Q103" s="148">
        <f t="shared" si="17"/>
        <v>3.3120200634328939E-2</v>
      </c>
      <c r="R103" s="148">
        <f t="shared" si="19"/>
        <v>3.318432581911139E-2</v>
      </c>
      <c r="S103" s="148">
        <f t="shared" si="18"/>
        <v>3.3397359151106788E-2</v>
      </c>
    </row>
    <row r="104" spans="1:19" x14ac:dyDescent="0.25">
      <c r="A104" s="154">
        <v>49</v>
      </c>
      <c r="B104" s="155">
        <v>18.070867837765142</v>
      </c>
      <c r="C104" s="155">
        <v>18.122245384745682</v>
      </c>
      <c r="D104" s="155">
        <v>18.152706709348511</v>
      </c>
      <c r="E104" s="155">
        <v>18.19011521690928</v>
      </c>
      <c r="F104" s="155">
        <v>18.216920406267654</v>
      </c>
      <c r="G104" s="155">
        <v>18.244899554178474</v>
      </c>
      <c r="H104" s="159">
        <v>18.308697002800809</v>
      </c>
      <c r="I104" s="159">
        <v>18.336170470560138</v>
      </c>
      <c r="J104" s="159">
        <v>18.427441386941801</v>
      </c>
      <c r="K104" s="148">
        <f t="shared" si="11"/>
        <v>3.2539858752365328E-2</v>
      </c>
      <c r="L104" s="148">
        <f t="shared" si="12"/>
        <v>3.2641294394378344E-2</v>
      </c>
      <c r="M104" s="148">
        <f t="shared" si="13"/>
        <v>3.2701443460327224E-2</v>
      </c>
      <c r="N104" s="148">
        <f t="shared" si="14"/>
        <v>3.2775314070296074E-2</v>
      </c>
      <c r="O104" s="148">
        <f t="shared" si="15"/>
        <v>3.2828247594970335E-2</v>
      </c>
      <c r="P104" s="148">
        <f t="shared" si="16"/>
        <v>3.288349875380267E-2</v>
      </c>
      <c r="Q104" s="148">
        <f t="shared" si="17"/>
        <v>3.3009481016887679E-2</v>
      </c>
      <c r="R104" s="148">
        <f t="shared" si="19"/>
        <v>3.3063733494343356E-2</v>
      </c>
      <c r="S104" s="148">
        <f t="shared" si="18"/>
        <v>3.3243968234884042E-2</v>
      </c>
    </row>
    <row r="105" spans="1:19" x14ac:dyDescent="0.25">
      <c r="A105" s="154">
        <v>49.5</v>
      </c>
      <c r="B105" s="155">
        <v>18.058200031083729</v>
      </c>
      <c r="C105" s="155">
        <v>18.100351338941817</v>
      </c>
      <c r="D105" s="155">
        <v>18.125333553063268</v>
      </c>
      <c r="E105" s="155">
        <v>18.156009641833386</v>
      </c>
      <c r="F105" s="155">
        <v>18.177989358786409</v>
      </c>
      <c r="G105" s="155">
        <v>18.200932352382932</v>
      </c>
      <c r="H105" s="159">
        <v>18.253246721512138</v>
      </c>
      <c r="I105" s="159">
        <v>18.275775163709397</v>
      </c>
      <c r="J105" s="159">
        <v>18.350617975035867</v>
      </c>
      <c r="K105" s="148">
        <f t="shared" si="11"/>
        <v>3.2516161081963986E-2</v>
      </c>
      <c r="L105" s="148">
        <f t="shared" si="12"/>
        <v>3.2600337051318748E-2</v>
      </c>
      <c r="M105" s="148">
        <f t="shared" si="13"/>
        <v>3.2650236236170603E-2</v>
      </c>
      <c r="N105" s="148">
        <f t="shared" si="14"/>
        <v>3.2711512372868401E-2</v>
      </c>
      <c r="O105" s="148">
        <f t="shared" si="15"/>
        <v>3.2755418788548658E-2</v>
      </c>
      <c r="P105" s="148">
        <f t="shared" si="16"/>
        <v>3.2801248715905271E-2</v>
      </c>
      <c r="Q105" s="148">
        <f t="shared" si="17"/>
        <v>3.2905749351881654E-2</v>
      </c>
      <c r="R105" s="148">
        <f t="shared" si="19"/>
        <v>3.2950751070842575E-2</v>
      </c>
      <c r="S105" s="148">
        <f t="shared" si="18"/>
        <v>3.3100253425779901E-2</v>
      </c>
    </row>
    <row r="106" spans="1:19" x14ac:dyDescent="0.25">
      <c r="A106" s="154">
        <v>50</v>
      </c>
      <c r="B106" s="155">
        <v>18.046283206705809</v>
      </c>
      <c r="C106" s="155">
        <v>18.07976161098604</v>
      </c>
      <c r="D106" s="155">
        <v>18.099594663362438</v>
      </c>
      <c r="E106" s="155">
        <v>18.123944313847211</v>
      </c>
      <c r="F106" s="155">
        <v>18.141389747055094</v>
      </c>
      <c r="G106" s="155">
        <v>18.159600391354747</v>
      </c>
      <c r="H106" s="159">
        <v>18.201124355125426</v>
      </c>
      <c r="I106" s="159">
        <v>18.219006062067134</v>
      </c>
      <c r="J106" s="159">
        <v>18.278411732779517</v>
      </c>
      <c r="K106" s="148">
        <f t="shared" si="11"/>
        <v>3.2494034914010581E-2</v>
      </c>
      <c r="L106" s="148">
        <f t="shared" si="12"/>
        <v>3.2562101654935074E-2</v>
      </c>
      <c r="M106" s="148">
        <f t="shared" si="13"/>
        <v>3.2602435394783136E-2</v>
      </c>
      <c r="N106" s="148">
        <f t="shared" si="14"/>
        <v>3.2651958560112535E-2</v>
      </c>
      <c r="O106" s="148">
        <f t="shared" si="15"/>
        <v>3.2687441195257357E-2</v>
      </c>
      <c r="P106" s="148">
        <f t="shared" si="16"/>
        <v>3.272447946936391E-2</v>
      </c>
      <c r="Q106" s="148">
        <f t="shared" si="17"/>
        <v>3.2808933968973809E-2</v>
      </c>
      <c r="R106" s="148">
        <f t="shared" si="19"/>
        <v>3.2845303103198879E-2</v>
      </c>
      <c r="S106" s="148">
        <f t="shared" si="18"/>
        <v>3.2966126737033842E-2</v>
      </c>
    </row>
    <row r="107" spans="1:19" x14ac:dyDescent="0.25">
      <c r="A107" s="154">
        <v>50.5</v>
      </c>
      <c r="B107" s="155">
        <v>18.03760633670084</v>
      </c>
      <c r="C107" s="155">
        <v>18.064799574898085</v>
      </c>
      <c r="D107" s="155">
        <v>18.080907352995538</v>
      </c>
      <c r="E107" s="155">
        <v>18.100682608981405</v>
      </c>
      <c r="F107" s="155">
        <v>18.114850423655884</v>
      </c>
      <c r="G107" s="155">
        <v>18.129639824366155</v>
      </c>
      <c r="H107" s="159">
        <v>18.163362694554621</v>
      </c>
      <c r="I107" s="159">
        <v>18.177884971023065</v>
      </c>
      <c r="J107" s="159">
        <v>18.226130117679975</v>
      </c>
      <c r="K107" s="148">
        <f t="shared" si="11"/>
        <v>3.2475500589065981E-2</v>
      </c>
      <c r="L107" s="148">
        <f t="shared" si="12"/>
        <v>3.2530105067295714E-2</v>
      </c>
      <c r="M107" s="148">
        <f t="shared" si="13"/>
        <v>3.2562451814722178E-2</v>
      </c>
      <c r="N107" s="148">
        <f t="shared" si="14"/>
        <v>3.2602164230545759E-2</v>
      </c>
      <c r="O107" s="148">
        <f t="shared" si="15"/>
        <v>3.263061615363988E-2</v>
      </c>
      <c r="P107" s="148">
        <f t="shared" si="16"/>
        <v>3.266031619414881E-2</v>
      </c>
      <c r="Q107" s="148">
        <f t="shared" si="17"/>
        <v>3.2728038344712045E-2</v>
      </c>
      <c r="R107" s="148">
        <f t="shared" si="19"/>
        <v>3.2757201929781175E-2</v>
      </c>
      <c r="S107" s="148">
        <f t="shared" si="18"/>
        <v>3.2854087665413541E-2</v>
      </c>
    </row>
    <row r="108" spans="1:19" x14ac:dyDescent="0.25">
      <c r="A108" s="154">
        <v>51</v>
      </c>
      <c r="B108" s="155">
        <v>18.028929466695871</v>
      </c>
      <c r="C108" s="155">
        <v>18.049837538810131</v>
      </c>
      <c r="D108" s="155">
        <v>18.062220042628635</v>
      </c>
      <c r="E108" s="155">
        <v>18.077420904115595</v>
      </c>
      <c r="F108" s="155">
        <v>18.088311100256675</v>
      </c>
      <c r="G108" s="155">
        <v>18.099679257377563</v>
      </c>
      <c r="H108" s="159">
        <v>18.12560103398382</v>
      </c>
      <c r="I108" s="159">
        <v>18.136763879979</v>
      </c>
      <c r="J108" s="159">
        <v>18.173848502580441</v>
      </c>
      <c r="K108" s="148">
        <f t="shared" si="11"/>
        <v>3.2459882223057041E-2</v>
      </c>
      <c r="L108" s="148">
        <f t="shared" si="12"/>
        <v>3.2503173402337389E-2</v>
      </c>
      <c r="M108" s="148">
        <f t="shared" si="13"/>
        <v>3.2528814656061757E-2</v>
      </c>
      <c r="N108" s="148">
        <f t="shared" si="14"/>
        <v>3.2560293161787296E-2</v>
      </c>
      <c r="O108" s="148">
        <f t="shared" si="15"/>
        <v>3.2582845371521299E-2</v>
      </c>
      <c r="P108" s="148">
        <f t="shared" si="16"/>
        <v>3.2606387173569347E-2</v>
      </c>
      <c r="Q108" s="148">
        <f t="shared" si="17"/>
        <v>3.2660067355684594E-2</v>
      </c>
      <c r="R108" s="148">
        <f t="shared" si="19"/>
        <v>3.2683183965901856E-2</v>
      </c>
      <c r="S108" s="148">
        <f t="shared" si="18"/>
        <v>3.2759980758234372E-2</v>
      </c>
    </row>
    <row r="109" spans="1:19" x14ac:dyDescent="0.25">
      <c r="A109" s="154">
        <v>51.5</v>
      </c>
      <c r="B109" s="155">
        <v>18.021168910006871</v>
      </c>
      <c r="C109" s="155">
        <v>18.03645227261007</v>
      </c>
      <c r="D109" s="155">
        <v>18.045500272798009</v>
      </c>
      <c r="E109" s="155">
        <v>18.05660629941465</v>
      </c>
      <c r="F109" s="155">
        <v>18.06456238845071</v>
      </c>
      <c r="G109" s="155">
        <v>18.072867918407855</v>
      </c>
      <c r="H109" s="159">
        <v>18.09180632916987</v>
      </c>
      <c r="I109" s="159">
        <v>18.099961887561602</v>
      </c>
      <c r="J109" s="159">
        <v>18.127055856715351</v>
      </c>
      <c r="K109" s="148">
        <f t="shared" si="11"/>
        <v>3.2445088539032468E-2</v>
      </c>
      <c r="L109" s="148">
        <f t="shared" si="12"/>
        <v>3.2477660830278178E-2</v>
      </c>
      <c r="M109" s="148">
        <f t="shared" si="13"/>
        <v>3.2496948283883983E-2</v>
      </c>
      <c r="N109" s="148">
        <f t="shared" si="14"/>
        <v>3.2520624483177218E-2</v>
      </c>
      <c r="O109" s="148">
        <f t="shared" si="15"/>
        <v>3.2537586139836643E-2</v>
      </c>
      <c r="P109" s="148">
        <f t="shared" si="16"/>
        <v>3.2555292458206875E-2</v>
      </c>
      <c r="Q109" s="148">
        <f t="shared" si="17"/>
        <v>3.259566662683832E-2</v>
      </c>
      <c r="R109" s="148">
        <f t="shared" si="19"/>
        <v>3.2613053190786542E-2</v>
      </c>
      <c r="S109" s="148">
        <f t="shared" si="18"/>
        <v>3.267081392336621E-2</v>
      </c>
    </row>
    <row r="110" spans="1:19" x14ac:dyDescent="0.25">
      <c r="A110" s="154">
        <v>52</v>
      </c>
      <c r="B110" s="155">
        <v>18.014168717895878</v>
      </c>
      <c r="C110" s="155">
        <v>18.024381188550812</v>
      </c>
      <c r="D110" s="155">
        <v>18.030423574907534</v>
      </c>
      <c r="E110" s="155">
        <v>18.037838882503088</v>
      </c>
      <c r="F110" s="155">
        <v>18.043150511656453</v>
      </c>
      <c r="G110" s="155">
        <v>18.048695705510081</v>
      </c>
      <c r="H110" s="159">
        <v>18.061340019887044</v>
      </c>
      <c r="I110" s="159">
        <v>18.066785114806603</v>
      </c>
      <c r="J110" s="159">
        <v>18.084874524103125</v>
      </c>
      <c r="K110" s="148">
        <f t="shared" si="11"/>
        <v>3.243180386511247E-2</v>
      </c>
      <c r="L110" s="148">
        <f t="shared" si="12"/>
        <v>3.2454750115044791E-2</v>
      </c>
      <c r="M110" s="148">
        <f t="shared" si="13"/>
        <v>3.2468331462934985E-2</v>
      </c>
      <c r="N110" s="148">
        <f t="shared" si="14"/>
        <v>3.2485000663725963E-2</v>
      </c>
      <c r="O110" s="148">
        <f t="shared" si="15"/>
        <v>3.249694161009644E-2</v>
      </c>
      <c r="P110" s="148">
        <f t="shared" si="16"/>
        <v>3.2509407261526138E-2</v>
      </c>
      <c r="Q110" s="148">
        <f t="shared" si="17"/>
        <v>3.253783171415122E-2</v>
      </c>
      <c r="R110" s="148">
        <f t="shared" si="19"/>
        <v>3.2550072302131382E-2</v>
      </c>
      <c r="S110" s="148">
        <f t="shared" si="18"/>
        <v>3.2590737342736625E-2</v>
      </c>
    </row>
    <row r="111" spans="1:19" x14ac:dyDescent="0.25">
      <c r="A111" s="154">
        <v>52.5</v>
      </c>
      <c r="B111" s="155">
        <v>18.01045433085789</v>
      </c>
      <c r="C111" s="155">
        <v>18.017989560783967</v>
      </c>
      <c r="D111" s="155">
        <v>18.022447910975469</v>
      </c>
      <c r="E111" s="155">
        <v>18.027919265517681</v>
      </c>
      <c r="F111" s="155">
        <v>18.031838429479571</v>
      </c>
      <c r="G111" s="155">
        <v>18.035929928205352</v>
      </c>
      <c r="H111" s="159">
        <v>18.04525948412843</v>
      </c>
      <c r="I111" s="159">
        <v>18.049277125262936</v>
      </c>
      <c r="J111" s="159">
        <v>18.06262432232052</v>
      </c>
      <c r="K111" s="148">
        <f t="shared" si="11"/>
        <v>3.2422160743878388E-2</v>
      </c>
      <c r="L111" s="148">
        <f t="shared" si="12"/>
        <v>3.24381336744013E-2</v>
      </c>
      <c r="M111" s="148">
        <f t="shared" si="13"/>
        <v>3.2447584337294701E-2</v>
      </c>
      <c r="N111" s="148">
        <f t="shared" si="14"/>
        <v>3.2459182333218692E-2</v>
      </c>
      <c r="O111" s="148">
        <f t="shared" si="15"/>
        <v>3.2467490047022422E-2</v>
      </c>
      <c r="P111" s="148">
        <f t="shared" si="16"/>
        <v>3.2476163070343886E-2</v>
      </c>
      <c r="Q111" s="148">
        <f t="shared" si="17"/>
        <v>3.2495939553613927E-2</v>
      </c>
      <c r="R111" s="148">
        <f t="shared" si="19"/>
        <v>3.2504456016062583E-2</v>
      </c>
      <c r="S111" s="148">
        <f t="shared" si="18"/>
        <v>3.253274896178128E-2</v>
      </c>
    </row>
    <row r="112" spans="1:19" x14ac:dyDescent="0.25">
      <c r="A112" s="154">
        <v>53</v>
      </c>
      <c r="B112" s="155">
        <v>18.006739943819902</v>
      </c>
      <c r="C112" s="155">
        <v>18.011597933017125</v>
      </c>
      <c r="D112" s="155">
        <v>18.0144722470434</v>
      </c>
      <c r="E112" s="155">
        <v>18.017999648532275</v>
      </c>
      <c r="F112" s="155">
        <v>18.020526347302685</v>
      </c>
      <c r="G112" s="155">
        <v>18.023164150900623</v>
      </c>
      <c r="H112" s="159">
        <v>18.029178948369822</v>
      </c>
      <c r="I112" s="159">
        <v>18.031769135719273</v>
      </c>
      <c r="J112" s="159">
        <v>18.040374120537923</v>
      </c>
      <c r="K112" s="148">
        <f t="shared" si="11"/>
        <v>3.241547484721001E-2</v>
      </c>
      <c r="L112" s="148">
        <f t="shared" si="12"/>
        <v>3.2426628744420975E-2</v>
      </c>
      <c r="M112" s="148">
        <f t="shared" si="13"/>
        <v>3.2433228142216983E-2</v>
      </c>
      <c r="N112" s="148">
        <f t="shared" si="14"/>
        <v>3.2441327022644961E-2</v>
      </c>
      <c r="O112" s="148">
        <f t="shared" si="15"/>
        <v>3.2447128299104032E-2</v>
      </c>
      <c r="P112" s="148">
        <f t="shared" si="16"/>
        <v>3.245318467119538E-2</v>
      </c>
      <c r="Q112" s="148">
        <f t="shared" si="17"/>
        <v>3.2466994589248427E-2</v>
      </c>
      <c r="R112" s="148">
        <f t="shared" si="19"/>
        <v>3.2472941634883984E-2</v>
      </c>
      <c r="S112" s="148">
        <f t="shared" si="18"/>
        <v>3.2492698598572595E-2</v>
      </c>
    </row>
    <row r="113" spans="1:19" x14ac:dyDescent="0.25">
      <c r="A113" s="154">
        <v>53.5</v>
      </c>
      <c r="B113" s="155">
        <v>18.003025556781914</v>
      </c>
      <c r="C113" s="155">
        <v>18.005206305250283</v>
      </c>
      <c r="D113" s="155">
        <v>18.006496583111335</v>
      </c>
      <c r="E113" s="155">
        <v>18.008080031546864</v>
      </c>
      <c r="F113" s="155">
        <v>18.009214265125802</v>
      </c>
      <c r="G113" s="155">
        <v>18.010398373595898</v>
      </c>
      <c r="H113" s="159">
        <v>18.013098412611214</v>
      </c>
      <c r="I113" s="159">
        <v>18.014261146175613</v>
      </c>
      <c r="J113" s="159">
        <v>18.018123918755332</v>
      </c>
      <c r="K113" s="148">
        <f t="shared" si="11"/>
        <v>3.2408788950541632E-2</v>
      </c>
      <c r="L113" s="148">
        <f t="shared" si="12"/>
        <v>3.2415123814440672E-2</v>
      </c>
      <c r="M113" s="148">
        <f t="shared" si="13"/>
        <v>3.2418871947139265E-2</v>
      </c>
      <c r="N113" s="148">
        <f t="shared" si="14"/>
        <v>3.2423471712071224E-2</v>
      </c>
      <c r="O113" s="148">
        <f t="shared" si="15"/>
        <v>3.2426766551185635E-2</v>
      </c>
      <c r="P113" s="148">
        <f t="shared" si="16"/>
        <v>3.2430206272046867E-2</v>
      </c>
      <c r="Q113" s="148">
        <f t="shared" si="17"/>
        <v>3.2438049624882927E-2</v>
      </c>
      <c r="R113" s="148">
        <f t="shared" si="19"/>
        <v>3.2441427253705399E-2</v>
      </c>
      <c r="S113" s="148">
        <f t="shared" si="18"/>
        <v>3.245264823536393E-2</v>
      </c>
    </row>
    <row r="114" spans="1:19" x14ac:dyDescent="0.25">
      <c r="A114" s="154" t="s">
        <v>150</v>
      </c>
      <c r="B114" s="162">
        <f>SUM(K6:K113)</f>
        <v>7.1609163198168009</v>
      </c>
      <c r="C114" s="162">
        <f t="shared" ref="C114:I114" si="20">SUM(L6:L113)</f>
        <v>10.91705544082814</v>
      </c>
      <c r="D114" s="162">
        <f t="shared" si="20"/>
        <v>13.531676255485387</v>
      </c>
      <c r="E114" s="162">
        <f t="shared" si="20"/>
        <v>17.044030054862993</v>
      </c>
      <c r="F114" s="162">
        <f t="shared" si="20"/>
        <v>19.743255071652481</v>
      </c>
      <c r="G114" s="162">
        <f t="shared" si="20"/>
        <v>22.640070863642119</v>
      </c>
      <c r="H114" s="162">
        <f t="shared" si="20"/>
        <v>28.943079932486583</v>
      </c>
      <c r="I114" s="162">
        <f t="shared" si="20"/>
        <v>31.657381525717295</v>
      </c>
      <c r="J114" s="162">
        <f>SUM(S6:S113)</f>
        <v>40.674692187792466</v>
      </c>
      <c r="K114" s="142"/>
      <c r="L114" s="142"/>
      <c r="M114" s="142"/>
      <c r="N114" s="142"/>
      <c r="O114" s="142"/>
      <c r="P114" s="142"/>
      <c r="Q114" s="142"/>
      <c r="R114" s="142"/>
      <c r="S114" s="142"/>
    </row>
  </sheetData>
  <mergeCells count="2">
    <mergeCell ref="A4:A5"/>
    <mergeCell ref="B4:J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rowBreaks count="1" manualBreakCount="1">
    <brk id="60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Çalışma Sayfaları</vt:lpstr>
      </vt:variant>
      <vt:variant>
        <vt:i4>9</vt:i4>
      </vt:variant>
      <vt:variant>
        <vt:lpstr>Grafikler</vt:lpstr>
      </vt:variant>
      <vt:variant>
        <vt:i4>3</vt:i4>
      </vt:variant>
      <vt:variant>
        <vt:lpstr>Adlandırılmış Aralıklar</vt:lpstr>
      </vt:variant>
      <vt:variant>
        <vt:i4>8</vt:i4>
      </vt:variant>
    </vt:vector>
  </HeadingPairs>
  <TitlesOfParts>
    <vt:vector size="20" baseType="lpstr">
      <vt:lpstr>T3.1</vt:lpstr>
      <vt:lpstr>7.1 AGİ-YAMA</vt:lpstr>
      <vt:lpstr>T7.2BTFA</vt:lpstr>
      <vt:lpstr>NTFA</vt:lpstr>
      <vt:lpstr>T7.3 MMY</vt:lpstr>
      <vt:lpstr>T7.4</vt:lpstr>
      <vt:lpstr>T7.9</vt:lpstr>
      <vt:lpstr>T7.10 bolgesel hid</vt:lpstr>
      <vt:lpstr>T7.11</vt:lpstr>
      <vt:lpstr>Ş7.1 A-Q2</vt:lpstr>
      <vt:lpstr>Ş7.2 A-Q100</vt:lpstr>
      <vt:lpstr>Ş7.3 A-Qmax</vt:lpstr>
      <vt:lpstr>'7.1 AGİ-YAMA'!Yazdırma_Alanı</vt:lpstr>
      <vt:lpstr>'T7.10 bolgesel hid'!Yazdırma_Alanı</vt:lpstr>
      <vt:lpstr>'T7.11'!Yazdırma_Alanı</vt:lpstr>
      <vt:lpstr>T7.2BTFA!Yazdırma_Alanı</vt:lpstr>
      <vt:lpstr>'T7.3 MMY'!Yazdırma_Alanı</vt:lpstr>
      <vt:lpstr>'T7.4'!Yazdırma_Alanı</vt:lpstr>
      <vt:lpstr>'T7.10 bolgesel hid'!Yazdırma_Başlıkları</vt:lpstr>
      <vt:lpstr>'T7.11'!Yazdırma_Başlıkları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2017-06-20T11:23:57Z</dcterms:modified>
</cp:coreProperties>
</file>
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Terkos tskn\Terkos Barajı Hidroloji Raporu\"/>
    </mc:Choice>
  </mc:AlternateContent>
  <xr:revisionPtr revIDLastSave="0" documentId="13_ncr:1_{4997A87D-A947-4B54-B315-58A7DF795481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X-KM" sheetId="3" state="hidden" r:id="rId1"/>
    <sheet name="DATAGİR" sheetId="2" state="hidden" r:id="rId2"/>
    <sheet name="SONUÇLAR" sheetId="4" r:id="rId3"/>
  </sheets>
  <definedNames>
    <definedName name="_xlnm.Print_Area" localSheetId="1">DATAGİR!$A$1:$E$107</definedName>
    <definedName name="_xlnm.Print_Area" localSheetId="2">SONUÇLAR!$A$1:$M$58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2" l="1"/>
  <c r="BC208" i="3" l="1"/>
  <c r="BB208" i="3"/>
  <c r="BC207" i="3"/>
  <c r="BB207" i="3"/>
  <c r="BC206" i="3"/>
  <c r="BB206" i="3"/>
  <c r="BC205" i="3"/>
  <c r="BB205" i="3"/>
  <c r="BC204" i="3"/>
  <c r="BB204" i="3"/>
  <c r="BC203" i="3"/>
  <c r="BB203" i="3"/>
  <c r="BC202" i="3"/>
  <c r="BB202" i="3"/>
  <c r="BC201" i="3"/>
  <c r="BB201" i="3"/>
  <c r="BC200" i="3"/>
  <c r="BB200" i="3"/>
  <c r="BC199" i="3"/>
  <c r="BB199" i="3"/>
  <c r="BC198" i="3"/>
  <c r="BB198" i="3"/>
  <c r="AV198" i="3"/>
  <c r="AU198" i="3"/>
  <c r="BC197" i="3"/>
  <c r="BB197" i="3"/>
  <c r="AV197" i="3"/>
  <c r="AU197" i="3"/>
  <c r="BC196" i="3"/>
  <c r="BB196" i="3"/>
  <c r="AV196" i="3"/>
  <c r="AU196" i="3"/>
  <c r="BC195" i="3"/>
  <c r="BB195" i="3"/>
  <c r="AV195" i="3"/>
  <c r="AU195" i="3"/>
  <c r="BC194" i="3"/>
  <c r="BB194" i="3"/>
  <c r="AV194" i="3"/>
  <c r="AU194" i="3"/>
  <c r="BC193" i="3"/>
  <c r="BB193" i="3"/>
  <c r="AV193" i="3"/>
  <c r="AU193" i="3"/>
  <c r="BC192" i="3"/>
  <c r="BB192" i="3"/>
  <c r="AV192" i="3"/>
  <c r="AU192" i="3"/>
  <c r="BC191" i="3"/>
  <c r="BB191" i="3"/>
  <c r="AV191" i="3"/>
  <c r="AU191" i="3"/>
  <c r="BC190" i="3"/>
  <c r="BB190" i="3"/>
  <c r="AV190" i="3"/>
  <c r="AU190" i="3"/>
  <c r="BC189" i="3"/>
  <c r="BB189" i="3"/>
  <c r="AV189" i="3"/>
  <c r="AU189" i="3"/>
  <c r="BC188" i="3"/>
  <c r="BB188" i="3"/>
  <c r="AV188" i="3"/>
  <c r="AU188" i="3"/>
  <c r="BC187" i="3"/>
  <c r="BB187" i="3"/>
  <c r="AV187" i="3"/>
  <c r="AU187" i="3"/>
  <c r="BC186" i="3"/>
  <c r="BB186" i="3"/>
  <c r="AV186" i="3"/>
  <c r="AU186" i="3"/>
  <c r="BC185" i="3"/>
  <c r="BB185" i="3"/>
  <c r="AV185" i="3"/>
  <c r="AU185" i="3"/>
  <c r="BC184" i="3"/>
  <c r="BB184" i="3"/>
  <c r="AV184" i="3"/>
  <c r="AU184" i="3"/>
  <c r="BC183" i="3"/>
  <c r="BB183" i="3"/>
  <c r="AV183" i="3"/>
  <c r="AU183" i="3"/>
  <c r="BC182" i="3"/>
  <c r="BB182" i="3"/>
  <c r="AV182" i="3"/>
  <c r="AU182" i="3"/>
  <c r="BC181" i="3"/>
  <c r="BB181" i="3"/>
  <c r="AV181" i="3"/>
  <c r="AU181" i="3"/>
  <c r="BC180" i="3"/>
  <c r="BB180" i="3"/>
  <c r="AV180" i="3"/>
  <c r="AU180" i="3"/>
  <c r="AO180" i="3"/>
  <c r="AN180" i="3"/>
  <c r="BC179" i="3"/>
  <c r="BB179" i="3"/>
  <c r="AV179" i="3"/>
  <c r="AU179" i="3"/>
  <c r="AO179" i="3"/>
  <c r="AN179" i="3"/>
  <c r="BC178" i="3"/>
  <c r="BB178" i="3"/>
  <c r="AV178" i="3"/>
  <c r="AU178" i="3"/>
  <c r="AO178" i="3"/>
  <c r="AN178" i="3"/>
  <c r="BC177" i="3"/>
  <c r="BB177" i="3"/>
  <c r="AV177" i="3"/>
  <c r="AU177" i="3"/>
  <c r="AO177" i="3"/>
  <c r="AN177" i="3"/>
  <c r="BC176" i="3"/>
  <c r="BB176" i="3"/>
  <c r="AV176" i="3"/>
  <c r="AU176" i="3"/>
  <c r="AO176" i="3"/>
  <c r="AN176" i="3"/>
  <c r="BC175" i="3"/>
  <c r="BB175" i="3"/>
  <c r="AV175" i="3"/>
  <c r="AU175" i="3"/>
  <c r="AO175" i="3"/>
  <c r="AN175" i="3"/>
  <c r="BC174" i="3"/>
  <c r="BB174" i="3"/>
  <c r="AV174" i="3"/>
  <c r="AU174" i="3"/>
  <c r="AO174" i="3"/>
  <c r="AN174" i="3"/>
  <c r="BC173" i="3"/>
  <c r="BB173" i="3"/>
  <c r="AV173" i="3"/>
  <c r="AU173" i="3"/>
  <c r="AO173" i="3"/>
  <c r="AN173" i="3"/>
  <c r="BC172" i="3"/>
  <c r="BB172" i="3"/>
  <c r="AV172" i="3"/>
  <c r="AU172" i="3"/>
  <c r="AO172" i="3"/>
  <c r="AN172" i="3"/>
  <c r="BC171" i="3"/>
  <c r="BB171" i="3"/>
  <c r="AV171" i="3"/>
  <c r="AU171" i="3"/>
  <c r="AO171" i="3"/>
  <c r="AN171" i="3"/>
  <c r="BC170" i="3"/>
  <c r="BB170" i="3"/>
  <c r="AV170" i="3"/>
  <c r="AU170" i="3"/>
  <c r="AO170" i="3"/>
  <c r="AN170" i="3"/>
  <c r="BC169" i="3"/>
  <c r="BB169" i="3"/>
  <c r="AV169" i="3"/>
  <c r="AU169" i="3"/>
  <c r="AO169" i="3"/>
  <c r="AN169" i="3"/>
  <c r="BC168" i="3"/>
  <c r="BB168" i="3"/>
  <c r="AV168" i="3"/>
  <c r="AU168" i="3"/>
  <c r="AO168" i="3"/>
  <c r="AN168" i="3"/>
  <c r="BC167" i="3"/>
  <c r="BB167" i="3"/>
  <c r="AV167" i="3"/>
  <c r="AU167" i="3"/>
  <c r="AO167" i="3"/>
  <c r="AN167" i="3"/>
  <c r="BJ166" i="3"/>
  <c r="BI166" i="3"/>
  <c r="BC166" i="3"/>
  <c r="BB166" i="3"/>
  <c r="AV166" i="3"/>
  <c r="AU166" i="3"/>
  <c r="AO166" i="3"/>
  <c r="AN166" i="3"/>
  <c r="BJ165" i="3"/>
  <c r="BI165" i="3"/>
  <c r="BC165" i="3"/>
  <c r="BB165" i="3"/>
  <c r="AV165" i="3"/>
  <c r="AU165" i="3"/>
  <c r="AO165" i="3"/>
  <c r="AN165" i="3"/>
  <c r="BJ164" i="3"/>
  <c r="BI164" i="3"/>
  <c r="BC164" i="3"/>
  <c r="BB164" i="3"/>
  <c r="AV164" i="3"/>
  <c r="AU164" i="3"/>
  <c r="AO164" i="3"/>
  <c r="AN164" i="3"/>
  <c r="BJ163" i="3"/>
  <c r="BI163" i="3"/>
  <c r="BC163" i="3"/>
  <c r="BB163" i="3"/>
  <c r="AV163" i="3"/>
  <c r="AU163" i="3"/>
  <c r="AO163" i="3"/>
  <c r="AN163" i="3"/>
  <c r="BJ162" i="3"/>
  <c r="BI162" i="3"/>
  <c r="BC162" i="3"/>
  <c r="BB162" i="3"/>
  <c r="AV162" i="3"/>
  <c r="AU162" i="3"/>
  <c r="AO162" i="3"/>
  <c r="AN162" i="3"/>
  <c r="BJ161" i="3"/>
  <c r="BI161" i="3"/>
  <c r="BC161" i="3"/>
  <c r="BB161" i="3"/>
  <c r="AV161" i="3"/>
  <c r="AU161" i="3"/>
  <c r="AO161" i="3"/>
  <c r="AN161" i="3"/>
  <c r="BJ160" i="3"/>
  <c r="BI160" i="3"/>
  <c r="BC160" i="3"/>
  <c r="BB160" i="3"/>
  <c r="AV160" i="3"/>
  <c r="AU160" i="3"/>
  <c r="AO160" i="3"/>
  <c r="AN160" i="3"/>
  <c r="AH160" i="3"/>
  <c r="AG160" i="3"/>
  <c r="BJ159" i="3"/>
  <c r="BI159" i="3"/>
  <c r="BC159" i="3"/>
  <c r="BB159" i="3"/>
  <c r="AV159" i="3"/>
  <c r="AU159" i="3"/>
  <c r="AO159" i="3"/>
  <c r="AN159" i="3"/>
  <c r="AH159" i="3"/>
  <c r="AG159" i="3"/>
  <c r="BJ158" i="3"/>
  <c r="BI158" i="3"/>
  <c r="BC158" i="3"/>
  <c r="BB158" i="3"/>
  <c r="AV158" i="3"/>
  <c r="AU158" i="3"/>
  <c r="AO158" i="3"/>
  <c r="AN158" i="3"/>
  <c r="AH158" i="3"/>
  <c r="AG158" i="3"/>
  <c r="BJ157" i="3"/>
  <c r="BI157" i="3"/>
  <c r="BC157" i="3"/>
  <c r="BB157" i="3"/>
  <c r="AV157" i="3"/>
  <c r="AU157" i="3"/>
  <c r="AO157" i="3"/>
  <c r="AN157" i="3"/>
  <c r="AH157" i="3"/>
  <c r="AG157" i="3"/>
  <c r="BJ156" i="3"/>
  <c r="BI156" i="3"/>
  <c r="BC156" i="3"/>
  <c r="BB156" i="3"/>
  <c r="AV156" i="3"/>
  <c r="AU156" i="3"/>
  <c r="AO156" i="3"/>
  <c r="AN156" i="3"/>
  <c r="AH156" i="3"/>
  <c r="AG156" i="3"/>
  <c r="BJ155" i="3"/>
  <c r="BI155" i="3"/>
  <c r="BC155" i="3"/>
  <c r="BB155" i="3"/>
  <c r="AV155" i="3"/>
  <c r="AU155" i="3"/>
  <c r="AO155" i="3"/>
  <c r="AN155" i="3"/>
  <c r="AH155" i="3"/>
  <c r="AG155" i="3"/>
  <c r="BJ154" i="3"/>
  <c r="BI154" i="3"/>
  <c r="BC154" i="3"/>
  <c r="BB154" i="3"/>
  <c r="AV154" i="3"/>
  <c r="AU154" i="3"/>
  <c r="AO154" i="3"/>
  <c r="AN154" i="3"/>
  <c r="AH154" i="3"/>
  <c r="AG154" i="3"/>
  <c r="BJ153" i="3"/>
  <c r="BI153" i="3"/>
  <c r="BC153" i="3"/>
  <c r="BB153" i="3"/>
  <c r="AV153" i="3"/>
  <c r="AU153" i="3"/>
  <c r="AO153" i="3"/>
  <c r="AN153" i="3"/>
  <c r="AH153" i="3"/>
  <c r="AG153" i="3"/>
  <c r="BJ152" i="3"/>
  <c r="BI152" i="3"/>
  <c r="BC152" i="3"/>
  <c r="BB152" i="3"/>
  <c r="AV152" i="3"/>
  <c r="AU152" i="3"/>
  <c r="AO152" i="3"/>
  <c r="AN152" i="3"/>
  <c r="AH152" i="3"/>
  <c r="AG152" i="3"/>
  <c r="BJ151" i="3"/>
  <c r="BI151" i="3"/>
  <c r="BC151" i="3"/>
  <c r="BB151" i="3"/>
  <c r="AV151" i="3"/>
  <c r="AU151" i="3"/>
  <c r="AO151" i="3"/>
  <c r="AN151" i="3"/>
  <c r="AH151" i="3"/>
  <c r="AG151" i="3"/>
  <c r="BJ150" i="3"/>
  <c r="BI150" i="3"/>
  <c r="BC150" i="3"/>
  <c r="BB150" i="3"/>
  <c r="AV150" i="3"/>
  <c r="AU150" i="3"/>
  <c r="AO150" i="3"/>
  <c r="AN150" i="3"/>
  <c r="AH150" i="3"/>
  <c r="AG150" i="3"/>
  <c r="BJ149" i="3"/>
  <c r="BI149" i="3"/>
  <c r="BC149" i="3"/>
  <c r="BB149" i="3"/>
  <c r="AV149" i="3"/>
  <c r="AU149" i="3"/>
  <c r="AO149" i="3"/>
  <c r="AN149" i="3"/>
  <c r="AH149" i="3"/>
  <c r="AG149" i="3"/>
  <c r="BJ148" i="3"/>
  <c r="BI148" i="3"/>
  <c r="BC148" i="3"/>
  <c r="BB148" i="3"/>
  <c r="AV148" i="3"/>
  <c r="AU148" i="3"/>
  <c r="AO148" i="3"/>
  <c r="AN148" i="3"/>
  <c r="AH148" i="3"/>
  <c r="AG148" i="3"/>
  <c r="BJ147" i="3"/>
  <c r="BI147" i="3"/>
  <c r="BC147" i="3"/>
  <c r="BB147" i="3"/>
  <c r="AV147" i="3"/>
  <c r="AU147" i="3"/>
  <c r="AO147" i="3"/>
  <c r="AN147" i="3"/>
  <c r="AH147" i="3"/>
  <c r="AG147" i="3"/>
  <c r="BJ146" i="3"/>
  <c r="BI146" i="3"/>
  <c r="BC146" i="3"/>
  <c r="BB146" i="3"/>
  <c r="AV146" i="3"/>
  <c r="AU146" i="3"/>
  <c r="AO146" i="3"/>
  <c r="AN146" i="3"/>
  <c r="AH146" i="3"/>
  <c r="AG146" i="3"/>
  <c r="BJ145" i="3"/>
  <c r="BI145" i="3"/>
  <c r="BC145" i="3"/>
  <c r="BB145" i="3"/>
  <c r="AV145" i="3"/>
  <c r="AU145" i="3"/>
  <c r="AO145" i="3"/>
  <c r="AN145" i="3"/>
  <c r="AH145" i="3"/>
  <c r="AG145" i="3"/>
  <c r="BJ144" i="3"/>
  <c r="BI144" i="3"/>
  <c r="BC144" i="3"/>
  <c r="BB144" i="3"/>
  <c r="AV144" i="3"/>
  <c r="AU144" i="3"/>
  <c r="AO144" i="3"/>
  <c r="AN144" i="3"/>
  <c r="AH144" i="3"/>
  <c r="AG144" i="3"/>
  <c r="BJ143" i="3"/>
  <c r="BI143" i="3"/>
  <c r="BC143" i="3"/>
  <c r="BB143" i="3"/>
  <c r="AV143" i="3"/>
  <c r="AU143" i="3"/>
  <c r="AO143" i="3"/>
  <c r="AN143" i="3"/>
  <c r="AH143" i="3"/>
  <c r="AG143" i="3"/>
  <c r="BJ142" i="3"/>
  <c r="BI142" i="3"/>
  <c r="BC142" i="3"/>
  <c r="BB142" i="3"/>
  <c r="AV142" i="3"/>
  <c r="AU142" i="3"/>
  <c r="AO142" i="3"/>
  <c r="AN142" i="3"/>
  <c r="AH142" i="3"/>
  <c r="AG142" i="3"/>
  <c r="BJ141" i="3"/>
  <c r="BI141" i="3"/>
  <c r="BC141" i="3"/>
  <c r="BB141" i="3"/>
  <c r="AV141" i="3"/>
  <c r="AU141" i="3"/>
  <c r="AO141" i="3"/>
  <c r="AN141" i="3"/>
  <c r="AH141" i="3"/>
  <c r="AG141" i="3"/>
  <c r="BJ140" i="3"/>
  <c r="BI140" i="3"/>
  <c r="BC140" i="3"/>
  <c r="BB140" i="3"/>
  <c r="AV140" i="3"/>
  <c r="AU140" i="3"/>
  <c r="AO140" i="3"/>
  <c r="AN140" i="3"/>
  <c r="AH140" i="3"/>
  <c r="AG140" i="3"/>
  <c r="BJ139" i="3"/>
  <c r="BI139" i="3"/>
  <c r="BC139" i="3"/>
  <c r="BB139" i="3"/>
  <c r="AV139" i="3"/>
  <c r="AU139" i="3"/>
  <c r="AO139" i="3"/>
  <c r="AN139" i="3"/>
  <c r="AH139" i="3"/>
  <c r="AG139" i="3"/>
  <c r="BJ138" i="3"/>
  <c r="BI138" i="3"/>
  <c r="BC138" i="3"/>
  <c r="BB138" i="3"/>
  <c r="AV138" i="3"/>
  <c r="AU138" i="3"/>
  <c r="AO138" i="3"/>
  <c r="AN138" i="3"/>
  <c r="AH138" i="3"/>
  <c r="AG138" i="3"/>
  <c r="BJ137" i="3"/>
  <c r="BI137" i="3"/>
  <c r="BC137" i="3"/>
  <c r="BB137" i="3"/>
  <c r="AV137" i="3"/>
  <c r="AU137" i="3"/>
  <c r="AO137" i="3"/>
  <c r="AN137" i="3"/>
  <c r="AH137" i="3"/>
  <c r="AG137" i="3"/>
  <c r="BJ136" i="3"/>
  <c r="BI136" i="3"/>
  <c r="BC136" i="3"/>
  <c r="BB136" i="3"/>
  <c r="AV136" i="3"/>
  <c r="AU136" i="3"/>
  <c r="AO136" i="3"/>
  <c r="AN136" i="3"/>
  <c r="AH136" i="3"/>
  <c r="AG136" i="3"/>
  <c r="BJ135" i="3"/>
  <c r="BI135" i="3"/>
  <c r="BC135" i="3"/>
  <c r="BB135" i="3"/>
  <c r="AV135" i="3"/>
  <c r="AU135" i="3"/>
  <c r="AO135" i="3"/>
  <c r="AN135" i="3"/>
  <c r="AH135" i="3"/>
  <c r="AG135" i="3"/>
  <c r="BJ134" i="3"/>
  <c r="BI134" i="3"/>
  <c r="BC134" i="3"/>
  <c r="BB134" i="3"/>
  <c r="AV134" i="3"/>
  <c r="AU134" i="3"/>
  <c r="AO134" i="3"/>
  <c r="AN134" i="3"/>
  <c r="AH134" i="3"/>
  <c r="AG134" i="3"/>
  <c r="BJ133" i="3"/>
  <c r="BI133" i="3"/>
  <c r="BC133" i="3"/>
  <c r="BB133" i="3"/>
  <c r="AV133" i="3"/>
  <c r="AU133" i="3"/>
  <c r="AO133" i="3"/>
  <c r="AN133" i="3"/>
  <c r="AH133" i="3"/>
  <c r="AG133" i="3"/>
  <c r="BJ132" i="3"/>
  <c r="BI132" i="3"/>
  <c r="BC132" i="3"/>
  <c r="BB132" i="3"/>
  <c r="AV132" i="3"/>
  <c r="AU132" i="3"/>
  <c r="AO132" i="3"/>
  <c r="AN132" i="3"/>
  <c r="AH132" i="3"/>
  <c r="AG132" i="3"/>
  <c r="AA132" i="3"/>
  <c r="Z132" i="3"/>
  <c r="BJ131" i="3"/>
  <c r="BI131" i="3"/>
  <c r="BC131" i="3"/>
  <c r="BB131" i="3"/>
  <c r="AV131" i="3"/>
  <c r="AU131" i="3"/>
  <c r="AO131" i="3"/>
  <c r="AN131" i="3"/>
  <c r="AH131" i="3"/>
  <c r="AG131" i="3"/>
  <c r="AA131" i="3"/>
  <c r="Z131" i="3"/>
  <c r="BJ130" i="3"/>
  <c r="BI130" i="3"/>
  <c r="BC130" i="3"/>
  <c r="BB130" i="3"/>
  <c r="AV130" i="3"/>
  <c r="AU130" i="3"/>
  <c r="AO130" i="3"/>
  <c r="AN130" i="3"/>
  <c r="AH130" i="3"/>
  <c r="AG130" i="3"/>
  <c r="AA130" i="3"/>
  <c r="Z130" i="3"/>
  <c r="BJ129" i="3"/>
  <c r="BI129" i="3"/>
  <c r="BC129" i="3"/>
  <c r="BB129" i="3"/>
  <c r="AV129" i="3"/>
  <c r="AU129" i="3"/>
  <c r="AO129" i="3"/>
  <c r="AN129" i="3"/>
  <c r="AH129" i="3"/>
  <c r="AG129" i="3"/>
  <c r="AA129" i="3"/>
  <c r="Z129" i="3"/>
  <c r="BJ128" i="3"/>
  <c r="BI128" i="3"/>
  <c r="BC128" i="3"/>
  <c r="BB128" i="3"/>
  <c r="AV128" i="3"/>
  <c r="AU128" i="3"/>
  <c r="AO128" i="3"/>
  <c r="AN128" i="3"/>
  <c r="AH128" i="3"/>
  <c r="AG128" i="3"/>
  <c r="AA128" i="3"/>
  <c r="Z128" i="3"/>
  <c r="BJ127" i="3"/>
  <c r="BI127" i="3"/>
  <c r="BC127" i="3"/>
  <c r="BB127" i="3"/>
  <c r="AV127" i="3"/>
  <c r="AU127" i="3"/>
  <c r="AO127" i="3"/>
  <c r="AN127" i="3"/>
  <c r="AH127" i="3"/>
  <c r="AG127" i="3"/>
  <c r="AA127" i="3"/>
  <c r="Z127" i="3"/>
  <c r="BJ126" i="3"/>
  <c r="BI126" i="3"/>
  <c r="BC126" i="3"/>
  <c r="BB126" i="3"/>
  <c r="AV126" i="3"/>
  <c r="AU126" i="3"/>
  <c r="AO126" i="3"/>
  <c r="AN126" i="3"/>
  <c r="AH126" i="3"/>
  <c r="AG126" i="3"/>
  <c r="AA126" i="3"/>
  <c r="Z126" i="3"/>
  <c r="BJ125" i="3"/>
  <c r="BI125" i="3"/>
  <c r="BC125" i="3"/>
  <c r="BB125" i="3"/>
  <c r="AV125" i="3"/>
  <c r="AU125" i="3"/>
  <c r="AO125" i="3"/>
  <c r="AN125" i="3"/>
  <c r="AH125" i="3"/>
  <c r="AG125" i="3"/>
  <c r="AA125" i="3"/>
  <c r="Z125" i="3"/>
  <c r="BJ124" i="3"/>
  <c r="BI124" i="3"/>
  <c r="BC124" i="3"/>
  <c r="BB124" i="3"/>
  <c r="AV124" i="3"/>
  <c r="AU124" i="3"/>
  <c r="AO124" i="3"/>
  <c r="AN124" i="3"/>
  <c r="AH124" i="3"/>
  <c r="AG124" i="3"/>
  <c r="AA124" i="3"/>
  <c r="Z124" i="3"/>
  <c r="BJ123" i="3"/>
  <c r="BI123" i="3"/>
  <c r="BC123" i="3"/>
  <c r="BB123" i="3"/>
  <c r="AV123" i="3"/>
  <c r="AU123" i="3"/>
  <c r="AO123" i="3"/>
  <c r="AN123" i="3"/>
  <c r="AH123" i="3"/>
  <c r="AG123" i="3"/>
  <c r="AA123" i="3"/>
  <c r="Z123" i="3"/>
  <c r="BJ122" i="3"/>
  <c r="BI122" i="3"/>
  <c r="BC122" i="3"/>
  <c r="BB122" i="3"/>
  <c r="AV122" i="3"/>
  <c r="AU122" i="3"/>
  <c r="AO122" i="3"/>
  <c r="AN122" i="3"/>
  <c r="AH122" i="3"/>
  <c r="AG122" i="3"/>
  <c r="AA122" i="3"/>
  <c r="Z122" i="3"/>
  <c r="BJ121" i="3"/>
  <c r="BI121" i="3"/>
  <c r="BC121" i="3"/>
  <c r="BB121" i="3"/>
  <c r="AV121" i="3"/>
  <c r="AU121" i="3"/>
  <c r="AO121" i="3"/>
  <c r="AN121" i="3"/>
  <c r="AH121" i="3"/>
  <c r="AG121" i="3"/>
  <c r="AA121" i="3"/>
  <c r="Z121" i="3"/>
  <c r="BJ120" i="3"/>
  <c r="BI120" i="3"/>
  <c r="BC120" i="3"/>
  <c r="BB120" i="3"/>
  <c r="AV120" i="3"/>
  <c r="AU120" i="3"/>
  <c r="AO120" i="3"/>
  <c r="AN120" i="3"/>
  <c r="AH120" i="3"/>
  <c r="AG120" i="3"/>
  <c r="AA120" i="3"/>
  <c r="Z120" i="3"/>
  <c r="BJ119" i="3"/>
  <c r="BI119" i="3"/>
  <c r="BC119" i="3"/>
  <c r="BB119" i="3"/>
  <c r="AV119" i="3"/>
  <c r="AU119" i="3"/>
  <c r="AO119" i="3"/>
  <c r="AN119" i="3"/>
  <c r="AH119" i="3"/>
  <c r="AG119" i="3"/>
  <c r="AA119" i="3"/>
  <c r="Z119" i="3"/>
  <c r="T119" i="3"/>
  <c r="S119" i="3"/>
  <c r="BJ118" i="3"/>
  <c r="BI118" i="3"/>
  <c r="BC118" i="3"/>
  <c r="BB118" i="3"/>
  <c r="AV118" i="3"/>
  <c r="AU118" i="3"/>
  <c r="AO118" i="3"/>
  <c r="AN118" i="3"/>
  <c r="AH118" i="3"/>
  <c r="AG118" i="3"/>
  <c r="AA118" i="3"/>
  <c r="Z118" i="3"/>
  <c r="T118" i="3"/>
  <c r="S118" i="3"/>
  <c r="BJ117" i="3"/>
  <c r="BI117" i="3"/>
  <c r="BC117" i="3"/>
  <c r="BB117" i="3"/>
  <c r="AV117" i="3"/>
  <c r="AU117" i="3"/>
  <c r="AO117" i="3"/>
  <c r="AN117" i="3"/>
  <c r="AH117" i="3"/>
  <c r="AG117" i="3"/>
  <c r="AA117" i="3"/>
  <c r="Z117" i="3"/>
  <c r="T117" i="3"/>
  <c r="S117" i="3"/>
  <c r="BJ116" i="3"/>
  <c r="BI116" i="3"/>
  <c r="BC116" i="3"/>
  <c r="BB116" i="3"/>
  <c r="AV116" i="3"/>
  <c r="AU116" i="3"/>
  <c r="AO116" i="3"/>
  <c r="AN116" i="3"/>
  <c r="AH116" i="3"/>
  <c r="AG116" i="3"/>
  <c r="AA116" i="3"/>
  <c r="Z116" i="3"/>
  <c r="T116" i="3"/>
  <c r="S116" i="3"/>
  <c r="BJ115" i="3"/>
  <c r="BI115" i="3"/>
  <c r="BC115" i="3"/>
  <c r="BB115" i="3"/>
  <c r="AV115" i="3"/>
  <c r="AU115" i="3"/>
  <c r="AO115" i="3"/>
  <c r="AN115" i="3"/>
  <c r="AH115" i="3"/>
  <c r="AG115" i="3"/>
  <c r="AA115" i="3"/>
  <c r="Z115" i="3"/>
  <c r="T115" i="3"/>
  <c r="S115" i="3"/>
  <c r="BJ114" i="3"/>
  <c r="BI114" i="3"/>
  <c r="BC114" i="3"/>
  <c r="BB114" i="3"/>
  <c r="AV114" i="3"/>
  <c r="AU114" i="3"/>
  <c r="AO114" i="3"/>
  <c r="AN114" i="3"/>
  <c r="AH114" i="3"/>
  <c r="AG114" i="3"/>
  <c r="AA114" i="3"/>
  <c r="Z114" i="3"/>
  <c r="T114" i="3"/>
  <c r="S114" i="3"/>
  <c r="BJ113" i="3"/>
  <c r="BI113" i="3"/>
  <c r="BC113" i="3"/>
  <c r="BB113" i="3"/>
  <c r="AV113" i="3"/>
  <c r="AU113" i="3"/>
  <c r="AO113" i="3"/>
  <c r="AN113" i="3"/>
  <c r="AH113" i="3"/>
  <c r="AG113" i="3"/>
  <c r="AA113" i="3"/>
  <c r="Z113" i="3"/>
  <c r="T113" i="3"/>
  <c r="S113" i="3"/>
  <c r="BJ112" i="3"/>
  <c r="BI112" i="3"/>
  <c r="BC112" i="3"/>
  <c r="BB112" i="3"/>
  <c r="AV112" i="3"/>
  <c r="AU112" i="3"/>
  <c r="AO112" i="3"/>
  <c r="AN112" i="3"/>
  <c r="AH112" i="3"/>
  <c r="AG112" i="3"/>
  <c r="AA112" i="3"/>
  <c r="Z112" i="3"/>
  <c r="T112" i="3"/>
  <c r="S112" i="3"/>
  <c r="BJ111" i="3"/>
  <c r="BI111" i="3"/>
  <c r="BC111" i="3"/>
  <c r="BB111" i="3"/>
  <c r="AV111" i="3"/>
  <c r="AU111" i="3"/>
  <c r="AO111" i="3"/>
  <c r="AN111" i="3"/>
  <c r="AH111" i="3"/>
  <c r="AG111" i="3"/>
  <c r="AA111" i="3"/>
  <c r="Z111" i="3"/>
  <c r="T111" i="3"/>
  <c r="S111" i="3"/>
  <c r="M111" i="3"/>
  <c r="L111" i="3"/>
  <c r="BJ110" i="3"/>
  <c r="BI110" i="3"/>
  <c r="BC110" i="3"/>
  <c r="BB110" i="3"/>
  <c r="AV110" i="3"/>
  <c r="AU110" i="3"/>
  <c r="AO110" i="3"/>
  <c r="AN110" i="3"/>
  <c r="AH110" i="3"/>
  <c r="AG110" i="3"/>
  <c r="AA110" i="3"/>
  <c r="Z110" i="3"/>
  <c r="T110" i="3"/>
  <c r="S110" i="3"/>
  <c r="M110" i="3"/>
  <c r="L110" i="3"/>
  <c r="BJ109" i="3"/>
  <c r="BI109" i="3"/>
  <c r="BC109" i="3"/>
  <c r="BB109" i="3"/>
  <c r="AV109" i="3"/>
  <c r="AU109" i="3"/>
  <c r="AO109" i="3"/>
  <c r="AN109" i="3"/>
  <c r="AH109" i="3"/>
  <c r="AG109" i="3"/>
  <c r="AA109" i="3"/>
  <c r="Z109" i="3"/>
  <c r="T109" i="3"/>
  <c r="S109" i="3"/>
  <c r="M109" i="3"/>
  <c r="L109" i="3"/>
  <c r="BJ108" i="3"/>
  <c r="BI108" i="3"/>
  <c r="BC108" i="3"/>
  <c r="BB108" i="3"/>
  <c r="AV108" i="3"/>
  <c r="AU108" i="3"/>
  <c r="AO108" i="3"/>
  <c r="AN108" i="3"/>
  <c r="AH108" i="3"/>
  <c r="AG108" i="3"/>
  <c r="AA108" i="3"/>
  <c r="Z108" i="3"/>
  <c r="T108" i="3"/>
  <c r="S108" i="3"/>
  <c r="M108" i="3"/>
  <c r="L108" i="3"/>
  <c r="BJ107" i="3"/>
  <c r="BI107" i="3"/>
  <c r="BC107" i="3"/>
  <c r="BB107" i="3"/>
  <c r="AV107" i="3"/>
  <c r="AU107" i="3"/>
  <c r="AO107" i="3"/>
  <c r="AN107" i="3"/>
  <c r="AH107" i="3"/>
  <c r="AG107" i="3"/>
  <c r="AA107" i="3"/>
  <c r="Z107" i="3"/>
  <c r="T107" i="3"/>
  <c r="S107" i="3"/>
  <c r="M107" i="3"/>
  <c r="L107" i="3"/>
  <c r="BJ106" i="3"/>
  <c r="BI106" i="3"/>
  <c r="BC106" i="3"/>
  <c r="BB106" i="3"/>
  <c r="AV106" i="3"/>
  <c r="AU106" i="3"/>
  <c r="AO106" i="3"/>
  <c r="AN106" i="3"/>
  <c r="AH106" i="3"/>
  <c r="AG106" i="3"/>
  <c r="AA106" i="3"/>
  <c r="Z106" i="3"/>
  <c r="T106" i="3"/>
  <c r="S106" i="3"/>
  <c r="M106" i="3"/>
  <c r="L106" i="3"/>
  <c r="BJ105" i="3"/>
  <c r="BI105" i="3"/>
  <c r="BC105" i="3"/>
  <c r="BB105" i="3"/>
  <c r="AV105" i="3"/>
  <c r="AU105" i="3"/>
  <c r="AO105" i="3"/>
  <c r="AN105" i="3"/>
  <c r="AH105" i="3"/>
  <c r="AG105" i="3"/>
  <c r="AA105" i="3"/>
  <c r="Z105" i="3"/>
  <c r="T105" i="3"/>
  <c r="S105" i="3"/>
  <c r="M105" i="3"/>
  <c r="L105" i="3"/>
  <c r="BJ104" i="3"/>
  <c r="BI104" i="3"/>
  <c r="BC104" i="3"/>
  <c r="BB104" i="3"/>
  <c r="AV104" i="3"/>
  <c r="AU104" i="3"/>
  <c r="AO104" i="3"/>
  <c r="AN104" i="3"/>
  <c r="AH104" i="3"/>
  <c r="AG104" i="3"/>
  <c r="AA104" i="3"/>
  <c r="Z104" i="3"/>
  <c r="T104" i="3"/>
  <c r="S104" i="3"/>
  <c r="M104" i="3"/>
  <c r="L104" i="3"/>
  <c r="BJ103" i="3"/>
  <c r="BI103" i="3"/>
  <c r="BC103" i="3"/>
  <c r="BB103" i="3"/>
  <c r="AV103" i="3"/>
  <c r="AU103" i="3"/>
  <c r="AO103" i="3"/>
  <c r="AN103" i="3"/>
  <c r="AH103" i="3"/>
  <c r="AG103" i="3"/>
  <c r="AA103" i="3"/>
  <c r="Z103" i="3"/>
  <c r="T103" i="3"/>
  <c r="S103" i="3"/>
  <c r="M103" i="3"/>
  <c r="L103" i="3"/>
  <c r="BJ102" i="3"/>
  <c r="BI102" i="3"/>
  <c r="BC102" i="3"/>
  <c r="BB102" i="3"/>
  <c r="AV102" i="3"/>
  <c r="AU102" i="3"/>
  <c r="AO102" i="3"/>
  <c r="AN102" i="3"/>
  <c r="AH102" i="3"/>
  <c r="AG102" i="3"/>
  <c r="AA102" i="3"/>
  <c r="Z102" i="3"/>
  <c r="T102" i="3"/>
  <c r="S102" i="3"/>
  <c r="M102" i="3"/>
  <c r="L102" i="3"/>
  <c r="BJ101" i="3"/>
  <c r="BI101" i="3"/>
  <c r="BC101" i="3"/>
  <c r="BB101" i="3"/>
  <c r="AV101" i="3"/>
  <c r="AU101" i="3"/>
  <c r="AO101" i="3"/>
  <c r="AN101" i="3"/>
  <c r="AH101" i="3"/>
  <c r="AG101" i="3"/>
  <c r="AA101" i="3"/>
  <c r="Z101" i="3"/>
  <c r="T101" i="3"/>
  <c r="S101" i="3"/>
  <c r="M101" i="3"/>
  <c r="L101" i="3"/>
  <c r="BJ100" i="3"/>
  <c r="BI100" i="3"/>
  <c r="BC100" i="3"/>
  <c r="BB100" i="3"/>
  <c r="AV100" i="3"/>
  <c r="AU100" i="3"/>
  <c r="AO100" i="3"/>
  <c r="AN100" i="3"/>
  <c r="AH100" i="3"/>
  <c r="AG100" i="3"/>
  <c r="AA100" i="3"/>
  <c r="Z100" i="3"/>
  <c r="T100" i="3"/>
  <c r="S100" i="3"/>
  <c r="M100" i="3"/>
  <c r="L100" i="3"/>
  <c r="BJ99" i="3"/>
  <c r="BI99" i="3"/>
  <c r="BC99" i="3"/>
  <c r="BB99" i="3"/>
  <c r="AV99" i="3"/>
  <c r="AU99" i="3"/>
  <c r="AO99" i="3"/>
  <c r="AN99" i="3"/>
  <c r="AH99" i="3"/>
  <c r="AG99" i="3"/>
  <c r="AA99" i="3"/>
  <c r="Z99" i="3"/>
  <c r="T99" i="3"/>
  <c r="S99" i="3"/>
  <c r="M99" i="3"/>
  <c r="L99" i="3"/>
  <c r="BJ98" i="3"/>
  <c r="BI98" i="3"/>
  <c r="BC98" i="3"/>
  <c r="BB98" i="3"/>
  <c r="AV98" i="3"/>
  <c r="AU98" i="3"/>
  <c r="AO98" i="3"/>
  <c r="AN98" i="3"/>
  <c r="AH98" i="3"/>
  <c r="AG98" i="3"/>
  <c r="AA98" i="3"/>
  <c r="Z98" i="3"/>
  <c r="T98" i="3"/>
  <c r="S98" i="3"/>
  <c r="M98" i="3"/>
  <c r="L98" i="3"/>
  <c r="BJ97" i="3"/>
  <c r="BI97" i="3"/>
  <c r="BC97" i="3"/>
  <c r="BB97" i="3"/>
  <c r="AV97" i="3"/>
  <c r="AU97" i="3"/>
  <c r="AO97" i="3"/>
  <c r="AN97" i="3"/>
  <c r="AH97" i="3"/>
  <c r="AG97" i="3"/>
  <c r="AA97" i="3"/>
  <c r="Z97" i="3"/>
  <c r="T97" i="3"/>
  <c r="S97" i="3"/>
  <c r="M97" i="3"/>
  <c r="L97" i="3"/>
  <c r="BJ96" i="3"/>
  <c r="BI96" i="3"/>
  <c r="BC96" i="3"/>
  <c r="BB96" i="3"/>
  <c r="AV96" i="3"/>
  <c r="AU96" i="3"/>
  <c r="AO96" i="3"/>
  <c r="AN96" i="3"/>
  <c r="AH96" i="3"/>
  <c r="AG96" i="3"/>
  <c r="AA96" i="3"/>
  <c r="Z96" i="3"/>
  <c r="T96" i="3"/>
  <c r="S96" i="3"/>
  <c r="M96" i="3"/>
  <c r="L96" i="3"/>
  <c r="BJ95" i="3"/>
  <c r="BI95" i="3"/>
  <c r="BC95" i="3"/>
  <c r="BB95" i="3"/>
  <c r="AV95" i="3"/>
  <c r="AU95" i="3"/>
  <c r="AO95" i="3"/>
  <c r="AN95" i="3"/>
  <c r="AH95" i="3"/>
  <c r="AG95" i="3"/>
  <c r="AA95" i="3"/>
  <c r="Z95" i="3"/>
  <c r="T95" i="3"/>
  <c r="S95" i="3"/>
  <c r="M95" i="3"/>
  <c r="L95" i="3"/>
  <c r="BJ94" i="3"/>
  <c r="BI94" i="3"/>
  <c r="BC94" i="3"/>
  <c r="BB94" i="3"/>
  <c r="AV94" i="3"/>
  <c r="AU94" i="3"/>
  <c r="AO94" i="3"/>
  <c r="AN94" i="3"/>
  <c r="AH94" i="3"/>
  <c r="AG94" i="3"/>
  <c r="AA94" i="3"/>
  <c r="Z94" i="3"/>
  <c r="T94" i="3"/>
  <c r="S94" i="3"/>
  <c r="M94" i="3"/>
  <c r="L94" i="3"/>
  <c r="BJ93" i="3"/>
  <c r="BI93" i="3"/>
  <c r="BC93" i="3"/>
  <c r="BB93" i="3"/>
  <c r="AV93" i="3"/>
  <c r="AU93" i="3"/>
  <c r="AO93" i="3"/>
  <c r="AN93" i="3"/>
  <c r="AH93" i="3"/>
  <c r="AG93" i="3"/>
  <c r="AA93" i="3"/>
  <c r="Z93" i="3"/>
  <c r="T93" i="3"/>
  <c r="S93" i="3"/>
  <c r="M93" i="3"/>
  <c r="L93" i="3"/>
  <c r="BJ92" i="3"/>
  <c r="BI92" i="3"/>
  <c r="BC92" i="3"/>
  <c r="BB92" i="3"/>
  <c r="AV92" i="3"/>
  <c r="AU92" i="3"/>
  <c r="AO92" i="3"/>
  <c r="AN92" i="3"/>
  <c r="AH92" i="3"/>
  <c r="AG92" i="3"/>
  <c r="AA92" i="3"/>
  <c r="Z92" i="3"/>
  <c r="T92" i="3"/>
  <c r="S92" i="3"/>
  <c r="M92" i="3"/>
  <c r="L92" i="3"/>
  <c r="BJ91" i="3"/>
  <c r="BI91" i="3"/>
  <c r="BC91" i="3"/>
  <c r="BB91" i="3"/>
  <c r="AV91" i="3"/>
  <c r="AU91" i="3"/>
  <c r="AO91" i="3"/>
  <c r="AN91" i="3"/>
  <c r="AH91" i="3"/>
  <c r="AG91" i="3"/>
  <c r="AA91" i="3"/>
  <c r="Z91" i="3"/>
  <c r="T91" i="3"/>
  <c r="S91" i="3"/>
  <c r="M91" i="3"/>
  <c r="L91" i="3"/>
  <c r="BJ90" i="3"/>
  <c r="BI90" i="3"/>
  <c r="BC90" i="3"/>
  <c r="BB90" i="3"/>
  <c r="AV90" i="3"/>
  <c r="AU90" i="3"/>
  <c r="AO90" i="3"/>
  <c r="AN90" i="3"/>
  <c r="AH90" i="3"/>
  <c r="AG90" i="3"/>
  <c r="AA90" i="3"/>
  <c r="Z90" i="3"/>
  <c r="T90" i="3"/>
  <c r="S90" i="3"/>
  <c r="M90" i="3"/>
  <c r="L90" i="3"/>
  <c r="BJ89" i="3"/>
  <c r="BI89" i="3"/>
  <c r="BC89" i="3"/>
  <c r="BB89" i="3"/>
  <c r="AV89" i="3"/>
  <c r="AU89" i="3"/>
  <c r="AO89" i="3"/>
  <c r="AN89" i="3"/>
  <c r="AH89" i="3"/>
  <c r="AG89" i="3"/>
  <c r="AA89" i="3"/>
  <c r="Z89" i="3"/>
  <c r="T89" i="3"/>
  <c r="S89" i="3"/>
  <c r="M89" i="3"/>
  <c r="L89" i="3"/>
  <c r="BJ88" i="3"/>
  <c r="BI88" i="3"/>
  <c r="BC88" i="3"/>
  <c r="BB88" i="3"/>
  <c r="AV88" i="3"/>
  <c r="AU88" i="3"/>
  <c r="AO88" i="3"/>
  <c r="AN88" i="3"/>
  <c r="AH88" i="3"/>
  <c r="AG88" i="3"/>
  <c r="AA88" i="3"/>
  <c r="Z88" i="3"/>
  <c r="T88" i="3"/>
  <c r="S88" i="3"/>
  <c r="M88" i="3"/>
  <c r="L88" i="3"/>
  <c r="BJ87" i="3"/>
  <c r="BI87" i="3"/>
  <c r="BC87" i="3"/>
  <c r="BB87" i="3"/>
  <c r="AV87" i="3"/>
  <c r="AU87" i="3"/>
  <c r="AO87" i="3"/>
  <c r="AN87" i="3"/>
  <c r="AH87" i="3"/>
  <c r="AG87" i="3"/>
  <c r="AA87" i="3"/>
  <c r="Z87" i="3"/>
  <c r="T87" i="3"/>
  <c r="S87" i="3"/>
  <c r="M87" i="3"/>
  <c r="L87" i="3"/>
  <c r="BJ86" i="3"/>
  <c r="BI86" i="3"/>
  <c r="BC86" i="3"/>
  <c r="BB86" i="3"/>
  <c r="AV86" i="3"/>
  <c r="AU86" i="3"/>
  <c r="AO86" i="3"/>
  <c r="AN86" i="3"/>
  <c r="AH86" i="3"/>
  <c r="AG86" i="3"/>
  <c r="AA86" i="3"/>
  <c r="Z86" i="3"/>
  <c r="T86" i="3"/>
  <c r="S86" i="3"/>
  <c r="M86" i="3"/>
  <c r="L86" i="3"/>
  <c r="BJ85" i="3"/>
  <c r="BI85" i="3"/>
  <c r="BC85" i="3"/>
  <c r="BB85" i="3"/>
  <c r="AV85" i="3"/>
  <c r="AU85" i="3"/>
  <c r="AO85" i="3"/>
  <c r="AN85" i="3"/>
  <c r="AH85" i="3"/>
  <c r="AG85" i="3"/>
  <c r="AA85" i="3"/>
  <c r="Z85" i="3"/>
  <c r="T85" i="3"/>
  <c r="S85" i="3"/>
  <c r="M85" i="3"/>
  <c r="L85" i="3"/>
  <c r="BJ84" i="3"/>
  <c r="BI84" i="3"/>
  <c r="BC84" i="3"/>
  <c r="BB84" i="3"/>
  <c r="AV84" i="3"/>
  <c r="AU84" i="3"/>
  <c r="AO84" i="3"/>
  <c r="AN84" i="3"/>
  <c r="AH84" i="3"/>
  <c r="AG84" i="3"/>
  <c r="AA84" i="3"/>
  <c r="Z84" i="3"/>
  <c r="T84" i="3"/>
  <c r="S84" i="3"/>
  <c r="M84" i="3"/>
  <c r="L84" i="3"/>
  <c r="BJ83" i="3"/>
  <c r="BI83" i="3"/>
  <c r="BC83" i="3"/>
  <c r="BB83" i="3"/>
  <c r="AV83" i="3"/>
  <c r="AU83" i="3"/>
  <c r="AO83" i="3"/>
  <c r="AN83" i="3"/>
  <c r="AH83" i="3"/>
  <c r="AG83" i="3"/>
  <c r="AA83" i="3"/>
  <c r="Z83" i="3"/>
  <c r="T83" i="3"/>
  <c r="S83" i="3"/>
  <c r="M83" i="3"/>
  <c r="L83" i="3"/>
  <c r="BJ82" i="3"/>
  <c r="BI82" i="3"/>
  <c r="BC82" i="3"/>
  <c r="BB82" i="3"/>
  <c r="AV82" i="3"/>
  <c r="AU82" i="3"/>
  <c r="AO82" i="3"/>
  <c r="AN82" i="3"/>
  <c r="AH82" i="3"/>
  <c r="AG82" i="3"/>
  <c r="AA82" i="3"/>
  <c r="Z82" i="3"/>
  <c r="T82" i="3"/>
  <c r="S82" i="3"/>
  <c r="M82" i="3"/>
  <c r="L82" i="3"/>
  <c r="BJ81" i="3"/>
  <c r="BI81" i="3"/>
  <c r="BC81" i="3"/>
  <c r="BB81" i="3"/>
  <c r="AV81" i="3"/>
  <c r="AU81" i="3"/>
  <c r="AO81" i="3"/>
  <c r="AN81" i="3"/>
  <c r="AH81" i="3"/>
  <c r="AG81" i="3"/>
  <c r="AA81" i="3"/>
  <c r="Z81" i="3"/>
  <c r="T81" i="3"/>
  <c r="S81" i="3"/>
  <c r="M81" i="3"/>
  <c r="L81" i="3"/>
  <c r="F81" i="3"/>
  <c r="E81" i="3"/>
  <c r="BJ80" i="3"/>
  <c r="BI80" i="3"/>
  <c r="BC80" i="3"/>
  <c r="BB80" i="3"/>
  <c r="AV80" i="3"/>
  <c r="AU80" i="3"/>
  <c r="AO80" i="3"/>
  <c r="AN80" i="3"/>
  <c r="AH80" i="3"/>
  <c r="AG80" i="3"/>
  <c r="AA80" i="3"/>
  <c r="Z80" i="3"/>
  <c r="T80" i="3"/>
  <c r="S80" i="3"/>
  <c r="M80" i="3"/>
  <c r="L80" i="3"/>
  <c r="F80" i="3"/>
  <c r="E80" i="3"/>
  <c r="BJ79" i="3"/>
  <c r="BI79" i="3"/>
  <c r="BC79" i="3"/>
  <c r="BB79" i="3"/>
  <c r="AV79" i="3"/>
  <c r="AU79" i="3"/>
  <c r="AO79" i="3"/>
  <c r="AN79" i="3"/>
  <c r="AH79" i="3"/>
  <c r="AG79" i="3"/>
  <c r="AA79" i="3"/>
  <c r="Z79" i="3"/>
  <c r="T79" i="3"/>
  <c r="S79" i="3"/>
  <c r="M79" i="3"/>
  <c r="L79" i="3"/>
  <c r="F79" i="3"/>
  <c r="E79" i="3"/>
  <c r="BJ78" i="3"/>
  <c r="BI78" i="3"/>
  <c r="BC78" i="3"/>
  <c r="BB78" i="3"/>
  <c r="AV78" i="3"/>
  <c r="AU78" i="3"/>
  <c r="AO78" i="3"/>
  <c r="AN78" i="3"/>
  <c r="AH78" i="3"/>
  <c r="AG78" i="3"/>
  <c r="AA78" i="3"/>
  <c r="Z78" i="3"/>
  <c r="T78" i="3"/>
  <c r="S78" i="3"/>
  <c r="M78" i="3"/>
  <c r="L78" i="3"/>
  <c r="F78" i="3"/>
  <c r="E78" i="3"/>
  <c r="BJ77" i="3"/>
  <c r="BI77" i="3"/>
  <c r="BC77" i="3"/>
  <c r="BB77" i="3"/>
  <c r="AV77" i="3"/>
  <c r="AU77" i="3"/>
  <c r="AO77" i="3"/>
  <c r="AN77" i="3"/>
  <c r="AH77" i="3"/>
  <c r="AG77" i="3"/>
  <c r="AA77" i="3"/>
  <c r="Z77" i="3"/>
  <c r="T77" i="3"/>
  <c r="S77" i="3"/>
  <c r="M77" i="3"/>
  <c r="L77" i="3"/>
  <c r="F77" i="3"/>
  <c r="E77" i="3"/>
  <c r="BJ76" i="3"/>
  <c r="BI76" i="3"/>
  <c r="BC76" i="3"/>
  <c r="BB76" i="3"/>
  <c r="AV76" i="3"/>
  <c r="AU76" i="3"/>
  <c r="AO76" i="3"/>
  <c r="AN76" i="3"/>
  <c r="AH76" i="3"/>
  <c r="AG76" i="3"/>
  <c r="AA76" i="3"/>
  <c r="Z76" i="3"/>
  <c r="T76" i="3"/>
  <c r="S76" i="3"/>
  <c r="M76" i="3"/>
  <c r="L76" i="3"/>
  <c r="F76" i="3"/>
  <c r="E76" i="3"/>
  <c r="BJ75" i="3"/>
  <c r="BI75" i="3"/>
  <c r="BC75" i="3"/>
  <c r="BB75" i="3"/>
  <c r="AV75" i="3"/>
  <c r="AU75" i="3"/>
  <c r="AO75" i="3"/>
  <c r="AN75" i="3"/>
  <c r="AH75" i="3"/>
  <c r="AG75" i="3"/>
  <c r="AA75" i="3"/>
  <c r="Z75" i="3"/>
  <c r="T75" i="3"/>
  <c r="S75" i="3"/>
  <c r="M75" i="3"/>
  <c r="L75" i="3"/>
  <c r="F75" i="3"/>
  <c r="E75" i="3"/>
  <c r="BJ74" i="3"/>
  <c r="BI74" i="3"/>
  <c r="BC74" i="3"/>
  <c r="BB74" i="3"/>
  <c r="AV74" i="3"/>
  <c r="AU74" i="3"/>
  <c r="AO74" i="3"/>
  <c r="AN74" i="3"/>
  <c r="AH74" i="3"/>
  <c r="AG74" i="3"/>
  <c r="AA74" i="3"/>
  <c r="Z74" i="3"/>
  <c r="T74" i="3"/>
  <c r="S74" i="3"/>
  <c r="M74" i="3"/>
  <c r="L74" i="3"/>
  <c r="F74" i="3"/>
  <c r="E74" i="3"/>
  <c r="BJ73" i="3"/>
  <c r="BI73" i="3"/>
  <c r="BC73" i="3"/>
  <c r="BB73" i="3"/>
  <c r="AV73" i="3"/>
  <c r="AU73" i="3"/>
  <c r="AO73" i="3"/>
  <c r="AN73" i="3"/>
  <c r="AH73" i="3"/>
  <c r="AG73" i="3"/>
  <c r="AA73" i="3"/>
  <c r="Z73" i="3"/>
  <c r="T73" i="3"/>
  <c r="S73" i="3"/>
  <c r="M73" i="3"/>
  <c r="L73" i="3"/>
  <c r="F73" i="3"/>
  <c r="E73" i="3"/>
  <c r="BJ72" i="3"/>
  <c r="BI72" i="3"/>
  <c r="BC72" i="3"/>
  <c r="BB72" i="3"/>
  <c r="AV72" i="3"/>
  <c r="AU72" i="3"/>
  <c r="AO72" i="3"/>
  <c r="AN72" i="3"/>
  <c r="AH72" i="3"/>
  <c r="AG72" i="3"/>
  <c r="AA72" i="3"/>
  <c r="Z72" i="3"/>
  <c r="T72" i="3"/>
  <c r="S72" i="3"/>
  <c r="M72" i="3"/>
  <c r="L72" i="3"/>
  <c r="F72" i="3"/>
  <c r="E72" i="3"/>
  <c r="BJ71" i="3"/>
  <c r="BI71" i="3"/>
  <c r="BC71" i="3"/>
  <c r="BB71" i="3"/>
  <c r="AV71" i="3"/>
  <c r="AU71" i="3"/>
  <c r="AO71" i="3"/>
  <c r="AN71" i="3"/>
  <c r="AH71" i="3"/>
  <c r="AG71" i="3"/>
  <c r="AA71" i="3"/>
  <c r="Z71" i="3"/>
  <c r="T71" i="3"/>
  <c r="S71" i="3"/>
  <c r="M71" i="3"/>
  <c r="L71" i="3"/>
  <c r="F71" i="3"/>
  <c r="E71" i="3"/>
  <c r="BJ70" i="3"/>
  <c r="BI70" i="3"/>
  <c r="BC70" i="3"/>
  <c r="BB70" i="3"/>
  <c r="AV70" i="3"/>
  <c r="AU70" i="3"/>
  <c r="AO70" i="3"/>
  <c r="AN70" i="3"/>
  <c r="AH70" i="3"/>
  <c r="AG70" i="3"/>
  <c r="AA70" i="3"/>
  <c r="Z70" i="3"/>
  <c r="T70" i="3"/>
  <c r="S70" i="3"/>
  <c r="M70" i="3"/>
  <c r="L70" i="3"/>
  <c r="F70" i="3"/>
  <c r="E70" i="3"/>
  <c r="BJ69" i="3"/>
  <c r="BI69" i="3"/>
  <c r="BC69" i="3"/>
  <c r="BB69" i="3"/>
  <c r="AV69" i="3"/>
  <c r="AU69" i="3"/>
  <c r="AO69" i="3"/>
  <c r="AN69" i="3"/>
  <c r="AH69" i="3"/>
  <c r="AG69" i="3"/>
  <c r="AA69" i="3"/>
  <c r="Z69" i="3"/>
  <c r="T69" i="3"/>
  <c r="S69" i="3"/>
  <c r="M69" i="3"/>
  <c r="L69" i="3"/>
  <c r="F69" i="3"/>
  <c r="E69" i="3"/>
  <c r="BJ68" i="3"/>
  <c r="BI68" i="3"/>
  <c r="BC68" i="3"/>
  <c r="BB68" i="3"/>
  <c r="AV68" i="3"/>
  <c r="AU68" i="3"/>
  <c r="AO68" i="3"/>
  <c r="AN68" i="3"/>
  <c r="AH68" i="3"/>
  <c r="AG68" i="3"/>
  <c r="AA68" i="3"/>
  <c r="Z68" i="3"/>
  <c r="T68" i="3"/>
  <c r="S68" i="3"/>
  <c r="M68" i="3"/>
  <c r="L68" i="3"/>
  <c r="F68" i="3"/>
  <c r="E68" i="3"/>
  <c r="BJ67" i="3"/>
  <c r="BI67" i="3"/>
  <c r="BC67" i="3"/>
  <c r="BB67" i="3"/>
  <c r="AV67" i="3"/>
  <c r="AU67" i="3"/>
  <c r="AO67" i="3"/>
  <c r="AN67" i="3"/>
  <c r="AH67" i="3"/>
  <c r="AG67" i="3"/>
  <c r="AA67" i="3"/>
  <c r="Z67" i="3"/>
  <c r="T67" i="3"/>
  <c r="S67" i="3"/>
  <c r="M67" i="3"/>
  <c r="L67" i="3"/>
  <c r="F67" i="3"/>
  <c r="E67" i="3"/>
  <c r="BJ66" i="3"/>
  <c r="BI66" i="3"/>
  <c r="BC66" i="3"/>
  <c r="BB66" i="3"/>
  <c r="AV66" i="3"/>
  <c r="AU66" i="3"/>
  <c r="AO66" i="3"/>
  <c r="AN66" i="3"/>
  <c r="AH66" i="3"/>
  <c r="AG66" i="3"/>
  <c r="AA66" i="3"/>
  <c r="Z66" i="3"/>
  <c r="T66" i="3"/>
  <c r="S66" i="3"/>
  <c r="M66" i="3"/>
  <c r="L66" i="3"/>
  <c r="F66" i="3"/>
  <c r="E66" i="3"/>
  <c r="BJ65" i="3"/>
  <c r="BI65" i="3"/>
  <c r="BC65" i="3"/>
  <c r="BB65" i="3"/>
  <c r="AV65" i="3"/>
  <c r="AU65" i="3"/>
  <c r="AO65" i="3"/>
  <c r="AN65" i="3"/>
  <c r="AH65" i="3"/>
  <c r="AG65" i="3"/>
  <c r="AA65" i="3"/>
  <c r="Z65" i="3"/>
  <c r="T65" i="3"/>
  <c r="S65" i="3"/>
  <c r="M65" i="3"/>
  <c r="L65" i="3"/>
  <c r="F65" i="3"/>
  <c r="E65" i="3"/>
  <c r="BJ64" i="3"/>
  <c r="BI64" i="3"/>
  <c r="BC64" i="3"/>
  <c r="BB64" i="3"/>
  <c r="AV64" i="3"/>
  <c r="AU64" i="3"/>
  <c r="AO64" i="3"/>
  <c r="AN64" i="3"/>
  <c r="AH64" i="3"/>
  <c r="AG64" i="3"/>
  <c r="AA64" i="3"/>
  <c r="Z64" i="3"/>
  <c r="T64" i="3"/>
  <c r="S64" i="3"/>
  <c r="M64" i="3"/>
  <c r="L64" i="3"/>
  <c r="F64" i="3"/>
  <c r="E64" i="3"/>
  <c r="BJ63" i="3"/>
  <c r="BI63" i="3"/>
  <c r="BC63" i="3"/>
  <c r="BB63" i="3"/>
  <c r="AV63" i="3"/>
  <c r="AU63" i="3"/>
  <c r="AO63" i="3"/>
  <c r="AN63" i="3"/>
  <c r="AH63" i="3"/>
  <c r="AG63" i="3"/>
  <c r="AA63" i="3"/>
  <c r="Z63" i="3"/>
  <c r="T63" i="3"/>
  <c r="S63" i="3"/>
  <c r="M63" i="3"/>
  <c r="L63" i="3"/>
  <c r="F63" i="3"/>
  <c r="E63" i="3"/>
  <c r="BJ62" i="3"/>
  <c r="BI62" i="3"/>
  <c r="BC62" i="3"/>
  <c r="BB62" i="3"/>
  <c r="AV62" i="3"/>
  <c r="AU62" i="3"/>
  <c r="AO62" i="3"/>
  <c r="AN62" i="3"/>
  <c r="AH62" i="3"/>
  <c r="AG62" i="3"/>
  <c r="AA62" i="3"/>
  <c r="Z62" i="3"/>
  <c r="T62" i="3"/>
  <c r="S62" i="3"/>
  <c r="M62" i="3"/>
  <c r="L62" i="3"/>
  <c r="F62" i="3"/>
  <c r="E62" i="3"/>
  <c r="BJ61" i="3"/>
  <c r="BI61" i="3"/>
  <c r="BC61" i="3"/>
  <c r="BB61" i="3"/>
  <c r="AV61" i="3"/>
  <c r="AU61" i="3"/>
  <c r="AO61" i="3"/>
  <c r="AN61" i="3"/>
  <c r="AH61" i="3"/>
  <c r="AG61" i="3"/>
  <c r="AA61" i="3"/>
  <c r="Z61" i="3"/>
  <c r="T61" i="3"/>
  <c r="S61" i="3"/>
  <c r="M61" i="3"/>
  <c r="L61" i="3"/>
  <c r="F61" i="3"/>
  <c r="E61" i="3"/>
  <c r="BJ60" i="3"/>
  <c r="BI60" i="3"/>
  <c r="BC60" i="3"/>
  <c r="BB60" i="3"/>
  <c r="AV60" i="3"/>
  <c r="AU60" i="3"/>
  <c r="AO60" i="3"/>
  <c r="AN60" i="3"/>
  <c r="AH60" i="3"/>
  <c r="AG60" i="3"/>
  <c r="AA60" i="3"/>
  <c r="Z60" i="3"/>
  <c r="T60" i="3"/>
  <c r="S60" i="3"/>
  <c r="M60" i="3"/>
  <c r="L60" i="3"/>
  <c r="F60" i="3"/>
  <c r="E60" i="3"/>
  <c r="BJ59" i="3"/>
  <c r="BI59" i="3"/>
  <c r="BC59" i="3"/>
  <c r="BB59" i="3"/>
  <c r="AV59" i="3"/>
  <c r="AU59" i="3"/>
  <c r="AO59" i="3"/>
  <c r="AN59" i="3"/>
  <c r="AH59" i="3"/>
  <c r="AG59" i="3"/>
  <c r="AA59" i="3"/>
  <c r="Z59" i="3"/>
  <c r="T59" i="3"/>
  <c r="S59" i="3"/>
  <c r="M59" i="3"/>
  <c r="L59" i="3"/>
  <c r="F59" i="3"/>
  <c r="E59" i="3"/>
  <c r="BJ58" i="3"/>
  <c r="BI58" i="3"/>
  <c r="BC58" i="3"/>
  <c r="BB58" i="3"/>
  <c r="AV58" i="3"/>
  <c r="AU58" i="3"/>
  <c r="AO58" i="3"/>
  <c r="AN58" i="3"/>
  <c r="AH58" i="3"/>
  <c r="AG58" i="3"/>
  <c r="AA58" i="3"/>
  <c r="Z58" i="3"/>
  <c r="T58" i="3"/>
  <c r="S58" i="3"/>
  <c r="M58" i="3"/>
  <c r="L58" i="3"/>
  <c r="F58" i="3"/>
  <c r="E58" i="3"/>
  <c r="BJ57" i="3"/>
  <c r="BI57" i="3"/>
  <c r="BC57" i="3"/>
  <c r="BB57" i="3"/>
  <c r="AV57" i="3"/>
  <c r="AU57" i="3"/>
  <c r="AO57" i="3"/>
  <c r="AN57" i="3"/>
  <c r="AH57" i="3"/>
  <c r="AG57" i="3"/>
  <c r="AA57" i="3"/>
  <c r="Z57" i="3"/>
  <c r="T57" i="3"/>
  <c r="S57" i="3"/>
  <c r="M57" i="3"/>
  <c r="L57" i="3"/>
  <c r="F57" i="3"/>
  <c r="E57" i="3"/>
  <c r="BJ56" i="3"/>
  <c r="BI56" i="3"/>
  <c r="BC56" i="3"/>
  <c r="BB56" i="3"/>
  <c r="AV56" i="3"/>
  <c r="AU56" i="3"/>
  <c r="AO56" i="3"/>
  <c r="AN56" i="3"/>
  <c r="AH56" i="3"/>
  <c r="AG56" i="3"/>
  <c r="AA56" i="3"/>
  <c r="Z56" i="3"/>
  <c r="T56" i="3"/>
  <c r="S56" i="3"/>
  <c r="M56" i="3"/>
  <c r="L56" i="3"/>
  <c r="F56" i="3"/>
  <c r="E56" i="3"/>
  <c r="BJ55" i="3"/>
  <c r="BI55" i="3"/>
  <c r="BC55" i="3"/>
  <c r="BB55" i="3"/>
  <c r="AV55" i="3"/>
  <c r="AU55" i="3"/>
  <c r="AO55" i="3"/>
  <c r="AN55" i="3"/>
  <c r="AH55" i="3"/>
  <c r="AG55" i="3"/>
  <c r="AA55" i="3"/>
  <c r="Z55" i="3"/>
  <c r="T55" i="3"/>
  <c r="S55" i="3"/>
  <c r="M55" i="3"/>
  <c r="L55" i="3"/>
  <c r="F55" i="3"/>
  <c r="E55" i="3"/>
  <c r="BJ54" i="3"/>
  <c r="BI54" i="3"/>
  <c r="BC54" i="3"/>
  <c r="BB54" i="3"/>
  <c r="AV54" i="3"/>
  <c r="AU54" i="3"/>
  <c r="AO54" i="3"/>
  <c r="AN54" i="3"/>
  <c r="AH54" i="3"/>
  <c r="AG54" i="3"/>
  <c r="AA54" i="3"/>
  <c r="Z54" i="3"/>
  <c r="T54" i="3"/>
  <c r="S54" i="3"/>
  <c r="M54" i="3"/>
  <c r="L54" i="3"/>
  <c r="F54" i="3"/>
  <c r="E54" i="3"/>
  <c r="BJ53" i="3"/>
  <c r="BI53" i="3"/>
  <c r="BC53" i="3"/>
  <c r="BB53" i="3"/>
  <c r="AV53" i="3"/>
  <c r="AU53" i="3"/>
  <c r="AO53" i="3"/>
  <c r="AN53" i="3"/>
  <c r="AH53" i="3"/>
  <c r="AG53" i="3"/>
  <c r="AA53" i="3"/>
  <c r="Z53" i="3"/>
  <c r="T53" i="3"/>
  <c r="S53" i="3"/>
  <c r="M53" i="3"/>
  <c r="L53" i="3"/>
  <c r="F53" i="3"/>
  <c r="E53" i="3"/>
  <c r="BJ52" i="3"/>
  <c r="BI52" i="3"/>
  <c r="BC52" i="3"/>
  <c r="BB52" i="3"/>
  <c r="AV52" i="3"/>
  <c r="AU52" i="3"/>
  <c r="AO52" i="3"/>
  <c r="AN52" i="3"/>
  <c r="AH52" i="3"/>
  <c r="AG52" i="3"/>
  <c r="AA52" i="3"/>
  <c r="Z52" i="3"/>
  <c r="T52" i="3"/>
  <c r="S52" i="3"/>
  <c r="M52" i="3"/>
  <c r="L52" i="3"/>
  <c r="F52" i="3"/>
  <c r="E52" i="3"/>
  <c r="BJ51" i="3"/>
  <c r="BI51" i="3"/>
  <c r="BC51" i="3"/>
  <c r="BB51" i="3"/>
  <c r="AV51" i="3"/>
  <c r="AU51" i="3"/>
  <c r="AO51" i="3"/>
  <c r="AN51" i="3"/>
  <c r="AH51" i="3"/>
  <c r="AG51" i="3"/>
  <c r="AA51" i="3"/>
  <c r="Z51" i="3"/>
  <c r="T51" i="3"/>
  <c r="S51" i="3"/>
  <c r="M51" i="3"/>
  <c r="L51" i="3"/>
  <c r="F51" i="3"/>
  <c r="E51" i="3"/>
  <c r="BJ50" i="3"/>
  <c r="BI50" i="3"/>
  <c r="BC50" i="3"/>
  <c r="BB50" i="3"/>
  <c r="AV50" i="3"/>
  <c r="AU50" i="3"/>
  <c r="AO50" i="3"/>
  <c r="AN50" i="3"/>
  <c r="AH50" i="3"/>
  <c r="AG50" i="3"/>
  <c r="AA50" i="3"/>
  <c r="Z50" i="3"/>
  <c r="T50" i="3"/>
  <c r="S50" i="3"/>
  <c r="M50" i="3"/>
  <c r="L50" i="3"/>
  <c r="F50" i="3"/>
  <c r="E50" i="3"/>
  <c r="BJ49" i="3"/>
  <c r="BI49" i="3"/>
  <c r="BC49" i="3"/>
  <c r="BB49" i="3"/>
  <c r="AV49" i="3"/>
  <c r="AU49" i="3"/>
  <c r="AO49" i="3"/>
  <c r="AN49" i="3"/>
  <c r="AH49" i="3"/>
  <c r="AG49" i="3"/>
  <c r="AA49" i="3"/>
  <c r="Z49" i="3"/>
  <c r="T49" i="3"/>
  <c r="S49" i="3"/>
  <c r="M49" i="3"/>
  <c r="L49" i="3"/>
  <c r="F49" i="3"/>
  <c r="E49" i="3"/>
  <c r="BJ48" i="3"/>
  <c r="BI48" i="3"/>
  <c r="BC48" i="3"/>
  <c r="BB48" i="3"/>
  <c r="AV48" i="3"/>
  <c r="AU48" i="3"/>
  <c r="AO48" i="3"/>
  <c r="AN48" i="3"/>
  <c r="AH48" i="3"/>
  <c r="AG48" i="3"/>
  <c r="AA48" i="3"/>
  <c r="Z48" i="3"/>
  <c r="T48" i="3"/>
  <c r="S48" i="3"/>
  <c r="M48" i="3"/>
  <c r="L48" i="3"/>
  <c r="F48" i="3"/>
  <c r="E48" i="3"/>
  <c r="BJ47" i="3"/>
  <c r="BI47" i="3"/>
  <c r="BC47" i="3"/>
  <c r="BB47" i="3"/>
  <c r="AV47" i="3"/>
  <c r="AU47" i="3"/>
  <c r="AO47" i="3"/>
  <c r="AN47" i="3"/>
  <c r="AH47" i="3"/>
  <c r="AG47" i="3"/>
  <c r="AA47" i="3"/>
  <c r="Z47" i="3"/>
  <c r="T47" i="3"/>
  <c r="S47" i="3"/>
  <c r="M47" i="3"/>
  <c r="L47" i="3"/>
  <c r="F47" i="3"/>
  <c r="E47" i="3"/>
  <c r="BJ46" i="3"/>
  <c r="BI46" i="3"/>
  <c r="BC46" i="3"/>
  <c r="BB46" i="3"/>
  <c r="AV46" i="3"/>
  <c r="AU46" i="3"/>
  <c r="AO46" i="3"/>
  <c r="AN46" i="3"/>
  <c r="AH46" i="3"/>
  <c r="AG46" i="3"/>
  <c r="AA46" i="3"/>
  <c r="Z46" i="3"/>
  <c r="T46" i="3"/>
  <c r="S46" i="3"/>
  <c r="M46" i="3"/>
  <c r="L46" i="3"/>
  <c r="F46" i="3"/>
  <c r="E46" i="3"/>
  <c r="BJ45" i="3"/>
  <c r="BI45" i="3"/>
  <c r="BC45" i="3"/>
  <c r="BB45" i="3"/>
  <c r="AV45" i="3"/>
  <c r="AU45" i="3"/>
  <c r="AO45" i="3"/>
  <c r="AN45" i="3"/>
  <c r="AH45" i="3"/>
  <c r="AG45" i="3"/>
  <c r="AA45" i="3"/>
  <c r="Z45" i="3"/>
  <c r="T45" i="3"/>
  <c r="S45" i="3"/>
  <c r="M45" i="3"/>
  <c r="L45" i="3"/>
  <c r="F45" i="3"/>
  <c r="E45" i="3"/>
  <c r="BJ44" i="3"/>
  <c r="BI44" i="3"/>
  <c r="BC44" i="3"/>
  <c r="BB44" i="3"/>
  <c r="AV44" i="3"/>
  <c r="AU44" i="3"/>
  <c r="AO44" i="3"/>
  <c r="AN44" i="3"/>
  <c r="AH44" i="3"/>
  <c r="AG44" i="3"/>
  <c r="AA44" i="3"/>
  <c r="Z44" i="3"/>
  <c r="T44" i="3"/>
  <c r="S44" i="3"/>
  <c r="M44" i="3"/>
  <c r="L44" i="3"/>
  <c r="F44" i="3"/>
  <c r="E44" i="3"/>
  <c r="BJ43" i="3"/>
  <c r="BI43" i="3"/>
  <c r="BC43" i="3"/>
  <c r="BB43" i="3"/>
  <c r="AV43" i="3"/>
  <c r="AU43" i="3"/>
  <c r="AO43" i="3"/>
  <c r="AN43" i="3"/>
  <c r="AH43" i="3"/>
  <c r="AG43" i="3"/>
  <c r="AA43" i="3"/>
  <c r="Z43" i="3"/>
  <c r="T43" i="3"/>
  <c r="S43" i="3"/>
  <c r="M43" i="3"/>
  <c r="L43" i="3"/>
  <c r="F43" i="3"/>
  <c r="E43" i="3"/>
  <c r="BJ42" i="3"/>
  <c r="BI42" i="3"/>
  <c r="BC42" i="3"/>
  <c r="BB42" i="3"/>
  <c r="AV42" i="3"/>
  <c r="AU42" i="3"/>
  <c r="AO42" i="3"/>
  <c r="AN42" i="3"/>
  <c r="AH42" i="3"/>
  <c r="AG42" i="3"/>
  <c r="AA42" i="3"/>
  <c r="Z42" i="3"/>
  <c r="T42" i="3"/>
  <c r="S42" i="3"/>
  <c r="M42" i="3"/>
  <c r="L42" i="3"/>
  <c r="F42" i="3"/>
  <c r="E42" i="3"/>
  <c r="BJ41" i="3"/>
  <c r="BI41" i="3"/>
  <c r="BC41" i="3"/>
  <c r="BB41" i="3"/>
  <c r="AV41" i="3"/>
  <c r="AU41" i="3"/>
  <c r="AO41" i="3"/>
  <c r="AN41" i="3"/>
  <c r="AH41" i="3"/>
  <c r="AG41" i="3"/>
  <c r="AA41" i="3"/>
  <c r="Z41" i="3"/>
  <c r="T41" i="3"/>
  <c r="S41" i="3"/>
  <c r="M41" i="3"/>
  <c r="L41" i="3"/>
  <c r="F41" i="3"/>
  <c r="E41" i="3"/>
  <c r="BJ40" i="3"/>
  <c r="BI40" i="3"/>
  <c r="BC40" i="3"/>
  <c r="BB40" i="3"/>
  <c r="AV40" i="3"/>
  <c r="AU40" i="3"/>
  <c r="AO40" i="3"/>
  <c r="AN40" i="3"/>
  <c r="AH40" i="3"/>
  <c r="AG40" i="3"/>
  <c r="AA40" i="3"/>
  <c r="Z40" i="3"/>
  <c r="T40" i="3"/>
  <c r="S40" i="3"/>
  <c r="M40" i="3"/>
  <c r="L40" i="3"/>
  <c r="F40" i="3"/>
  <c r="E40" i="3"/>
  <c r="BJ39" i="3"/>
  <c r="BI39" i="3"/>
  <c r="BC39" i="3"/>
  <c r="BB39" i="3"/>
  <c r="AV39" i="3"/>
  <c r="AU39" i="3"/>
  <c r="AO39" i="3"/>
  <c r="AN39" i="3"/>
  <c r="AH39" i="3"/>
  <c r="AG39" i="3"/>
  <c r="AA39" i="3"/>
  <c r="Z39" i="3"/>
  <c r="T39" i="3"/>
  <c r="S39" i="3"/>
  <c r="M39" i="3"/>
  <c r="L39" i="3"/>
  <c r="F39" i="3"/>
  <c r="E39" i="3"/>
  <c r="BJ38" i="3"/>
  <c r="BI38" i="3"/>
  <c r="BC38" i="3"/>
  <c r="BB38" i="3"/>
  <c r="AV38" i="3"/>
  <c r="AU38" i="3"/>
  <c r="AO38" i="3"/>
  <c r="AN38" i="3"/>
  <c r="AH38" i="3"/>
  <c r="AG38" i="3"/>
  <c r="AA38" i="3"/>
  <c r="Z38" i="3"/>
  <c r="T38" i="3"/>
  <c r="S38" i="3"/>
  <c r="M38" i="3"/>
  <c r="L38" i="3"/>
  <c r="F38" i="3"/>
  <c r="E38" i="3"/>
  <c r="BJ37" i="3"/>
  <c r="BI37" i="3"/>
  <c r="BC37" i="3"/>
  <c r="BB37" i="3"/>
  <c r="AV37" i="3"/>
  <c r="AU37" i="3"/>
  <c r="AO37" i="3"/>
  <c r="AN37" i="3"/>
  <c r="AH37" i="3"/>
  <c r="AG37" i="3"/>
  <c r="AA37" i="3"/>
  <c r="Z37" i="3"/>
  <c r="T37" i="3"/>
  <c r="S37" i="3"/>
  <c r="M37" i="3"/>
  <c r="L37" i="3"/>
  <c r="F37" i="3"/>
  <c r="E37" i="3"/>
  <c r="BJ36" i="3"/>
  <c r="BI36" i="3"/>
  <c r="BC36" i="3"/>
  <c r="BB36" i="3"/>
  <c r="AV36" i="3"/>
  <c r="AU36" i="3"/>
  <c r="AO36" i="3"/>
  <c r="AN36" i="3"/>
  <c r="AH36" i="3"/>
  <c r="AG36" i="3"/>
  <c r="AA36" i="3"/>
  <c r="Z36" i="3"/>
  <c r="T36" i="3"/>
  <c r="S36" i="3"/>
  <c r="M36" i="3"/>
  <c r="L36" i="3"/>
  <c r="F36" i="3"/>
  <c r="E36" i="3"/>
  <c r="BJ35" i="3"/>
  <c r="BI35" i="3"/>
  <c r="BC35" i="3"/>
  <c r="BB35" i="3"/>
  <c r="AV35" i="3"/>
  <c r="AU35" i="3"/>
  <c r="AO35" i="3"/>
  <c r="AN35" i="3"/>
  <c r="AH35" i="3"/>
  <c r="AG35" i="3"/>
  <c r="AA35" i="3"/>
  <c r="Z35" i="3"/>
  <c r="T35" i="3"/>
  <c r="S35" i="3"/>
  <c r="M35" i="3"/>
  <c r="L35" i="3"/>
  <c r="F35" i="3"/>
  <c r="E35" i="3"/>
  <c r="BJ34" i="3"/>
  <c r="BI34" i="3"/>
  <c r="BC34" i="3"/>
  <c r="BB34" i="3"/>
  <c r="AV34" i="3"/>
  <c r="AU34" i="3"/>
  <c r="AO34" i="3"/>
  <c r="AN34" i="3"/>
  <c r="AH34" i="3"/>
  <c r="AG34" i="3"/>
  <c r="AA34" i="3"/>
  <c r="Z34" i="3"/>
  <c r="T34" i="3"/>
  <c r="S34" i="3"/>
  <c r="M34" i="3"/>
  <c r="L34" i="3"/>
  <c r="F34" i="3"/>
  <c r="E34" i="3"/>
  <c r="BJ33" i="3"/>
  <c r="BI33" i="3"/>
  <c r="BC33" i="3"/>
  <c r="BB33" i="3"/>
  <c r="AV33" i="3"/>
  <c r="AU33" i="3"/>
  <c r="AO33" i="3"/>
  <c r="AN33" i="3"/>
  <c r="AH33" i="3"/>
  <c r="AG33" i="3"/>
  <c r="AA33" i="3"/>
  <c r="Z33" i="3"/>
  <c r="T33" i="3"/>
  <c r="S33" i="3"/>
  <c r="M33" i="3"/>
  <c r="L33" i="3"/>
  <c r="F33" i="3"/>
  <c r="E33" i="3"/>
  <c r="BJ32" i="3"/>
  <c r="BI32" i="3"/>
  <c r="BC32" i="3"/>
  <c r="BB32" i="3"/>
  <c r="AV32" i="3"/>
  <c r="AU32" i="3"/>
  <c r="AO32" i="3"/>
  <c r="AN32" i="3"/>
  <c r="AH32" i="3"/>
  <c r="AG32" i="3"/>
  <c r="AA32" i="3"/>
  <c r="Z32" i="3"/>
  <c r="T32" i="3"/>
  <c r="S32" i="3"/>
  <c r="M32" i="3"/>
  <c r="L32" i="3"/>
  <c r="F32" i="3"/>
  <c r="E32" i="3"/>
  <c r="BJ31" i="3"/>
  <c r="BI31" i="3"/>
  <c r="BC31" i="3"/>
  <c r="BB31" i="3"/>
  <c r="AV31" i="3"/>
  <c r="AU31" i="3"/>
  <c r="AO31" i="3"/>
  <c r="AN31" i="3"/>
  <c r="AH31" i="3"/>
  <c r="AG31" i="3"/>
  <c r="AA31" i="3"/>
  <c r="Z31" i="3"/>
  <c r="T31" i="3"/>
  <c r="S31" i="3"/>
  <c r="M31" i="3"/>
  <c r="L31" i="3"/>
  <c r="F31" i="3"/>
  <c r="E31" i="3"/>
  <c r="BJ30" i="3"/>
  <c r="BI30" i="3"/>
  <c r="BC30" i="3"/>
  <c r="BB30" i="3"/>
  <c r="AV30" i="3"/>
  <c r="AU30" i="3"/>
  <c r="AO30" i="3"/>
  <c r="AN30" i="3"/>
  <c r="AH30" i="3"/>
  <c r="AG30" i="3"/>
  <c r="AA30" i="3"/>
  <c r="Z30" i="3"/>
  <c r="T30" i="3"/>
  <c r="S30" i="3"/>
  <c r="M30" i="3"/>
  <c r="L30" i="3"/>
  <c r="F30" i="3"/>
  <c r="E30" i="3"/>
  <c r="BJ29" i="3"/>
  <c r="BI29" i="3"/>
  <c r="BC29" i="3"/>
  <c r="BB29" i="3"/>
  <c r="AV29" i="3"/>
  <c r="AU29" i="3"/>
  <c r="AO29" i="3"/>
  <c r="AN29" i="3"/>
  <c r="AH29" i="3"/>
  <c r="AG29" i="3"/>
  <c r="AA29" i="3"/>
  <c r="Z29" i="3"/>
  <c r="T29" i="3"/>
  <c r="S29" i="3"/>
  <c r="M29" i="3"/>
  <c r="L29" i="3"/>
  <c r="F29" i="3"/>
  <c r="E29" i="3"/>
  <c r="BJ28" i="3"/>
  <c r="BI28" i="3"/>
  <c r="BC28" i="3"/>
  <c r="BB28" i="3"/>
  <c r="AV28" i="3"/>
  <c r="AU28" i="3"/>
  <c r="AO28" i="3"/>
  <c r="AN28" i="3"/>
  <c r="AH28" i="3"/>
  <c r="AG28" i="3"/>
  <c r="AA28" i="3"/>
  <c r="Z28" i="3"/>
  <c r="T28" i="3"/>
  <c r="S28" i="3"/>
  <c r="M28" i="3"/>
  <c r="L28" i="3"/>
  <c r="F28" i="3"/>
  <c r="E28" i="3"/>
  <c r="BJ27" i="3"/>
  <c r="BI27" i="3"/>
  <c r="BC27" i="3"/>
  <c r="BB27" i="3"/>
  <c r="AV27" i="3"/>
  <c r="AU27" i="3"/>
  <c r="AO27" i="3"/>
  <c r="AN27" i="3"/>
  <c r="AH27" i="3"/>
  <c r="AG27" i="3"/>
  <c r="AA27" i="3"/>
  <c r="Z27" i="3"/>
  <c r="T27" i="3"/>
  <c r="S27" i="3"/>
  <c r="M27" i="3"/>
  <c r="L27" i="3"/>
  <c r="F27" i="3"/>
  <c r="E27" i="3"/>
  <c r="BJ26" i="3"/>
  <c r="BI26" i="3"/>
  <c r="BC26" i="3"/>
  <c r="BB26" i="3"/>
  <c r="AV26" i="3"/>
  <c r="AU26" i="3"/>
  <c r="AO26" i="3"/>
  <c r="AN26" i="3"/>
  <c r="AH26" i="3"/>
  <c r="AG26" i="3"/>
  <c r="AA26" i="3"/>
  <c r="Z26" i="3"/>
  <c r="T26" i="3"/>
  <c r="S26" i="3"/>
  <c r="M26" i="3"/>
  <c r="L26" i="3"/>
  <c r="F26" i="3"/>
  <c r="E26" i="3"/>
  <c r="BJ25" i="3"/>
  <c r="BI25" i="3"/>
  <c r="BC25" i="3"/>
  <c r="BB25" i="3"/>
  <c r="AV25" i="3"/>
  <c r="AU25" i="3"/>
  <c r="AO25" i="3"/>
  <c r="AN25" i="3"/>
  <c r="AH25" i="3"/>
  <c r="AG25" i="3"/>
  <c r="AA25" i="3"/>
  <c r="Z25" i="3"/>
  <c r="T25" i="3"/>
  <c r="S25" i="3"/>
  <c r="M25" i="3"/>
  <c r="L25" i="3"/>
  <c r="F25" i="3"/>
  <c r="E25" i="3"/>
  <c r="BJ24" i="3"/>
  <c r="BI24" i="3"/>
  <c r="BC24" i="3"/>
  <c r="BB24" i="3"/>
  <c r="AV24" i="3"/>
  <c r="AU24" i="3"/>
  <c r="AO24" i="3"/>
  <c r="AN24" i="3"/>
  <c r="AH24" i="3"/>
  <c r="AG24" i="3"/>
  <c r="AA24" i="3"/>
  <c r="Z24" i="3"/>
  <c r="T24" i="3"/>
  <c r="S24" i="3"/>
  <c r="M24" i="3"/>
  <c r="L24" i="3"/>
  <c r="F24" i="3"/>
  <c r="E24" i="3"/>
  <c r="BJ23" i="3"/>
  <c r="BI23" i="3"/>
  <c r="BC23" i="3"/>
  <c r="BB23" i="3"/>
  <c r="AV23" i="3"/>
  <c r="AU23" i="3"/>
  <c r="AO23" i="3"/>
  <c r="AN23" i="3"/>
  <c r="AH23" i="3"/>
  <c r="AG23" i="3"/>
  <c r="AA23" i="3"/>
  <c r="Z23" i="3"/>
  <c r="T23" i="3"/>
  <c r="S23" i="3"/>
  <c r="M23" i="3"/>
  <c r="L23" i="3"/>
  <c r="F23" i="3"/>
  <c r="E23" i="3"/>
  <c r="BJ22" i="3"/>
  <c r="BI22" i="3"/>
  <c r="BC22" i="3"/>
  <c r="BB22" i="3"/>
  <c r="AV22" i="3"/>
  <c r="AU22" i="3"/>
  <c r="AO22" i="3"/>
  <c r="AN22" i="3"/>
  <c r="AH22" i="3"/>
  <c r="AG22" i="3"/>
  <c r="AA22" i="3"/>
  <c r="Z22" i="3"/>
  <c r="T22" i="3"/>
  <c r="S22" i="3"/>
  <c r="M22" i="3"/>
  <c r="L22" i="3"/>
  <c r="F22" i="3"/>
  <c r="E22" i="3"/>
  <c r="BJ21" i="3"/>
  <c r="BI21" i="3"/>
  <c r="BC21" i="3"/>
  <c r="BB21" i="3"/>
  <c r="AV21" i="3"/>
  <c r="AU21" i="3"/>
  <c r="AO21" i="3"/>
  <c r="AN21" i="3"/>
  <c r="AH21" i="3"/>
  <c r="AG21" i="3"/>
  <c r="AA21" i="3"/>
  <c r="Z21" i="3"/>
  <c r="T21" i="3"/>
  <c r="S21" i="3"/>
  <c r="M21" i="3"/>
  <c r="L21" i="3"/>
  <c r="F21" i="3"/>
  <c r="E21" i="3"/>
  <c r="BJ20" i="3"/>
  <c r="BI20" i="3"/>
  <c r="BC20" i="3"/>
  <c r="BB20" i="3"/>
  <c r="AV20" i="3"/>
  <c r="AU20" i="3"/>
  <c r="AO20" i="3"/>
  <c r="AN20" i="3"/>
  <c r="AH20" i="3"/>
  <c r="AG20" i="3"/>
  <c r="AA20" i="3"/>
  <c r="Z20" i="3"/>
  <c r="T20" i="3"/>
  <c r="S20" i="3"/>
  <c r="M20" i="3"/>
  <c r="L20" i="3"/>
  <c r="F20" i="3"/>
  <c r="E20" i="3"/>
  <c r="BJ19" i="3"/>
  <c r="BI19" i="3"/>
  <c r="BC19" i="3"/>
  <c r="BB19" i="3"/>
  <c r="AV19" i="3"/>
  <c r="AU19" i="3"/>
  <c r="AO19" i="3"/>
  <c r="AN19" i="3"/>
  <c r="AH19" i="3"/>
  <c r="AG19" i="3"/>
  <c r="AA19" i="3"/>
  <c r="Z19" i="3"/>
  <c r="T19" i="3"/>
  <c r="S19" i="3"/>
  <c r="M19" i="3"/>
  <c r="L19" i="3"/>
  <c r="F19" i="3"/>
  <c r="E19" i="3"/>
  <c r="BJ18" i="3"/>
  <c r="BI18" i="3"/>
  <c r="BC18" i="3"/>
  <c r="BB18" i="3"/>
  <c r="AV18" i="3"/>
  <c r="AU18" i="3"/>
  <c r="AO18" i="3"/>
  <c r="AN18" i="3"/>
  <c r="AH18" i="3"/>
  <c r="AG18" i="3"/>
  <c r="AA18" i="3"/>
  <c r="Z18" i="3"/>
  <c r="T18" i="3"/>
  <c r="S18" i="3"/>
  <c r="M18" i="3"/>
  <c r="L18" i="3"/>
  <c r="F18" i="3"/>
  <c r="E18" i="3"/>
  <c r="BJ17" i="3"/>
  <c r="BI17" i="3"/>
  <c r="BC17" i="3"/>
  <c r="BB17" i="3"/>
  <c r="AV17" i="3"/>
  <c r="AU17" i="3"/>
  <c r="AO17" i="3"/>
  <c r="AN17" i="3"/>
  <c r="AH17" i="3"/>
  <c r="AG17" i="3"/>
  <c r="AA17" i="3"/>
  <c r="Z17" i="3"/>
  <c r="T17" i="3"/>
  <c r="S17" i="3"/>
  <c r="M17" i="3"/>
  <c r="L17" i="3"/>
  <c r="F17" i="3"/>
  <c r="E17" i="3"/>
  <c r="BJ16" i="3"/>
  <c r="BI16" i="3"/>
  <c r="BC16" i="3"/>
  <c r="BB16" i="3"/>
  <c r="AV16" i="3"/>
  <c r="AU16" i="3"/>
  <c r="AO16" i="3"/>
  <c r="AN16" i="3"/>
  <c r="AH16" i="3"/>
  <c r="AG16" i="3"/>
  <c r="AA16" i="3"/>
  <c r="Z16" i="3"/>
  <c r="T16" i="3"/>
  <c r="S16" i="3"/>
  <c r="M16" i="3"/>
  <c r="L16" i="3"/>
  <c r="F16" i="3"/>
  <c r="E16" i="3"/>
  <c r="BJ15" i="3"/>
  <c r="BI15" i="3"/>
  <c r="BC15" i="3"/>
  <c r="BB15" i="3"/>
  <c r="AV15" i="3"/>
  <c r="AU15" i="3"/>
  <c r="AO15" i="3"/>
  <c r="AN15" i="3"/>
  <c r="AH15" i="3"/>
  <c r="AG15" i="3"/>
  <c r="AA15" i="3"/>
  <c r="Z15" i="3"/>
  <c r="T15" i="3"/>
  <c r="S15" i="3"/>
  <c r="M15" i="3"/>
  <c r="L15" i="3"/>
  <c r="F15" i="3"/>
  <c r="E15" i="3"/>
  <c r="BJ14" i="3"/>
  <c r="BI14" i="3"/>
  <c r="BC14" i="3"/>
  <c r="BB14" i="3"/>
  <c r="AV14" i="3"/>
  <c r="AU14" i="3"/>
  <c r="AO14" i="3"/>
  <c r="AN14" i="3"/>
  <c r="AH14" i="3"/>
  <c r="AG14" i="3"/>
  <c r="AA14" i="3"/>
  <c r="Z14" i="3"/>
  <c r="T14" i="3"/>
  <c r="S14" i="3"/>
  <c r="M14" i="3"/>
  <c r="L14" i="3"/>
  <c r="F14" i="3"/>
  <c r="E14" i="3"/>
  <c r="BJ13" i="3"/>
  <c r="BI13" i="3"/>
  <c r="BC13" i="3"/>
  <c r="BB13" i="3"/>
  <c r="AV13" i="3"/>
  <c r="AU13" i="3"/>
  <c r="AO13" i="3"/>
  <c r="AN13" i="3"/>
  <c r="AH13" i="3"/>
  <c r="AG13" i="3"/>
  <c r="AA13" i="3"/>
  <c r="Z13" i="3"/>
  <c r="T13" i="3"/>
  <c r="S13" i="3"/>
  <c r="M13" i="3"/>
  <c r="L13" i="3"/>
  <c r="F13" i="3"/>
  <c r="E13" i="3"/>
  <c r="BJ12" i="3"/>
  <c r="BI12" i="3"/>
  <c r="BC12" i="3"/>
  <c r="BB12" i="3"/>
  <c r="AV12" i="3"/>
  <c r="AU12" i="3"/>
  <c r="AO12" i="3"/>
  <c r="AN12" i="3"/>
  <c r="AH12" i="3"/>
  <c r="AG12" i="3"/>
  <c r="AA12" i="3"/>
  <c r="Z12" i="3"/>
  <c r="T12" i="3"/>
  <c r="S12" i="3"/>
  <c r="M12" i="3"/>
  <c r="L12" i="3"/>
  <c r="F12" i="3"/>
  <c r="E12" i="3"/>
  <c r="BJ11" i="3"/>
  <c r="BI11" i="3"/>
  <c r="BC11" i="3"/>
  <c r="BB11" i="3"/>
  <c r="AV11" i="3"/>
  <c r="AU11" i="3"/>
  <c r="AO11" i="3"/>
  <c r="AN11" i="3"/>
  <c r="AH11" i="3"/>
  <c r="AG11" i="3"/>
  <c r="AA11" i="3"/>
  <c r="Z11" i="3"/>
  <c r="T11" i="3"/>
  <c r="S11" i="3"/>
  <c r="M11" i="3"/>
  <c r="L11" i="3"/>
  <c r="F11" i="3"/>
  <c r="E11" i="3"/>
  <c r="BJ10" i="3"/>
  <c r="BI10" i="3"/>
  <c r="BC10" i="3"/>
  <c r="BB10" i="3"/>
  <c r="AV10" i="3"/>
  <c r="AU10" i="3"/>
  <c r="AO10" i="3"/>
  <c r="AN10" i="3"/>
  <c r="AH10" i="3"/>
  <c r="AG10" i="3"/>
  <c r="AA10" i="3"/>
  <c r="Z10" i="3"/>
  <c r="T10" i="3"/>
  <c r="S10" i="3"/>
  <c r="M10" i="3"/>
  <c r="L10" i="3"/>
  <c r="F10" i="3"/>
  <c r="E10" i="3"/>
  <c r="BJ9" i="3"/>
  <c r="BI9" i="3"/>
  <c r="BC9" i="3"/>
  <c r="BB9" i="3"/>
  <c r="AV9" i="3"/>
  <c r="AU9" i="3"/>
  <c r="AO9" i="3"/>
  <c r="AN9" i="3"/>
  <c r="AH9" i="3"/>
  <c r="AG9" i="3"/>
  <c r="AA9" i="3"/>
  <c r="Z9" i="3"/>
  <c r="T9" i="3"/>
  <c r="S9" i="3"/>
  <c r="M9" i="3"/>
  <c r="L9" i="3"/>
  <c r="F9" i="3"/>
  <c r="E9" i="3"/>
  <c r="BJ8" i="3"/>
  <c r="BI8" i="3"/>
  <c r="BC8" i="3"/>
  <c r="BB8" i="3"/>
  <c r="AV8" i="3"/>
  <c r="AU8" i="3"/>
  <c r="AO8" i="3"/>
  <c r="AN8" i="3"/>
  <c r="AH8" i="3"/>
  <c r="AG8" i="3"/>
  <c r="AA8" i="3"/>
  <c r="Z8" i="3"/>
  <c r="T8" i="3"/>
  <c r="S8" i="3"/>
  <c r="M8" i="3"/>
  <c r="L8" i="3"/>
  <c r="F8" i="3"/>
  <c r="E8" i="3"/>
  <c r="BJ7" i="3"/>
  <c r="BI7" i="3"/>
  <c r="BC7" i="3"/>
  <c r="BB7" i="3"/>
  <c r="AV7" i="3"/>
  <c r="AU7" i="3"/>
  <c r="AO7" i="3"/>
  <c r="AN7" i="3"/>
  <c r="AH7" i="3"/>
  <c r="AG7" i="3"/>
  <c r="AA7" i="3"/>
  <c r="Z7" i="3"/>
  <c r="T7" i="3"/>
  <c r="S7" i="3"/>
  <c r="M7" i="3"/>
  <c r="L7" i="3"/>
  <c r="F7" i="3"/>
  <c r="E7" i="3"/>
  <c r="BJ6" i="3"/>
  <c r="BI6" i="3"/>
  <c r="BC6" i="3"/>
  <c r="BB6" i="3"/>
  <c r="AV6" i="3"/>
  <c r="AU6" i="3"/>
  <c r="AO6" i="3"/>
  <c r="AN6" i="3"/>
  <c r="AH6" i="3"/>
  <c r="AG6" i="3"/>
  <c r="AA6" i="3"/>
  <c r="Z6" i="3"/>
  <c r="T6" i="3"/>
  <c r="S6" i="3"/>
  <c r="M6" i="3"/>
  <c r="L6" i="3"/>
  <c r="F6" i="3"/>
  <c r="E6" i="3"/>
  <c r="BJ5" i="3"/>
  <c r="BI5" i="3"/>
  <c r="BC5" i="3"/>
  <c r="BB5" i="3"/>
  <c r="AV5" i="3"/>
  <c r="AU5" i="3"/>
  <c r="AO5" i="3"/>
  <c r="AN5" i="3"/>
  <c r="AH5" i="3"/>
  <c r="AG5" i="3"/>
  <c r="AA5" i="3"/>
  <c r="Z5" i="3"/>
  <c r="T5" i="3"/>
  <c r="S5" i="3"/>
  <c r="M5" i="3"/>
  <c r="L5" i="3"/>
  <c r="F5" i="3"/>
  <c r="E5" i="3"/>
  <c r="BJ4" i="3"/>
  <c r="BI4" i="3"/>
  <c r="BC4" i="3"/>
  <c r="BB4" i="3"/>
  <c r="AV4" i="3"/>
  <c r="AU4" i="3"/>
  <c r="AO4" i="3"/>
  <c r="AN4" i="3"/>
  <c r="AH4" i="3"/>
  <c r="AG4" i="3"/>
  <c r="AA4" i="3"/>
  <c r="Z4" i="3"/>
  <c r="T4" i="3"/>
  <c r="S4" i="3"/>
  <c r="M4" i="3"/>
  <c r="L4" i="3"/>
  <c r="F4" i="3"/>
  <c r="E4" i="3"/>
  <c r="BJ3" i="3"/>
  <c r="BI3" i="3"/>
  <c r="BC3" i="3"/>
  <c r="BB3" i="3"/>
  <c r="AV3" i="3"/>
  <c r="AU3" i="3"/>
  <c r="AO3" i="3"/>
  <c r="AN3" i="3"/>
  <c r="AH3" i="3"/>
  <c r="AG3" i="3"/>
  <c r="AA3" i="3"/>
  <c r="Z3" i="3"/>
  <c r="T3" i="3"/>
  <c r="S3" i="3"/>
  <c r="M3" i="3"/>
  <c r="L3" i="3"/>
  <c r="F3" i="3"/>
  <c r="E3" i="3"/>
  <c r="BJ2" i="3"/>
  <c r="BI2" i="3"/>
  <c r="BC2" i="3"/>
  <c r="BB2" i="3"/>
  <c r="AV2" i="3"/>
  <c r="AU2" i="3"/>
  <c r="AO2" i="3"/>
  <c r="AN2" i="3"/>
  <c r="AH2" i="3"/>
  <c r="AG2" i="3"/>
  <c r="AA2" i="3"/>
  <c r="Z2" i="3"/>
  <c r="T2" i="3"/>
  <c r="S2" i="3"/>
  <c r="M2" i="3"/>
  <c r="L2" i="3"/>
  <c r="F2" i="3"/>
  <c r="E2" i="3"/>
  <c r="A4" i="2" l="1"/>
  <c r="D8" i="2"/>
  <c r="D9" i="2" l="1"/>
  <c r="C9" i="2" l="1"/>
  <c r="D10" i="2"/>
  <c r="D11" i="2" l="1"/>
  <c r="C10" i="2"/>
  <c r="BL3" i="3" l="1"/>
  <c r="D12" i="2"/>
  <c r="C11" i="2"/>
  <c r="C12" i="2" l="1"/>
  <c r="D13" i="2"/>
  <c r="BR3" i="3"/>
  <c r="BM3" i="3"/>
  <c r="BP3" i="3"/>
  <c r="BN3" i="3"/>
  <c r="BQ3" i="3"/>
  <c r="BT3" i="3"/>
  <c r="BU3" i="3"/>
  <c r="BO3" i="3"/>
  <c r="BS3" i="3"/>
  <c r="B9" i="2" l="1"/>
  <c r="C13" i="2"/>
  <c r="D14" i="2"/>
  <c r="D15" i="2" l="1"/>
  <c r="C14" i="2"/>
  <c r="D16" i="2" l="1"/>
  <c r="C15" i="2"/>
  <c r="C16" i="2" l="1"/>
  <c r="D17" i="2"/>
  <c r="C17" i="2" l="1"/>
  <c r="D18" i="2"/>
  <c r="C18" i="2" l="1"/>
  <c r="D19" i="2"/>
  <c r="C19" i="2" l="1"/>
  <c r="D20" i="2"/>
  <c r="C20" i="2" l="1"/>
  <c r="D21" i="2"/>
  <c r="C21" i="2" l="1"/>
  <c r="D22" i="2"/>
  <c r="D23" i="2" l="1"/>
  <c r="C22" i="2"/>
  <c r="D24" i="2" l="1"/>
  <c r="C23" i="2"/>
  <c r="C24" i="2" l="1"/>
  <c r="D25" i="2"/>
  <c r="D26" i="2" l="1"/>
  <c r="C25" i="2"/>
  <c r="C26" i="2" l="1"/>
  <c r="D27" i="2"/>
  <c r="C27" i="2" l="1"/>
  <c r="D28" i="2"/>
  <c r="C28" i="2" l="1"/>
  <c r="D29" i="2"/>
  <c r="C29" i="2" l="1"/>
  <c r="D30" i="2"/>
  <c r="D31" i="2" l="1"/>
  <c r="C30" i="2"/>
  <c r="C31" i="2" l="1"/>
  <c r="D32" i="2"/>
  <c r="C32" i="2" l="1"/>
  <c r="D33" i="2"/>
  <c r="C33" i="2" l="1"/>
  <c r="D34" i="2"/>
  <c r="C34" i="2" l="1"/>
  <c r="D35" i="2"/>
  <c r="C35" i="2" l="1"/>
  <c r="D36" i="2"/>
  <c r="C36" i="2" l="1"/>
  <c r="D37" i="2"/>
  <c r="C37" i="2" l="1"/>
  <c r="D38" i="2"/>
  <c r="C38" i="2" l="1"/>
  <c r="D39" i="2"/>
  <c r="C39" i="2" l="1"/>
  <c r="D40" i="2"/>
  <c r="C40" i="2" l="1"/>
  <c r="D41" i="2"/>
  <c r="C41" i="2" l="1"/>
  <c r="D42" i="2"/>
  <c r="C42" i="2" l="1"/>
  <c r="D43" i="2"/>
  <c r="C43" i="2" l="1"/>
  <c r="D44" i="2"/>
  <c r="C44" i="2" l="1"/>
  <c r="D45" i="2"/>
  <c r="C45" i="2" l="1"/>
  <c r="D46" i="2"/>
  <c r="C46" i="2" l="1"/>
  <c r="D47" i="2"/>
  <c r="C47" i="2" l="1"/>
  <c r="D48" i="2"/>
  <c r="D49" i="2" l="1"/>
  <c r="C48" i="2"/>
  <c r="C49" i="2" l="1"/>
  <c r="D50" i="2"/>
  <c r="C50" i="2" l="1"/>
  <c r="D51" i="2"/>
  <c r="C51" i="2" l="1"/>
  <c r="D52" i="2"/>
  <c r="C52" i="2" l="1"/>
  <c r="D53" i="2"/>
  <c r="C53" i="2" l="1"/>
  <c r="D54" i="2"/>
  <c r="D55" i="2" l="1"/>
  <c r="C54" i="2"/>
  <c r="C55" i="2" l="1"/>
  <c r="D56" i="2"/>
  <c r="C56" i="2" l="1"/>
  <c r="D57" i="2"/>
  <c r="D58" i="2" l="1"/>
  <c r="C57" i="2"/>
  <c r="C58" i="2" l="1"/>
  <c r="D59" i="2"/>
  <c r="C59" i="2" l="1"/>
  <c r="D60" i="2"/>
  <c r="C60" i="2" l="1"/>
  <c r="D61" i="2"/>
  <c r="C61" i="2" l="1"/>
  <c r="D62" i="2"/>
  <c r="C62" i="2" l="1"/>
  <c r="D63" i="2"/>
  <c r="C63" i="2" l="1"/>
  <c r="D64" i="2"/>
  <c r="C64" i="2" l="1"/>
  <c r="D65" i="2"/>
  <c r="C65" i="2" l="1"/>
  <c r="D66" i="2"/>
  <c r="C66" i="2" l="1"/>
  <c r="D67" i="2"/>
  <c r="C67" i="2" l="1"/>
  <c r="D68" i="2"/>
  <c r="D69" i="2" l="1"/>
  <c r="C68" i="2"/>
  <c r="C69" i="2" l="1"/>
  <c r="D70" i="2"/>
  <c r="C70" i="2" l="1"/>
  <c r="D71" i="2"/>
  <c r="D72" i="2" l="1"/>
  <c r="C71" i="2"/>
  <c r="C72" i="2" l="1"/>
  <c r="D73" i="2"/>
  <c r="C73" i="2" l="1"/>
  <c r="D74" i="2"/>
  <c r="C74" i="2" l="1"/>
  <c r="D75" i="2"/>
  <c r="C75" i="2" l="1"/>
  <c r="D76" i="2"/>
  <c r="C76" i="2" l="1"/>
  <c r="D77" i="2"/>
  <c r="D78" i="2" l="1"/>
  <c r="C77" i="2"/>
  <c r="C78" i="2" l="1"/>
  <c r="D79" i="2"/>
  <c r="C79" i="2" l="1"/>
  <c r="D80" i="2"/>
  <c r="C80" i="2" l="1"/>
  <c r="D81" i="2"/>
  <c r="D82" i="2" l="1"/>
  <c r="C81" i="2"/>
  <c r="C82" i="2" l="1"/>
  <c r="D83" i="2"/>
  <c r="C83" i="2" l="1"/>
  <c r="D84" i="2"/>
  <c r="C84" i="2" l="1"/>
  <c r="D85" i="2"/>
  <c r="C85" i="2" l="1"/>
  <c r="D86" i="2"/>
  <c r="C86" i="2" l="1"/>
  <c r="D87" i="2"/>
  <c r="C87" i="2" l="1"/>
  <c r="D88" i="2"/>
  <c r="D89" i="2" l="1"/>
  <c r="C88" i="2"/>
  <c r="C89" i="2" l="1"/>
  <c r="D90" i="2"/>
  <c r="C90" i="2" l="1"/>
  <c r="D91" i="2"/>
  <c r="C91" i="2" l="1"/>
  <c r="D92" i="2"/>
  <c r="C92" i="2" l="1"/>
  <c r="D93" i="2"/>
  <c r="C93" i="2" l="1"/>
  <c r="D94" i="2"/>
  <c r="C94" i="2" l="1"/>
  <c r="D95" i="2"/>
  <c r="D96" i="2" l="1"/>
  <c r="C95" i="2"/>
  <c r="D97" i="2" l="1"/>
  <c r="C96" i="2"/>
  <c r="C97" i="2" l="1"/>
  <c r="D98" i="2"/>
  <c r="C98" i="2" l="1"/>
  <c r="D99" i="2"/>
  <c r="D100" i="2" l="1"/>
  <c r="C99" i="2"/>
  <c r="C100" i="2" l="1"/>
  <c r="D101" i="2"/>
  <c r="D102" i="2" l="1"/>
  <c r="C101" i="2"/>
  <c r="C102" i="2" l="1"/>
  <c r="D103" i="2"/>
  <c r="D104" i="2" l="1"/>
  <c r="C103" i="2"/>
  <c r="C104" i="2" l="1"/>
  <c r="D105" i="2"/>
  <c r="C105" i="2" l="1"/>
  <c r="D106" i="2"/>
  <c r="C106" i="2" l="1"/>
  <c r="D107" i="2"/>
  <c r="C107" i="2" l="1"/>
</calcChain>
</file>

<file path=xl/sharedStrings.xml><?xml version="1.0" encoding="utf-8"?>
<sst xmlns="http://schemas.openxmlformats.org/spreadsheetml/2006/main" count="4184" uniqueCount="1464">
  <si>
    <t>Sıra</t>
  </si>
  <si>
    <t>No</t>
  </si>
  <si>
    <t>P</t>
  </si>
  <si>
    <t>mm</t>
  </si>
  <si>
    <t>Sıralı</t>
  </si>
  <si>
    <t>Pmax</t>
  </si>
  <si>
    <r>
      <t xml:space="preserve">S </t>
    </r>
    <r>
      <rPr>
        <sz val="12"/>
        <rFont val="Times New Roman Tur"/>
        <charset val="162"/>
      </rPr>
      <t>P</t>
    </r>
  </si>
  <si>
    <t>Port</t>
  </si>
  <si>
    <r>
      <t>Port</t>
    </r>
    <r>
      <rPr>
        <vertAlign val="subscript"/>
        <sz val="12"/>
        <rFont val="Times New Roman Tur"/>
        <family val="1"/>
        <charset val="162"/>
      </rPr>
      <t>(-Pmax)</t>
    </r>
  </si>
  <si>
    <t>S</t>
  </si>
  <si>
    <r>
      <t>S</t>
    </r>
    <r>
      <rPr>
        <vertAlign val="subscript"/>
        <sz val="12"/>
        <rFont val="Times New Roman Tur"/>
        <family val="1"/>
        <charset val="162"/>
      </rPr>
      <t>(-Pmax)</t>
    </r>
  </si>
  <si>
    <r>
      <t>Port</t>
    </r>
    <r>
      <rPr>
        <vertAlign val="subscript"/>
        <sz val="12"/>
        <rFont val="Times New Roman Tur"/>
        <family val="1"/>
        <charset val="162"/>
      </rPr>
      <t>(-Pmax)</t>
    </r>
    <r>
      <rPr>
        <sz val="12"/>
        <rFont val="Times New Roman Tur"/>
        <family val="1"/>
        <charset val="162"/>
      </rPr>
      <t>/Port</t>
    </r>
  </si>
  <si>
    <r>
      <t>S</t>
    </r>
    <r>
      <rPr>
        <vertAlign val="subscript"/>
        <sz val="12"/>
        <rFont val="Times New Roman Tur"/>
        <family val="1"/>
        <charset val="162"/>
      </rPr>
      <t>(-Pmax)</t>
    </r>
    <r>
      <rPr>
        <sz val="12"/>
        <rFont val="Times New Roman Tur"/>
        <family val="1"/>
        <charset val="162"/>
      </rPr>
      <t>/S</t>
    </r>
  </si>
  <si>
    <t>N</t>
  </si>
  <si>
    <t>ORTALAMANIN</t>
  </si>
  <si>
    <t>M. Kat.</t>
  </si>
  <si>
    <t>Fark N</t>
  </si>
  <si>
    <t>Fark Mkat</t>
  </si>
  <si>
    <t>Aranan N</t>
  </si>
  <si>
    <t>N1</t>
  </si>
  <si>
    <t>N2</t>
  </si>
  <si>
    <t>M1</t>
  </si>
  <si>
    <t>M2</t>
  </si>
  <si>
    <t>Mkat</t>
  </si>
  <si>
    <t>N1-N2</t>
  </si>
  <si>
    <t>M1-M2</t>
  </si>
  <si>
    <t>STANDART SAPMANIN</t>
  </si>
  <si>
    <t xml:space="preserve"> </t>
  </si>
  <si>
    <r>
      <t>Port M</t>
    </r>
    <r>
      <rPr>
        <vertAlign val="subscript"/>
        <sz val="12"/>
        <rFont val="Times New Roman Tur"/>
        <family val="1"/>
        <charset val="162"/>
      </rPr>
      <t>1</t>
    </r>
  </si>
  <si>
    <r>
      <t>PortM</t>
    </r>
    <r>
      <rPr>
        <vertAlign val="subscript"/>
        <sz val="12"/>
        <rFont val="Times New Roman Tur"/>
        <family val="1"/>
        <charset val="162"/>
      </rPr>
      <t>2</t>
    </r>
  </si>
  <si>
    <r>
      <t>Port*PortM</t>
    </r>
    <r>
      <rPr>
        <vertAlign val="subscript"/>
        <sz val="12"/>
        <rFont val="Times New Roman Tur"/>
        <family val="1"/>
        <charset val="162"/>
      </rPr>
      <t>1</t>
    </r>
    <r>
      <rPr>
        <sz val="12"/>
        <rFont val="Times New Roman Tur"/>
        <charset val="162"/>
      </rPr>
      <t>*PortM</t>
    </r>
    <r>
      <rPr>
        <vertAlign val="subscript"/>
        <sz val="12"/>
        <rFont val="Times New Roman Tur"/>
        <family val="1"/>
        <charset val="162"/>
      </rPr>
      <t>2</t>
    </r>
  </si>
  <si>
    <t>=</t>
  </si>
  <si>
    <r>
      <t>SM</t>
    </r>
    <r>
      <rPr>
        <vertAlign val="subscript"/>
        <sz val="12"/>
        <rFont val="Times New Roman Tur"/>
        <family val="1"/>
        <charset val="162"/>
      </rPr>
      <t>1</t>
    </r>
  </si>
  <si>
    <r>
      <t>SM</t>
    </r>
    <r>
      <rPr>
        <vertAlign val="subscript"/>
        <sz val="12"/>
        <rFont val="Times New Roman Tur"/>
        <family val="1"/>
        <charset val="162"/>
      </rPr>
      <t>2</t>
    </r>
  </si>
  <si>
    <r>
      <t>S*SM</t>
    </r>
    <r>
      <rPr>
        <vertAlign val="subscript"/>
        <sz val="12"/>
        <rFont val="Times New Roman Tur"/>
        <family val="1"/>
        <charset val="162"/>
      </rPr>
      <t>1</t>
    </r>
    <r>
      <rPr>
        <sz val="12"/>
        <rFont val="Times New Roman Tur"/>
        <charset val="162"/>
      </rPr>
      <t>*SM</t>
    </r>
    <r>
      <rPr>
        <vertAlign val="subscript"/>
        <sz val="12"/>
        <rFont val="Times New Roman Tur"/>
        <family val="1"/>
        <charset val="162"/>
      </rPr>
      <t>2</t>
    </r>
  </si>
  <si>
    <t>yıl</t>
  </si>
  <si>
    <t>Yıllar</t>
  </si>
  <si>
    <r>
      <t>S</t>
    </r>
    <r>
      <rPr>
        <sz val="12"/>
        <rFont val="Times New Roman Tur"/>
        <charset val="162"/>
      </rPr>
      <t xml:space="preserve"> P</t>
    </r>
    <r>
      <rPr>
        <vertAlign val="subscript"/>
        <sz val="12"/>
        <rFont val="Times New Roman Tur"/>
        <family val="1"/>
        <charset val="162"/>
      </rPr>
      <t>(-Pmax)</t>
    </r>
  </si>
  <si>
    <t>Hesaplar Hersfield yöntemine göre yapılmıştır.</t>
  </si>
  <si>
    <t>N=</t>
  </si>
  <si>
    <t>BAŞLANGIÇ YILI</t>
  </si>
  <si>
    <t>SON YIL</t>
  </si>
  <si>
    <t>Km</t>
  </si>
  <si>
    <r>
      <t>K</t>
    </r>
    <r>
      <rPr>
        <b/>
        <vertAlign val="subscript"/>
        <sz val="11"/>
        <rFont val="Times New Roman Tur"/>
        <family val="1"/>
        <charset val="162"/>
      </rPr>
      <t xml:space="preserve">M </t>
    </r>
  </si>
  <si>
    <t xml:space="preserve">NOT : Bütün dataları bu sayfada verin </t>
  </si>
  <si>
    <r>
      <t>Sadece</t>
    </r>
    <r>
      <rPr>
        <b/>
        <sz val="16"/>
        <color indexed="9"/>
        <rFont val="Times New Roman Tur"/>
        <family val="1"/>
        <charset val="162"/>
      </rPr>
      <t xml:space="preserve"> </t>
    </r>
    <r>
      <rPr>
        <sz val="16"/>
        <color indexed="10"/>
        <rFont val="Times New Roman Tur"/>
        <family val="1"/>
        <charset val="162"/>
      </rPr>
      <t>kırmızı</t>
    </r>
    <r>
      <rPr>
        <b/>
        <sz val="14"/>
        <color indexed="9"/>
        <rFont val="Times New Roman Tur"/>
        <family val="1"/>
        <charset val="162"/>
      </rPr>
      <t xml:space="preserve"> olan dataları değiştirin.</t>
    </r>
  </si>
  <si>
    <t>Değeri olmayan yılı boş bırakın</t>
  </si>
  <si>
    <t>MUHTEMEL MAKSİMUM  YAĞIŞ HESABI</t>
  </si>
  <si>
    <r>
      <t>P</t>
    </r>
    <r>
      <rPr>
        <b/>
        <vertAlign val="subscript"/>
        <sz val="11"/>
        <rFont val="Times New Roman Tur"/>
        <family val="1"/>
        <charset val="162"/>
      </rPr>
      <t>MMY</t>
    </r>
  </si>
  <si>
    <t>Not : MMY  1,13 ile çarpılmamıştır.</t>
  </si>
  <si>
    <t>EKSİK YIL SAYISI</t>
  </si>
  <si>
    <t>AD</t>
  </si>
  <si>
    <t>T</t>
  </si>
  <si>
    <t>X1</t>
  </si>
  <si>
    <t>Km 1</t>
  </si>
  <si>
    <t>X2</t>
  </si>
  <si>
    <t>Km 2</t>
  </si>
  <si>
    <t>X3</t>
  </si>
  <si>
    <t>Km3</t>
  </si>
  <si>
    <t>X4</t>
  </si>
  <si>
    <t>Km4</t>
  </si>
  <si>
    <t>X5</t>
  </si>
  <si>
    <t>Km5</t>
  </si>
  <si>
    <t>X6</t>
  </si>
  <si>
    <t>Km6</t>
  </si>
  <si>
    <t>X7</t>
  </si>
  <si>
    <t>Km7</t>
  </si>
  <si>
    <t>X8</t>
  </si>
  <si>
    <t>Km8</t>
  </si>
  <si>
    <t>X9</t>
  </si>
  <si>
    <t>Km9</t>
  </si>
  <si>
    <t>X' - Km ZARFLARI</t>
  </si>
  <si>
    <t>121</t>
  </si>
  <si>
    <t>N_1</t>
  </si>
  <si>
    <t>202</t>
  </si>
  <si>
    <t>N_2</t>
  </si>
  <si>
    <t>310</t>
  </si>
  <si>
    <t>N_3</t>
  </si>
  <si>
    <t>429</t>
  </si>
  <si>
    <t>N_4</t>
  </si>
  <si>
    <t>560</t>
  </si>
  <si>
    <t>N_5</t>
  </si>
  <si>
    <t>720</t>
  </si>
  <si>
    <t>N_6</t>
  </si>
  <si>
    <t>900</t>
  </si>
  <si>
    <t>N_7</t>
  </si>
  <si>
    <t>1098</t>
  </si>
  <si>
    <t>N_8</t>
  </si>
  <si>
    <t>1306</t>
  </si>
  <si>
    <t>N_9</t>
  </si>
  <si>
    <r>
      <t>X</t>
    </r>
    <r>
      <rPr>
        <b/>
        <vertAlign val="subscript"/>
        <sz val="10"/>
        <color indexed="10"/>
        <rFont val="Arial"/>
        <family val="2"/>
        <charset val="162"/>
      </rPr>
      <t>MAX</t>
    </r>
    <r>
      <rPr>
        <b/>
        <sz val="10"/>
        <color indexed="10"/>
        <rFont val="Arial"/>
        <family val="2"/>
        <charset val="162"/>
      </rPr>
      <t xml:space="preserve"> (mm)</t>
    </r>
  </si>
  <si>
    <t>Km 3</t>
  </si>
  <si>
    <t>Km 4</t>
  </si>
  <si>
    <t>Km 5</t>
  </si>
  <si>
    <t>Km 6</t>
  </si>
  <si>
    <t>Km 7</t>
  </si>
  <si>
    <t>Km 8</t>
  </si>
  <si>
    <t>Km 9</t>
  </si>
  <si>
    <t>122</t>
  </si>
  <si>
    <t>203</t>
  </si>
  <si>
    <t>311</t>
  </si>
  <si>
    <t>430</t>
  </si>
  <si>
    <t>561</t>
  </si>
  <si>
    <t>721</t>
  </si>
  <si>
    <t>901</t>
  </si>
  <si>
    <t>1099</t>
  </si>
  <si>
    <t>1307</t>
  </si>
  <si>
    <t>123</t>
  </si>
  <si>
    <t>204</t>
  </si>
  <si>
    <t>312</t>
  </si>
  <si>
    <t>431</t>
  </si>
  <si>
    <t>562</t>
  </si>
  <si>
    <t>722</t>
  </si>
  <si>
    <t>902</t>
  </si>
  <si>
    <t>1100</t>
  </si>
  <si>
    <t>1308</t>
  </si>
  <si>
    <t>124</t>
  </si>
  <si>
    <t>205</t>
  </si>
  <si>
    <t>313</t>
  </si>
  <si>
    <t>432</t>
  </si>
  <si>
    <t>563</t>
  </si>
  <si>
    <t>723</t>
  </si>
  <si>
    <t>903</t>
  </si>
  <si>
    <t>1101</t>
  </si>
  <si>
    <t>1309</t>
  </si>
  <si>
    <t>SARI ALANA ARANAN X' DEĞERİNİ YAZINIZ</t>
  </si>
  <si>
    <t>125</t>
  </si>
  <si>
    <t>206</t>
  </si>
  <si>
    <t>314</t>
  </si>
  <si>
    <t>433</t>
  </si>
  <si>
    <t>564</t>
  </si>
  <si>
    <t>724</t>
  </si>
  <si>
    <t>904</t>
  </si>
  <si>
    <t>1102</t>
  </si>
  <si>
    <t>1310</t>
  </si>
  <si>
    <t>126</t>
  </si>
  <si>
    <t>207</t>
  </si>
  <si>
    <t>315</t>
  </si>
  <si>
    <t>434</t>
  </si>
  <si>
    <t>565</t>
  </si>
  <si>
    <t>725</t>
  </si>
  <si>
    <t>905</t>
  </si>
  <si>
    <t>1103</t>
  </si>
  <si>
    <t>1311</t>
  </si>
  <si>
    <t>HÜSEYİN SEFA HIZLI</t>
  </si>
  <si>
    <t>127</t>
  </si>
  <si>
    <t>208</t>
  </si>
  <si>
    <t>316</t>
  </si>
  <si>
    <t>435</t>
  </si>
  <si>
    <t>566</t>
  </si>
  <si>
    <t>726</t>
  </si>
  <si>
    <t>906</t>
  </si>
  <si>
    <t>1104</t>
  </si>
  <si>
    <t>1312</t>
  </si>
  <si>
    <t>METEOROLOJİ MÜH.</t>
  </si>
  <si>
    <t>128</t>
  </si>
  <si>
    <t>209</t>
  </si>
  <si>
    <t>317</t>
  </si>
  <si>
    <t>436</t>
  </si>
  <si>
    <t>567</t>
  </si>
  <si>
    <t>727</t>
  </si>
  <si>
    <t>907</t>
  </si>
  <si>
    <t>1105</t>
  </si>
  <si>
    <t>1313</t>
  </si>
  <si>
    <t>DSİ 15. BÖLGE MÜDÜRLÜĞÜ</t>
  </si>
  <si>
    <t>129</t>
  </si>
  <si>
    <t>210</t>
  </si>
  <si>
    <t>318</t>
  </si>
  <si>
    <t>437</t>
  </si>
  <si>
    <t>568</t>
  </si>
  <si>
    <t>728</t>
  </si>
  <si>
    <t>908</t>
  </si>
  <si>
    <t>1106</t>
  </si>
  <si>
    <t>1314</t>
  </si>
  <si>
    <t>ETÜT VE PLAN ŞB.</t>
  </si>
  <si>
    <t>130</t>
  </si>
  <si>
    <t>211</t>
  </si>
  <si>
    <t>319</t>
  </si>
  <si>
    <t>438</t>
  </si>
  <si>
    <t>569</t>
  </si>
  <si>
    <t>729</t>
  </si>
  <si>
    <t>909</t>
  </si>
  <si>
    <t>1107</t>
  </si>
  <si>
    <t>1315</t>
  </si>
  <si>
    <t>ŞANLIURFA</t>
  </si>
  <si>
    <t>131</t>
  </si>
  <si>
    <t>212</t>
  </si>
  <si>
    <t>320</t>
  </si>
  <si>
    <t>439</t>
  </si>
  <si>
    <t>570</t>
  </si>
  <si>
    <t>730</t>
  </si>
  <si>
    <t>910</t>
  </si>
  <si>
    <t>1108</t>
  </si>
  <si>
    <t>1316</t>
  </si>
  <si>
    <t>Tel: 0414 313 29 10 - 2556</t>
  </si>
  <si>
    <t>132</t>
  </si>
  <si>
    <t>213</t>
  </si>
  <si>
    <t>321</t>
  </si>
  <si>
    <t>440</t>
  </si>
  <si>
    <t>571</t>
  </si>
  <si>
    <t>731</t>
  </si>
  <si>
    <t>911</t>
  </si>
  <si>
    <t>1109</t>
  </si>
  <si>
    <t>1317</t>
  </si>
  <si>
    <t>Faks: 0414 314 08 83</t>
  </si>
  <si>
    <t>133</t>
  </si>
  <si>
    <t>214</t>
  </si>
  <si>
    <t>322</t>
  </si>
  <si>
    <t>441</t>
  </si>
  <si>
    <t>572</t>
  </si>
  <si>
    <t>732</t>
  </si>
  <si>
    <t>912</t>
  </si>
  <si>
    <t>1110</t>
  </si>
  <si>
    <t>1318</t>
  </si>
  <si>
    <t>EPOSTA:</t>
  </si>
  <si>
    <t>huseyinsefahizli@dsi.gov.tr</t>
  </si>
  <si>
    <t>134</t>
  </si>
  <si>
    <t>215</t>
  </si>
  <si>
    <t>323</t>
  </si>
  <si>
    <t>442</t>
  </si>
  <si>
    <t>573</t>
  </si>
  <si>
    <t>733</t>
  </si>
  <si>
    <t>913</t>
  </si>
  <si>
    <t>1111</t>
  </si>
  <si>
    <t>1319</t>
  </si>
  <si>
    <t>135</t>
  </si>
  <si>
    <t>216</t>
  </si>
  <si>
    <t>324</t>
  </si>
  <si>
    <t>443</t>
  </si>
  <si>
    <t>574</t>
  </si>
  <si>
    <t>734</t>
  </si>
  <si>
    <t>914</t>
  </si>
  <si>
    <t>1112</t>
  </si>
  <si>
    <t>1320</t>
  </si>
  <si>
    <t>136</t>
  </si>
  <si>
    <t>217</t>
  </si>
  <si>
    <t>325</t>
  </si>
  <si>
    <t>444</t>
  </si>
  <si>
    <t>575</t>
  </si>
  <si>
    <t>735</t>
  </si>
  <si>
    <t>915</t>
  </si>
  <si>
    <t>1113</t>
  </si>
  <si>
    <t>1321</t>
  </si>
  <si>
    <t>137</t>
  </si>
  <si>
    <t>218</t>
  </si>
  <si>
    <t>326</t>
  </si>
  <si>
    <t>445</t>
  </si>
  <si>
    <t>576</t>
  </si>
  <si>
    <t>736</t>
  </si>
  <si>
    <t>916</t>
  </si>
  <si>
    <t>1114</t>
  </si>
  <si>
    <t>1322</t>
  </si>
  <si>
    <t>138</t>
  </si>
  <si>
    <t>219</t>
  </si>
  <si>
    <t>327</t>
  </si>
  <si>
    <t>446</t>
  </si>
  <si>
    <t>577</t>
  </si>
  <si>
    <t>737</t>
  </si>
  <si>
    <t>917</t>
  </si>
  <si>
    <t>1115</t>
  </si>
  <si>
    <t>1323</t>
  </si>
  <si>
    <t>139</t>
  </si>
  <si>
    <t>220</t>
  </si>
  <si>
    <t>328</t>
  </si>
  <si>
    <t>447</t>
  </si>
  <si>
    <t>578</t>
  </si>
  <si>
    <t>738</t>
  </si>
  <si>
    <t>918</t>
  </si>
  <si>
    <t>1116</t>
  </si>
  <si>
    <t>1324</t>
  </si>
  <si>
    <t>140</t>
  </si>
  <si>
    <t>221</t>
  </si>
  <si>
    <t>329</t>
  </si>
  <si>
    <t>448</t>
  </si>
  <si>
    <t>579</t>
  </si>
  <si>
    <t>739</t>
  </si>
  <si>
    <t>919</t>
  </si>
  <si>
    <t>1117</t>
  </si>
  <si>
    <t>1325</t>
  </si>
  <si>
    <t>141</t>
  </si>
  <si>
    <t>222</t>
  </si>
  <si>
    <t>330</t>
  </si>
  <si>
    <t>449</t>
  </si>
  <si>
    <t>580</t>
  </si>
  <si>
    <t>740</t>
  </si>
  <si>
    <t>920</t>
  </si>
  <si>
    <t>1118</t>
  </si>
  <si>
    <t>1326</t>
  </si>
  <si>
    <t>142</t>
  </si>
  <si>
    <t>223</t>
  </si>
  <si>
    <t>331</t>
  </si>
  <si>
    <t>450</t>
  </si>
  <si>
    <t>581</t>
  </si>
  <si>
    <t>741</t>
  </si>
  <si>
    <t>921</t>
  </si>
  <si>
    <t>1119</t>
  </si>
  <si>
    <t>1327</t>
  </si>
  <si>
    <t>143</t>
  </si>
  <si>
    <t>224</t>
  </si>
  <si>
    <t>332</t>
  </si>
  <si>
    <t>451</t>
  </si>
  <si>
    <t>582</t>
  </si>
  <si>
    <t>742</t>
  </si>
  <si>
    <t>922</t>
  </si>
  <si>
    <t>1120</t>
  </si>
  <si>
    <t>1328</t>
  </si>
  <si>
    <t>144</t>
  </si>
  <si>
    <t>225</t>
  </si>
  <si>
    <t>333</t>
  </si>
  <si>
    <t>452</t>
  </si>
  <si>
    <t>583</t>
  </si>
  <si>
    <t>743</t>
  </si>
  <si>
    <t>923</t>
  </si>
  <si>
    <t>1121</t>
  </si>
  <si>
    <t>1329</t>
  </si>
  <si>
    <t>145</t>
  </si>
  <si>
    <t>226</t>
  </si>
  <si>
    <t>334</t>
  </si>
  <si>
    <t>453</t>
  </si>
  <si>
    <t>584</t>
  </si>
  <si>
    <t>744</t>
  </si>
  <si>
    <t>924</t>
  </si>
  <si>
    <t>1122</t>
  </si>
  <si>
    <t>1330</t>
  </si>
  <si>
    <t>146</t>
  </si>
  <si>
    <t>227</t>
  </si>
  <si>
    <t>335</t>
  </si>
  <si>
    <t>454</t>
  </si>
  <si>
    <t>585</t>
  </si>
  <si>
    <t>745</t>
  </si>
  <si>
    <t>925</t>
  </si>
  <si>
    <t>1123</t>
  </si>
  <si>
    <t>1331</t>
  </si>
  <si>
    <t>147</t>
  </si>
  <si>
    <t>228</t>
  </si>
  <si>
    <t>336</t>
  </si>
  <si>
    <t>455</t>
  </si>
  <si>
    <t>586</t>
  </si>
  <si>
    <t>746</t>
  </si>
  <si>
    <t>926</t>
  </si>
  <si>
    <t>1124</t>
  </si>
  <si>
    <t>1332</t>
  </si>
  <si>
    <t>148</t>
  </si>
  <si>
    <t>229</t>
  </si>
  <si>
    <t>337</t>
  </si>
  <si>
    <t>456</t>
  </si>
  <si>
    <t>587</t>
  </si>
  <si>
    <t>747</t>
  </si>
  <si>
    <t>927</t>
  </si>
  <si>
    <t>1125</t>
  </si>
  <si>
    <t>1333</t>
  </si>
  <si>
    <t>149</t>
  </si>
  <si>
    <t>230</t>
  </si>
  <si>
    <t>338</t>
  </si>
  <si>
    <t>457</t>
  </si>
  <si>
    <t>588</t>
  </si>
  <si>
    <t>748</t>
  </si>
  <si>
    <t>928</t>
  </si>
  <si>
    <t>1126</t>
  </si>
  <si>
    <t>1334</t>
  </si>
  <si>
    <t>150</t>
  </si>
  <si>
    <t>231</t>
  </si>
  <si>
    <t>339</t>
  </si>
  <si>
    <t>458</t>
  </si>
  <si>
    <t>589</t>
  </si>
  <si>
    <t>749</t>
  </si>
  <si>
    <t>929</t>
  </si>
  <si>
    <t>1127</t>
  </si>
  <si>
    <t>1335</t>
  </si>
  <si>
    <t>151</t>
  </si>
  <si>
    <t>232</t>
  </si>
  <si>
    <t>340</t>
  </si>
  <si>
    <t>459</t>
  </si>
  <si>
    <t>590</t>
  </si>
  <si>
    <t>750</t>
  </si>
  <si>
    <t>930</t>
  </si>
  <si>
    <t>1128</t>
  </si>
  <si>
    <t>1336</t>
  </si>
  <si>
    <t>152</t>
  </si>
  <si>
    <t>233</t>
  </si>
  <si>
    <t>341</t>
  </si>
  <si>
    <t>460</t>
  </si>
  <si>
    <t>591</t>
  </si>
  <si>
    <t>751</t>
  </si>
  <si>
    <t>931</t>
  </si>
  <si>
    <t>1129</t>
  </si>
  <si>
    <t>1337</t>
  </si>
  <si>
    <t>153</t>
  </si>
  <si>
    <t>234</t>
  </si>
  <si>
    <t>342</t>
  </si>
  <si>
    <t>461</t>
  </si>
  <si>
    <t>592</t>
  </si>
  <si>
    <t>752</t>
  </si>
  <si>
    <t>932</t>
  </si>
  <si>
    <t>1130</t>
  </si>
  <si>
    <t>1338</t>
  </si>
  <si>
    <t>154</t>
  </si>
  <si>
    <t>235</t>
  </si>
  <si>
    <t>343</t>
  </si>
  <si>
    <t>462</t>
  </si>
  <si>
    <t>593</t>
  </si>
  <si>
    <t>753</t>
  </si>
  <si>
    <t>933</t>
  </si>
  <si>
    <t>1131</t>
  </si>
  <si>
    <t>1339</t>
  </si>
  <si>
    <t>155</t>
  </si>
  <si>
    <t>236</t>
  </si>
  <si>
    <t>344</t>
  </si>
  <si>
    <t>463</t>
  </si>
  <si>
    <t>594</t>
  </si>
  <si>
    <t>754</t>
  </si>
  <si>
    <t>934</t>
  </si>
  <si>
    <t>1132</t>
  </si>
  <si>
    <t>1340</t>
  </si>
  <si>
    <t>156</t>
  </si>
  <si>
    <t>237</t>
  </si>
  <si>
    <t>345</t>
  </si>
  <si>
    <t>464</t>
  </si>
  <si>
    <t>595</t>
  </si>
  <si>
    <t>755</t>
  </si>
  <si>
    <t>935</t>
  </si>
  <si>
    <t>1133</t>
  </si>
  <si>
    <t>1341</t>
  </si>
  <si>
    <t>157</t>
  </si>
  <si>
    <t>238</t>
  </si>
  <si>
    <t>346</t>
  </si>
  <si>
    <t>465</t>
  </si>
  <si>
    <t>596</t>
  </si>
  <si>
    <t>756</t>
  </si>
  <si>
    <t>936</t>
  </si>
  <si>
    <t>1134</t>
  </si>
  <si>
    <t>1342</t>
  </si>
  <si>
    <t>158</t>
  </si>
  <si>
    <t>239</t>
  </si>
  <si>
    <t>347</t>
  </si>
  <si>
    <t>466</t>
  </si>
  <si>
    <t>597</t>
  </si>
  <si>
    <t>757</t>
  </si>
  <si>
    <t>937</t>
  </si>
  <si>
    <t>1135</t>
  </si>
  <si>
    <t>1343</t>
  </si>
  <si>
    <t>159</t>
  </si>
  <si>
    <t>240</t>
  </si>
  <si>
    <t>348</t>
  </si>
  <si>
    <t>467</t>
  </si>
  <si>
    <t>598</t>
  </si>
  <si>
    <t>758</t>
  </si>
  <si>
    <t>938</t>
  </si>
  <si>
    <t>1136</t>
  </si>
  <si>
    <t>1344</t>
  </si>
  <si>
    <t>160</t>
  </si>
  <si>
    <t>241</t>
  </si>
  <si>
    <t>349</t>
  </si>
  <si>
    <t>468</t>
  </si>
  <si>
    <t>599</t>
  </si>
  <si>
    <t>759</t>
  </si>
  <si>
    <t>939</t>
  </si>
  <si>
    <t>1137</t>
  </si>
  <si>
    <t>1345</t>
  </si>
  <si>
    <t>161</t>
  </si>
  <si>
    <t>242</t>
  </si>
  <si>
    <t>350</t>
  </si>
  <si>
    <t>469</t>
  </si>
  <si>
    <t>600</t>
  </si>
  <si>
    <t>760</t>
  </si>
  <si>
    <t>940</t>
  </si>
  <si>
    <t>1138</t>
  </si>
  <si>
    <t>1346</t>
  </si>
  <si>
    <t>162</t>
  </si>
  <si>
    <t>243</t>
  </si>
  <si>
    <t>351</t>
  </si>
  <si>
    <t>470</t>
  </si>
  <si>
    <t>601</t>
  </si>
  <si>
    <t>761</t>
  </si>
  <si>
    <t>941</t>
  </si>
  <si>
    <t>1139</t>
  </si>
  <si>
    <t>1347</t>
  </si>
  <si>
    <t>163</t>
  </si>
  <si>
    <t>244</t>
  </si>
  <si>
    <t>352</t>
  </si>
  <si>
    <t>471</t>
  </si>
  <si>
    <t>602</t>
  </si>
  <si>
    <t>762</t>
  </si>
  <si>
    <t>942</t>
  </si>
  <si>
    <t>1140</t>
  </si>
  <si>
    <t>1348</t>
  </si>
  <si>
    <t>164</t>
  </si>
  <si>
    <t>245</t>
  </si>
  <si>
    <t>353</t>
  </si>
  <si>
    <t>472</t>
  </si>
  <si>
    <t>603</t>
  </si>
  <si>
    <t>763</t>
  </si>
  <si>
    <t>943</t>
  </si>
  <si>
    <t>1141</t>
  </si>
  <si>
    <t>1349</t>
  </si>
  <si>
    <t>165</t>
  </si>
  <si>
    <t>246</t>
  </si>
  <si>
    <t>354</t>
  </si>
  <si>
    <t>473</t>
  </si>
  <si>
    <t>604</t>
  </si>
  <si>
    <t>764</t>
  </si>
  <si>
    <t>944</t>
  </si>
  <si>
    <t>1142</t>
  </si>
  <si>
    <t>1350</t>
  </si>
  <si>
    <t>166</t>
  </si>
  <si>
    <t>247</t>
  </si>
  <si>
    <t>355</t>
  </si>
  <si>
    <t>474</t>
  </si>
  <si>
    <t>605</t>
  </si>
  <si>
    <t>765</t>
  </si>
  <si>
    <t>946</t>
  </si>
  <si>
    <t>1143</t>
  </si>
  <si>
    <t>1351</t>
  </si>
  <si>
    <t>167</t>
  </si>
  <si>
    <t>248</t>
  </si>
  <si>
    <t>356</t>
  </si>
  <si>
    <t>475</t>
  </si>
  <si>
    <t>606</t>
  </si>
  <si>
    <t>766</t>
  </si>
  <si>
    <t>947</t>
  </si>
  <si>
    <t>1144</t>
  </si>
  <si>
    <t>1352</t>
  </si>
  <si>
    <t>168</t>
  </si>
  <si>
    <t>249</t>
  </si>
  <si>
    <t>357</t>
  </si>
  <si>
    <t>476</t>
  </si>
  <si>
    <t>607</t>
  </si>
  <si>
    <t>767</t>
  </si>
  <si>
    <t>948</t>
  </si>
  <si>
    <t>1145</t>
  </si>
  <si>
    <t>1353</t>
  </si>
  <si>
    <t>169</t>
  </si>
  <si>
    <t>250</t>
  </si>
  <si>
    <t>358</t>
  </si>
  <si>
    <t>477</t>
  </si>
  <si>
    <t>608</t>
  </si>
  <si>
    <t>768</t>
  </si>
  <si>
    <t>949</t>
  </si>
  <si>
    <t>1146</t>
  </si>
  <si>
    <t>1354</t>
  </si>
  <si>
    <t>170</t>
  </si>
  <si>
    <t>251</t>
  </si>
  <si>
    <t>359</t>
  </si>
  <si>
    <t>478</t>
  </si>
  <si>
    <t>609</t>
  </si>
  <si>
    <t>769</t>
  </si>
  <si>
    <t>950</t>
  </si>
  <si>
    <t>1147</t>
  </si>
  <si>
    <t>1355</t>
  </si>
  <si>
    <t>171</t>
  </si>
  <si>
    <t>252</t>
  </si>
  <si>
    <t>360</t>
  </si>
  <si>
    <t>479</t>
  </si>
  <si>
    <t>610</t>
  </si>
  <si>
    <t>770</t>
  </si>
  <si>
    <t>951</t>
  </si>
  <si>
    <t>1148</t>
  </si>
  <si>
    <t>1356</t>
  </si>
  <si>
    <t>172</t>
  </si>
  <si>
    <t>253</t>
  </si>
  <si>
    <t>361</t>
  </si>
  <si>
    <t>480</t>
  </si>
  <si>
    <t>611</t>
  </si>
  <si>
    <t>771</t>
  </si>
  <si>
    <t>952</t>
  </si>
  <si>
    <t>1149</t>
  </si>
  <si>
    <t>1357</t>
  </si>
  <si>
    <t>173</t>
  </si>
  <si>
    <t>254</t>
  </si>
  <si>
    <t>362</t>
  </si>
  <si>
    <t>481</t>
  </si>
  <si>
    <t>612</t>
  </si>
  <si>
    <t>772</t>
  </si>
  <si>
    <t>953</t>
  </si>
  <si>
    <t>1150</t>
  </si>
  <si>
    <t>1358</t>
  </si>
  <si>
    <t>174</t>
  </si>
  <si>
    <t>255</t>
  </si>
  <si>
    <t>363</t>
  </si>
  <si>
    <t>482</t>
  </si>
  <si>
    <t>613</t>
  </si>
  <si>
    <t>773</t>
  </si>
  <si>
    <t>954</t>
  </si>
  <si>
    <t>1151</t>
  </si>
  <si>
    <t>1359</t>
  </si>
  <si>
    <t>175</t>
  </si>
  <si>
    <t>256</t>
  </si>
  <si>
    <t>364</t>
  </si>
  <si>
    <t>483</t>
  </si>
  <si>
    <t>614</t>
  </si>
  <si>
    <t>774</t>
  </si>
  <si>
    <t>955</t>
  </si>
  <si>
    <t>1152</t>
  </si>
  <si>
    <t>1360</t>
  </si>
  <si>
    <t>176</t>
  </si>
  <si>
    <t>257</t>
  </si>
  <si>
    <t>365</t>
  </si>
  <si>
    <t>484</t>
  </si>
  <si>
    <t>615</t>
  </si>
  <si>
    <t>775</t>
  </si>
  <si>
    <t>956</t>
  </si>
  <si>
    <t>1153</t>
  </si>
  <si>
    <t>1361</t>
  </si>
  <si>
    <t>177</t>
  </si>
  <si>
    <t>258</t>
  </si>
  <si>
    <t>366</t>
  </si>
  <si>
    <t>485</t>
  </si>
  <si>
    <t>616</t>
  </si>
  <si>
    <t>776</t>
  </si>
  <si>
    <t>957</t>
  </si>
  <si>
    <t>1154</t>
  </si>
  <si>
    <t>1362</t>
  </si>
  <si>
    <t>178</t>
  </si>
  <si>
    <t>1471</t>
  </si>
  <si>
    <t>367</t>
  </si>
  <si>
    <t>486</t>
  </si>
  <si>
    <t>617</t>
  </si>
  <si>
    <t>777</t>
  </si>
  <si>
    <t>958</t>
  </si>
  <si>
    <t>1155</t>
  </si>
  <si>
    <t>1363</t>
  </si>
  <si>
    <t>179</t>
  </si>
  <si>
    <t>1472</t>
  </si>
  <si>
    <t>368</t>
  </si>
  <si>
    <t>487</t>
  </si>
  <si>
    <t>618</t>
  </si>
  <si>
    <t>778</t>
  </si>
  <si>
    <t>959</t>
  </si>
  <si>
    <t>1156</t>
  </si>
  <si>
    <t>1364</t>
  </si>
  <si>
    <t>180</t>
  </si>
  <si>
    <t>259</t>
  </si>
  <si>
    <t>369</t>
  </si>
  <si>
    <t>488</t>
  </si>
  <si>
    <t>619</t>
  </si>
  <si>
    <t>779</t>
  </si>
  <si>
    <t>960</t>
  </si>
  <si>
    <t>1157</t>
  </si>
  <si>
    <t>1365</t>
  </si>
  <si>
    <t>181</t>
  </si>
  <si>
    <t>260</t>
  </si>
  <si>
    <t>370</t>
  </si>
  <si>
    <t>489</t>
  </si>
  <si>
    <t>620</t>
  </si>
  <si>
    <t>780</t>
  </si>
  <si>
    <t>961</t>
  </si>
  <si>
    <t>1158</t>
  </si>
  <si>
    <t>1366</t>
  </si>
  <si>
    <t>182</t>
  </si>
  <si>
    <t>261</t>
  </si>
  <si>
    <t>371</t>
  </si>
  <si>
    <t>490</t>
  </si>
  <si>
    <t>621</t>
  </si>
  <si>
    <t>781</t>
  </si>
  <si>
    <t>962</t>
  </si>
  <si>
    <t>1159</t>
  </si>
  <si>
    <t>1367</t>
  </si>
  <si>
    <t>183</t>
  </si>
  <si>
    <t>262</t>
  </si>
  <si>
    <t>372</t>
  </si>
  <si>
    <t>491</t>
  </si>
  <si>
    <t>622</t>
  </si>
  <si>
    <t>782</t>
  </si>
  <si>
    <t>963</t>
  </si>
  <si>
    <t>1160</t>
  </si>
  <si>
    <t>1368</t>
  </si>
  <si>
    <t>184</t>
  </si>
  <si>
    <t>263</t>
  </si>
  <si>
    <t>373</t>
  </si>
  <si>
    <t>492</t>
  </si>
  <si>
    <t>623</t>
  </si>
  <si>
    <t>783</t>
  </si>
  <si>
    <t>964</t>
  </si>
  <si>
    <t>1161</t>
  </si>
  <si>
    <t>1369</t>
  </si>
  <si>
    <t>185</t>
  </si>
  <si>
    <t>264</t>
  </si>
  <si>
    <t>374</t>
  </si>
  <si>
    <t>493</t>
  </si>
  <si>
    <t>624</t>
  </si>
  <si>
    <t>784</t>
  </si>
  <si>
    <t>965</t>
  </si>
  <si>
    <t>1162</t>
  </si>
  <si>
    <t>1370</t>
  </si>
  <si>
    <t>186</t>
  </si>
  <si>
    <t>265</t>
  </si>
  <si>
    <t>375</t>
  </si>
  <si>
    <t>494</t>
  </si>
  <si>
    <t>625</t>
  </si>
  <si>
    <t>785</t>
  </si>
  <si>
    <t>966</t>
  </si>
  <si>
    <t>1163</t>
  </si>
  <si>
    <t>1371</t>
  </si>
  <si>
    <t>187</t>
  </si>
  <si>
    <t>266</t>
  </si>
  <si>
    <t>376</t>
  </si>
  <si>
    <t>495</t>
  </si>
  <si>
    <t>626</t>
  </si>
  <si>
    <t>786</t>
  </si>
  <si>
    <t>967</t>
  </si>
  <si>
    <t>1164</t>
  </si>
  <si>
    <t>1372</t>
  </si>
  <si>
    <t>188</t>
  </si>
  <si>
    <t>267</t>
  </si>
  <si>
    <t>377</t>
  </si>
  <si>
    <t>496</t>
  </si>
  <si>
    <t>627</t>
  </si>
  <si>
    <t>787</t>
  </si>
  <si>
    <t>968</t>
  </si>
  <si>
    <t>1165</t>
  </si>
  <si>
    <t>1373</t>
  </si>
  <si>
    <t>189</t>
  </si>
  <si>
    <t>268</t>
  </si>
  <si>
    <t>378</t>
  </si>
  <si>
    <t>497</t>
  </si>
  <si>
    <t>628</t>
  </si>
  <si>
    <t>788</t>
  </si>
  <si>
    <t>969</t>
  </si>
  <si>
    <t>1166</t>
  </si>
  <si>
    <t>1374</t>
  </si>
  <si>
    <t>190</t>
  </si>
  <si>
    <t>269</t>
  </si>
  <si>
    <t>379</t>
  </si>
  <si>
    <t>498</t>
  </si>
  <si>
    <t>629</t>
  </si>
  <si>
    <t>789</t>
  </si>
  <si>
    <t>970</t>
  </si>
  <si>
    <t>1167</t>
  </si>
  <si>
    <t>1375</t>
  </si>
  <si>
    <t>191</t>
  </si>
  <si>
    <t>270</t>
  </si>
  <si>
    <t>380</t>
  </si>
  <si>
    <t>499</t>
  </si>
  <si>
    <t>630</t>
  </si>
  <si>
    <t>790</t>
  </si>
  <si>
    <t>971</t>
  </si>
  <si>
    <t>1168</t>
  </si>
  <si>
    <t>1376</t>
  </si>
  <si>
    <t>192</t>
  </si>
  <si>
    <t>271</t>
  </si>
  <si>
    <t>381</t>
  </si>
  <si>
    <t>500</t>
  </si>
  <si>
    <t>631</t>
  </si>
  <si>
    <t>791</t>
  </si>
  <si>
    <t>972</t>
  </si>
  <si>
    <t>1169</t>
  </si>
  <si>
    <t>1377</t>
  </si>
  <si>
    <t>193</t>
  </si>
  <si>
    <t>272</t>
  </si>
  <si>
    <t>382</t>
  </si>
  <si>
    <t>501</t>
  </si>
  <si>
    <t>632</t>
  </si>
  <si>
    <t>792</t>
  </si>
  <si>
    <t>973</t>
  </si>
  <si>
    <t>1170</t>
  </si>
  <si>
    <t>1378</t>
  </si>
  <si>
    <t>194</t>
  </si>
  <si>
    <t>273</t>
  </si>
  <si>
    <t>383</t>
  </si>
  <si>
    <t>502</t>
  </si>
  <si>
    <t>633</t>
  </si>
  <si>
    <t>793</t>
  </si>
  <si>
    <t>974</t>
  </si>
  <si>
    <t>1171</t>
  </si>
  <si>
    <t>1379</t>
  </si>
  <si>
    <t>195</t>
  </si>
  <si>
    <t>274</t>
  </si>
  <si>
    <t>384</t>
  </si>
  <si>
    <t>503</t>
  </si>
  <si>
    <t>634</t>
  </si>
  <si>
    <t>794</t>
  </si>
  <si>
    <t>975</t>
  </si>
  <si>
    <t>1172</t>
  </si>
  <si>
    <t>1380</t>
  </si>
  <si>
    <t>196</t>
  </si>
  <si>
    <t>275</t>
  </si>
  <si>
    <t>385</t>
  </si>
  <si>
    <t>504</t>
  </si>
  <si>
    <t>635</t>
  </si>
  <si>
    <t>795</t>
  </si>
  <si>
    <t>976</t>
  </si>
  <si>
    <t>1173</t>
  </si>
  <si>
    <t>1381</t>
  </si>
  <si>
    <t>197</t>
  </si>
  <si>
    <t>276</t>
  </si>
  <si>
    <t>386</t>
  </si>
  <si>
    <t>505</t>
  </si>
  <si>
    <t>636</t>
  </si>
  <si>
    <t>796</t>
  </si>
  <si>
    <t>977</t>
  </si>
  <si>
    <t>1174</t>
  </si>
  <si>
    <t>1382</t>
  </si>
  <si>
    <t>198</t>
  </si>
  <si>
    <t>277</t>
  </si>
  <si>
    <t>387</t>
  </si>
  <si>
    <t>506</t>
  </si>
  <si>
    <t>637</t>
  </si>
  <si>
    <t>797</t>
  </si>
  <si>
    <t>978</t>
  </si>
  <si>
    <t>1175</t>
  </si>
  <si>
    <t>1383</t>
  </si>
  <si>
    <t>199</t>
  </si>
  <si>
    <t>278</t>
  </si>
  <si>
    <t>388</t>
  </si>
  <si>
    <t>507</t>
  </si>
  <si>
    <t>638</t>
  </si>
  <si>
    <t>798</t>
  </si>
  <si>
    <t>979</t>
  </si>
  <si>
    <t>1176</t>
  </si>
  <si>
    <t>1384</t>
  </si>
  <si>
    <t>200</t>
  </si>
  <si>
    <t>279</t>
  </si>
  <si>
    <t>389</t>
  </si>
  <si>
    <t>508</t>
  </si>
  <si>
    <t>639</t>
  </si>
  <si>
    <t>799</t>
  </si>
  <si>
    <t>980</t>
  </si>
  <si>
    <t>1177</t>
  </si>
  <si>
    <t>1385</t>
  </si>
  <si>
    <t>280</t>
  </si>
  <si>
    <t>390</t>
  </si>
  <si>
    <t>509</t>
  </si>
  <si>
    <t>640</t>
  </si>
  <si>
    <t>800</t>
  </si>
  <si>
    <t>981</t>
  </si>
  <si>
    <t>1178</t>
  </si>
  <si>
    <t>1386</t>
  </si>
  <si>
    <t>281</t>
  </si>
  <si>
    <t>391</t>
  </si>
  <si>
    <t>510</t>
  </si>
  <si>
    <t>641</t>
  </si>
  <si>
    <t>801</t>
  </si>
  <si>
    <t>982</t>
  </si>
  <si>
    <t>1179</t>
  </si>
  <si>
    <t>1387</t>
  </si>
  <si>
    <t>282</t>
  </si>
  <si>
    <t>392</t>
  </si>
  <si>
    <t>511</t>
  </si>
  <si>
    <t>642</t>
  </si>
  <si>
    <t>802</t>
  </si>
  <si>
    <t>983</t>
  </si>
  <si>
    <t>1180</t>
  </si>
  <si>
    <t>1388</t>
  </si>
  <si>
    <t>283</t>
  </si>
  <si>
    <t>393</t>
  </si>
  <si>
    <t>512</t>
  </si>
  <si>
    <t>643</t>
  </si>
  <si>
    <t>803</t>
  </si>
  <si>
    <t>984</t>
  </si>
  <si>
    <t>1181</t>
  </si>
  <si>
    <t>1389</t>
  </si>
  <si>
    <t>284</t>
  </si>
  <si>
    <t>394</t>
  </si>
  <si>
    <t>513</t>
  </si>
  <si>
    <t>644</t>
  </si>
  <si>
    <t>804</t>
  </si>
  <si>
    <t>985</t>
  </si>
  <si>
    <t>1182</t>
  </si>
  <si>
    <t>1390</t>
  </si>
  <si>
    <t>285</t>
  </si>
  <si>
    <t>395</t>
  </si>
  <si>
    <t>514</t>
  </si>
  <si>
    <t>645</t>
  </si>
  <si>
    <t>805</t>
  </si>
  <si>
    <t>986</t>
  </si>
  <si>
    <t>1183</t>
  </si>
  <si>
    <t>1391</t>
  </si>
  <si>
    <t>286</t>
  </si>
  <si>
    <t>396</t>
  </si>
  <si>
    <t>515</t>
  </si>
  <si>
    <t>646</t>
  </si>
  <si>
    <t>806</t>
  </si>
  <si>
    <t>987</t>
  </si>
  <si>
    <t>1184</t>
  </si>
  <si>
    <t>1392</t>
  </si>
  <si>
    <t>287</t>
  </si>
  <si>
    <t>397</t>
  </si>
  <si>
    <t>516</t>
  </si>
  <si>
    <t>647</t>
  </si>
  <si>
    <t>807</t>
  </si>
  <si>
    <t>988</t>
  </si>
  <si>
    <t>1185</t>
  </si>
  <si>
    <t>1393</t>
  </si>
  <si>
    <t>288</t>
  </si>
  <si>
    <t>398</t>
  </si>
  <si>
    <t>517</t>
  </si>
  <si>
    <t>648</t>
  </si>
  <si>
    <t>808</t>
  </si>
  <si>
    <t>989</t>
  </si>
  <si>
    <t>1186</t>
  </si>
  <si>
    <t>1394</t>
  </si>
  <si>
    <t>289</t>
  </si>
  <si>
    <t>399</t>
  </si>
  <si>
    <t>518</t>
  </si>
  <si>
    <t>649</t>
  </si>
  <si>
    <t>809</t>
  </si>
  <si>
    <t>990</t>
  </si>
  <si>
    <t>1187</t>
  </si>
  <si>
    <t>1395</t>
  </si>
  <si>
    <t>290</t>
  </si>
  <si>
    <t>400</t>
  </si>
  <si>
    <t>519</t>
  </si>
  <si>
    <t>650</t>
  </si>
  <si>
    <t>810</t>
  </si>
  <si>
    <t>991</t>
  </si>
  <si>
    <t>1188</t>
  </si>
  <si>
    <t>1396</t>
  </si>
  <si>
    <t>291</t>
  </si>
  <si>
    <t>401</t>
  </si>
  <si>
    <t>520</t>
  </si>
  <si>
    <t>651</t>
  </si>
  <si>
    <t>811</t>
  </si>
  <si>
    <t>992</t>
  </si>
  <si>
    <t>1189</t>
  </si>
  <si>
    <t>1397</t>
  </si>
  <si>
    <t>292</t>
  </si>
  <si>
    <t>402</t>
  </si>
  <si>
    <t>521</t>
  </si>
  <si>
    <t>652</t>
  </si>
  <si>
    <t>812</t>
  </si>
  <si>
    <t>993</t>
  </si>
  <si>
    <t>1190</t>
  </si>
  <si>
    <t>1398</t>
  </si>
  <si>
    <t>293</t>
  </si>
  <si>
    <t>403</t>
  </si>
  <si>
    <t>522</t>
  </si>
  <si>
    <t>653</t>
  </si>
  <si>
    <t>813</t>
  </si>
  <si>
    <t>994</t>
  </si>
  <si>
    <t>1191</t>
  </si>
  <si>
    <t>1399</t>
  </si>
  <si>
    <t>294</t>
  </si>
  <si>
    <t>404</t>
  </si>
  <si>
    <t>523</t>
  </si>
  <si>
    <t>654</t>
  </si>
  <si>
    <t>814</t>
  </si>
  <si>
    <t>995</t>
  </si>
  <si>
    <t>1192</t>
  </si>
  <si>
    <t>1400</t>
  </si>
  <si>
    <t>295</t>
  </si>
  <si>
    <t>405</t>
  </si>
  <si>
    <t>524</t>
  </si>
  <si>
    <t>655</t>
  </si>
  <si>
    <t>815</t>
  </si>
  <si>
    <t>996</t>
  </si>
  <si>
    <t>1193</t>
  </si>
  <si>
    <t>1401</t>
  </si>
  <si>
    <t>296</t>
  </si>
  <si>
    <t>406</t>
  </si>
  <si>
    <t>525</t>
  </si>
  <si>
    <t>656</t>
  </si>
  <si>
    <t>816</t>
  </si>
  <si>
    <t>997</t>
  </si>
  <si>
    <t>1194</t>
  </si>
  <si>
    <t>1402</t>
  </si>
  <si>
    <t>297</t>
  </si>
  <si>
    <t>407</t>
  </si>
  <si>
    <t>526</t>
  </si>
  <si>
    <t>657</t>
  </si>
  <si>
    <t>817</t>
  </si>
  <si>
    <t>998</t>
  </si>
  <si>
    <t>1195</t>
  </si>
  <si>
    <t>1403</t>
  </si>
  <si>
    <t>298</t>
  </si>
  <si>
    <t>408</t>
  </si>
  <si>
    <t>527</t>
  </si>
  <si>
    <t>658</t>
  </si>
  <si>
    <t>818</t>
  </si>
  <si>
    <t>999</t>
  </si>
  <si>
    <t>1196</t>
  </si>
  <si>
    <t>1404</t>
  </si>
  <si>
    <t>299</t>
  </si>
  <si>
    <t>409</t>
  </si>
  <si>
    <t>528</t>
  </si>
  <si>
    <t>659</t>
  </si>
  <si>
    <t>819</t>
  </si>
  <si>
    <t>1000</t>
  </si>
  <si>
    <t>1197</t>
  </si>
  <si>
    <t>1405</t>
  </si>
  <si>
    <t>300</t>
  </si>
  <si>
    <t>410</t>
  </si>
  <si>
    <t>529</t>
  </si>
  <si>
    <t>660</t>
  </si>
  <si>
    <t>820</t>
  </si>
  <si>
    <t>1001</t>
  </si>
  <si>
    <t>1198</t>
  </si>
  <si>
    <t>1406</t>
  </si>
  <si>
    <t>301</t>
  </si>
  <si>
    <t>411</t>
  </si>
  <si>
    <t>530</t>
  </si>
  <si>
    <t>661</t>
  </si>
  <si>
    <t>821</t>
  </si>
  <si>
    <t>1002</t>
  </si>
  <si>
    <t>1199</t>
  </si>
  <si>
    <t>1407</t>
  </si>
  <si>
    <t>302</t>
  </si>
  <si>
    <t>412</t>
  </si>
  <si>
    <t>531</t>
  </si>
  <si>
    <t>662</t>
  </si>
  <si>
    <t>822</t>
  </si>
  <si>
    <t>1003</t>
  </si>
  <si>
    <t>1200</t>
  </si>
  <si>
    <t>1408</t>
  </si>
  <si>
    <t>303</t>
  </si>
  <si>
    <t>413</t>
  </si>
  <si>
    <t>532</t>
  </si>
  <si>
    <t>663</t>
  </si>
  <si>
    <t>823</t>
  </si>
  <si>
    <t>1004</t>
  </si>
  <si>
    <t>1201</t>
  </si>
  <si>
    <t>1409</t>
  </si>
  <si>
    <t>304</t>
  </si>
  <si>
    <t>414</t>
  </si>
  <si>
    <t>533</t>
  </si>
  <si>
    <t>664</t>
  </si>
  <si>
    <t>824</t>
  </si>
  <si>
    <t>1005</t>
  </si>
  <si>
    <t>1202</t>
  </si>
  <si>
    <t>1410</t>
  </si>
  <si>
    <t>305</t>
  </si>
  <si>
    <t>415</t>
  </si>
  <si>
    <t>534</t>
  </si>
  <si>
    <t>665</t>
  </si>
  <si>
    <t>825</t>
  </si>
  <si>
    <t>1006</t>
  </si>
  <si>
    <t>1203</t>
  </si>
  <si>
    <t>1411</t>
  </si>
  <si>
    <t>306</t>
  </si>
  <si>
    <t>416</t>
  </si>
  <si>
    <t>535</t>
  </si>
  <si>
    <t>666</t>
  </si>
  <si>
    <t>826</t>
  </si>
  <si>
    <t>1007</t>
  </si>
  <si>
    <t>1204</t>
  </si>
  <si>
    <t>1412</t>
  </si>
  <si>
    <t>307</t>
  </si>
  <si>
    <t>417</t>
  </si>
  <si>
    <t>536</t>
  </si>
  <si>
    <t>667</t>
  </si>
  <si>
    <t>827</t>
  </si>
  <si>
    <t>1008</t>
  </si>
  <si>
    <t>1205</t>
  </si>
  <si>
    <t>1413</t>
  </si>
  <si>
    <t>308</t>
  </si>
  <si>
    <t>418</t>
  </si>
  <si>
    <t>537</t>
  </si>
  <si>
    <t>668</t>
  </si>
  <si>
    <t>828</t>
  </si>
  <si>
    <t>1009</t>
  </si>
  <si>
    <t>1206</t>
  </si>
  <si>
    <t>1414</t>
  </si>
  <si>
    <t>309</t>
  </si>
  <si>
    <t>419</t>
  </si>
  <si>
    <t>538</t>
  </si>
  <si>
    <t>669</t>
  </si>
  <si>
    <t>829</t>
  </si>
  <si>
    <t>1010</t>
  </si>
  <si>
    <t>1207</t>
  </si>
  <si>
    <t>1415</t>
  </si>
  <si>
    <t>420</t>
  </si>
  <si>
    <t>539</t>
  </si>
  <si>
    <t>670</t>
  </si>
  <si>
    <t>830</t>
  </si>
  <si>
    <t>1011</t>
  </si>
  <si>
    <t>1208</t>
  </si>
  <si>
    <t>1416</t>
  </si>
  <si>
    <t>421</t>
  </si>
  <si>
    <t>540</t>
  </si>
  <si>
    <t>671</t>
  </si>
  <si>
    <t>831</t>
  </si>
  <si>
    <t>1012</t>
  </si>
  <si>
    <t>1209</t>
  </si>
  <si>
    <t>1417</t>
  </si>
  <si>
    <t>422</t>
  </si>
  <si>
    <t>541</t>
  </si>
  <si>
    <t>672</t>
  </si>
  <si>
    <t>832</t>
  </si>
  <si>
    <t>1013</t>
  </si>
  <si>
    <t>1210</t>
  </si>
  <si>
    <t>1418</t>
  </si>
  <si>
    <t>423</t>
  </si>
  <si>
    <t>542</t>
  </si>
  <si>
    <t>673</t>
  </si>
  <si>
    <t>833</t>
  </si>
  <si>
    <t>1014</t>
  </si>
  <si>
    <t>1211</t>
  </si>
  <si>
    <t>1419</t>
  </si>
  <si>
    <t>424</t>
  </si>
  <si>
    <t>543</t>
  </si>
  <si>
    <t>674</t>
  </si>
  <si>
    <t>834</t>
  </si>
  <si>
    <t>1015</t>
  </si>
  <si>
    <t>1212</t>
  </si>
  <si>
    <t>1420</t>
  </si>
  <si>
    <t>425</t>
  </si>
  <si>
    <t>544</t>
  </si>
  <si>
    <t>675</t>
  </si>
  <si>
    <t>835</t>
  </si>
  <si>
    <t>1016</t>
  </si>
  <si>
    <t>1213</t>
  </si>
  <si>
    <t>1421</t>
  </si>
  <si>
    <t>426</t>
  </si>
  <si>
    <t>545</t>
  </si>
  <si>
    <t>676</t>
  </si>
  <si>
    <t>836</t>
  </si>
  <si>
    <t>1017</t>
  </si>
  <si>
    <t>1214</t>
  </si>
  <si>
    <t>1422</t>
  </si>
  <si>
    <t>428</t>
  </si>
  <si>
    <t>546</t>
  </si>
  <si>
    <t>677</t>
  </si>
  <si>
    <t>837</t>
  </si>
  <si>
    <t>1018</t>
  </si>
  <si>
    <t>1215</t>
  </si>
  <si>
    <t>1423</t>
  </si>
  <si>
    <t>547</t>
  </si>
  <si>
    <t>678</t>
  </si>
  <si>
    <t>838</t>
  </si>
  <si>
    <t>1019</t>
  </si>
  <si>
    <t>1216</t>
  </si>
  <si>
    <t>1424</t>
  </si>
  <si>
    <t>548</t>
  </si>
  <si>
    <t>679</t>
  </si>
  <si>
    <t>839</t>
  </si>
  <si>
    <t>1020</t>
  </si>
  <si>
    <t>1217</t>
  </si>
  <si>
    <t>1425</t>
  </si>
  <si>
    <t>549</t>
  </si>
  <si>
    <t>680</t>
  </si>
  <si>
    <t>840</t>
  </si>
  <si>
    <t>1021</t>
  </si>
  <si>
    <t>1218</t>
  </si>
  <si>
    <t>1426</t>
  </si>
  <si>
    <t>550</t>
  </si>
  <si>
    <t>681</t>
  </si>
  <si>
    <t>841</t>
  </si>
  <si>
    <t>1022</t>
  </si>
  <si>
    <t>1219</t>
  </si>
  <si>
    <t>1427</t>
  </si>
  <si>
    <t>551</t>
  </si>
  <si>
    <t>682</t>
  </si>
  <si>
    <t>842</t>
  </si>
  <si>
    <t>1023</t>
  </si>
  <si>
    <t>1220</t>
  </si>
  <si>
    <t>1428</t>
  </si>
  <si>
    <t>552</t>
  </si>
  <si>
    <t>683</t>
  </si>
  <si>
    <t>843</t>
  </si>
  <si>
    <t>1024</t>
  </si>
  <si>
    <t>1221</t>
  </si>
  <si>
    <t>1429</t>
  </si>
  <si>
    <t>553</t>
  </si>
  <si>
    <t>684</t>
  </si>
  <si>
    <t>844</t>
  </si>
  <si>
    <t>1025</t>
  </si>
  <si>
    <t>1222</t>
  </si>
  <si>
    <t>1430</t>
  </si>
  <si>
    <t>554</t>
  </si>
  <si>
    <t>685</t>
  </si>
  <si>
    <t>845</t>
  </si>
  <si>
    <t>1026</t>
  </si>
  <si>
    <t>1223</t>
  </si>
  <si>
    <t>1431</t>
  </si>
  <si>
    <t>555</t>
  </si>
  <si>
    <t>686</t>
  </si>
  <si>
    <t>846</t>
  </si>
  <si>
    <t>1027</t>
  </si>
  <si>
    <t>1224</t>
  </si>
  <si>
    <t>1432</t>
  </si>
  <si>
    <t>556</t>
  </si>
  <si>
    <t>687</t>
  </si>
  <si>
    <t>847</t>
  </si>
  <si>
    <t>1028</t>
  </si>
  <si>
    <t>1225</t>
  </si>
  <si>
    <t>1433</t>
  </si>
  <si>
    <t>557</t>
  </si>
  <si>
    <t>688</t>
  </si>
  <si>
    <t>848</t>
  </si>
  <si>
    <t>1029</t>
  </si>
  <si>
    <t>1226</t>
  </si>
  <si>
    <t>1434</t>
  </si>
  <si>
    <t>558</t>
  </si>
  <si>
    <t>689</t>
  </si>
  <si>
    <t>849</t>
  </si>
  <si>
    <t>1030</t>
  </si>
  <si>
    <t>1227</t>
  </si>
  <si>
    <t>1435</t>
  </si>
  <si>
    <t>559</t>
  </si>
  <si>
    <t>690</t>
  </si>
  <si>
    <t>851</t>
  </si>
  <si>
    <t>1031</t>
  </si>
  <si>
    <t>1228</t>
  </si>
  <si>
    <t>1436</t>
  </si>
  <si>
    <t>691</t>
  </si>
  <si>
    <t>852</t>
  </si>
  <si>
    <t>1032</t>
  </si>
  <si>
    <t>1229</t>
  </si>
  <si>
    <t>1437</t>
  </si>
  <si>
    <t>692</t>
  </si>
  <si>
    <t>853</t>
  </si>
  <si>
    <t>1033</t>
  </si>
  <si>
    <t>1230</t>
  </si>
  <si>
    <t>1438</t>
  </si>
  <si>
    <t>693</t>
  </si>
  <si>
    <t>854</t>
  </si>
  <si>
    <t>1034</t>
  </si>
  <si>
    <t>1231</t>
  </si>
  <si>
    <t>1439</t>
  </si>
  <si>
    <t>694</t>
  </si>
  <si>
    <t>855</t>
  </si>
  <si>
    <t>1035</t>
  </si>
  <si>
    <t>1232</t>
  </si>
  <si>
    <t>1440</t>
  </si>
  <si>
    <t>695</t>
  </si>
  <si>
    <t>856</t>
  </si>
  <si>
    <t>1036</t>
  </si>
  <si>
    <t>1233</t>
  </si>
  <si>
    <t>1441</t>
  </si>
  <si>
    <t>696</t>
  </si>
  <si>
    <t>857</t>
  </si>
  <si>
    <t>1037</t>
  </si>
  <si>
    <t>1234</t>
  </si>
  <si>
    <t>1442</t>
  </si>
  <si>
    <t>697</t>
  </si>
  <si>
    <t>858</t>
  </si>
  <si>
    <t>1038</t>
  </si>
  <si>
    <t>1235</t>
  </si>
  <si>
    <t>1443</t>
  </si>
  <si>
    <t>698</t>
  </si>
  <si>
    <t>859</t>
  </si>
  <si>
    <t>1039</t>
  </si>
  <si>
    <t>1236</t>
  </si>
  <si>
    <t>1444</t>
  </si>
  <si>
    <t>699</t>
  </si>
  <si>
    <t>860</t>
  </si>
  <si>
    <t>1040</t>
  </si>
  <si>
    <t>1237</t>
  </si>
  <si>
    <t>1445</t>
  </si>
  <si>
    <t>700</t>
  </si>
  <si>
    <t>861</t>
  </si>
  <si>
    <t>1041</t>
  </si>
  <si>
    <t>1238</t>
  </si>
  <si>
    <t>1446</t>
  </si>
  <si>
    <t>701</t>
  </si>
  <si>
    <t>862</t>
  </si>
  <si>
    <t>1042</t>
  </si>
  <si>
    <t>1239</t>
  </si>
  <si>
    <t>1447</t>
  </si>
  <si>
    <t>702</t>
  </si>
  <si>
    <t>863</t>
  </si>
  <si>
    <t>1043</t>
  </si>
  <si>
    <t>1240</t>
  </si>
  <si>
    <t>1448</t>
  </si>
  <si>
    <t>703</t>
  </si>
  <si>
    <t>864</t>
  </si>
  <si>
    <t>1044</t>
  </si>
  <si>
    <t>1241</t>
  </si>
  <si>
    <t>1449</t>
  </si>
  <si>
    <t>704</t>
  </si>
  <si>
    <t>865</t>
  </si>
  <si>
    <t>1045</t>
  </si>
  <si>
    <t>1242</t>
  </si>
  <si>
    <t>1450</t>
  </si>
  <si>
    <t>705</t>
  </si>
  <si>
    <t>866</t>
  </si>
  <si>
    <t>1046</t>
  </si>
  <si>
    <t>1243</t>
  </si>
  <si>
    <t>1451</t>
  </si>
  <si>
    <t>706</t>
  </si>
  <si>
    <t>867</t>
  </si>
  <si>
    <t>1047</t>
  </si>
  <si>
    <t>1244</t>
  </si>
  <si>
    <t>1452</t>
  </si>
  <si>
    <t>707</t>
  </si>
  <si>
    <t>868</t>
  </si>
  <si>
    <t>1048</t>
  </si>
  <si>
    <t>1245</t>
  </si>
  <si>
    <t>1453</t>
  </si>
  <si>
    <t>708</t>
  </si>
  <si>
    <t>869</t>
  </si>
  <si>
    <t>1049</t>
  </si>
  <si>
    <t>1246</t>
  </si>
  <si>
    <t>1454</t>
  </si>
  <si>
    <t>709</t>
  </si>
  <si>
    <t>870</t>
  </si>
  <si>
    <t>1050</t>
  </si>
  <si>
    <t>1247</t>
  </si>
  <si>
    <t>1455</t>
  </si>
  <si>
    <t>710</t>
  </si>
  <si>
    <t>871</t>
  </si>
  <si>
    <t>1051</t>
  </si>
  <si>
    <t>1248</t>
  </si>
  <si>
    <t>1456</t>
  </si>
  <si>
    <t>711</t>
  </si>
  <si>
    <t>872</t>
  </si>
  <si>
    <t>1052</t>
  </si>
  <si>
    <t>1249</t>
  </si>
  <si>
    <t>1457</t>
  </si>
  <si>
    <t>712</t>
  </si>
  <si>
    <t>873</t>
  </si>
  <si>
    <t>1053</t>
  </si>
  <si>
    <t>1250</t>
  </si>
  <si>
    <t>1458</t>
  </si>
  <si>
    <t>713</t>
  </si>
  <si>
    <t>874</t>
  </si>
  <si>
    <t>1054</t>
  </si>
  <si>
    <t>1251</t>
  </si>
  <si>
    <t>1459</t>
  </si>
  <si>
    <t>714</t>
  </si>
  <si>
    <t>875</t>
  </si>
  <si>
    <t>1055</t>
  </si>
  <si>
    <t>1252</t>
  </si>
  <si>
    <t>1460</t>
  </si>
  <si>
    <t>715</t>
  </si>
  <si>
    <t>876</t>
  </si>
  <si>
    <t>1056</t>
  </si>
  <si>
    <t>1253</t>
  </si>
  <si>
    <t>1461</t>
  </si>
  <si>
    <t>717</t>
  </si>
  <si>
    <t>877</t>
  </si>
  <si>
    <t>1057</t>
  </si>
  <si>
    <t>1254</t>
  </si>
  <si>
    <t>1462</t>
  </si>
  <si>
    <t>718</t>
  </si>
  <si>
    <t>878</t>
  </si>
  <si>
    <t>1058</t>
  </si>
  <si>
    <t>1255</t>
  </si>
  <si>
    <t>1463</t>
  </si>
  <si>
    <t>719</t>
  </si>
  <si>
    <t>879</t>
  </si>
  <si>
    <t>1059</t>
  </si>
  <si>
    <t>1256</t>
  </si>
  <si>
    <t>1464</t>
  </si>
  <si>
    <t>880</t>
  </si>
  <si>
    <t>1060</t>
  </si>
  <si>
    <t>1257</t>
  </si>
  <si>
    <t>1465</t>
  </si>
  <si>
    <t>881</t>
  </si>
  <si>
    <t>1061</t>
  </si>
  <si>
    <t>1258</t>
  </si>
  <si>
    <t>1466</t>
  </si>
  <si>
    <t>882</t>
  </si>
  <si>
    <t>1062</t>
  </si>
  <si>
    <t>1259</t>
  </si>
  <si>
    <t>1467</t>
  </si>
  <si>
    <t>883</t>
  </si>
  <si>
    <t>1063</t>
  </si>
  <si>
    <t>1260</t>
  </si>
  <si>
    <t>1468</t>
  </si>
  <si>
    <t>884</t>
  </si>
  <si>
    <t>1064</t>
  </si>
  <si>
    <t>1261</t>
  </si>
  <si>
    <t>1469</t>
  </si>
  <si>
    <t>885</t>
  </si>
  <si>
    <t>1065</t>
  </si>
  <si>
    <t>1262</t>
  </si>
  <si>
    <t>1470</t>
  </si>
  <si>
    <t>886</t>
  </si>
  <si>
    <t>1066</t>
  </si>
  <si>
    <t>1263</t>
  </si>
  <si>
    <t>887</t>
  </si>
  <si>
    <t>1067</t>
  </si>
  <si>
    <t>1264</t>
  </si>
  <si>
    <t>888</t>
  </si>
  <si>
    <t>1068</t>
  </si>
  <si>
    <t>1265</t>
  </si>
  <si>
    <t>889</t>
  </si>
  <si>
    <t>1069</t>
  </si>
  <si>
    <t>1266</t>
  </si>
  <si>
    <t>890</t>
  </si>
  <si>
    <t>1070</t>
  </si>
  <si>
    <t>1267</t>
  </si>
  <si>
    <t>891</t>
  </si>
  <si>
    <t>1071</t>
  </si>
  <si>
    <t>1268</t>
  </si>
  <si>
    <t>892</t>
  </si>
  <si>
    <t>1072</t>
  </si>
  <si>
    <t>1269</t>
  </si>
  <si>
    <t>893</t>
  </si>
  <si>
    <t>1073</t>
  </si>
  <si>
    <t>1270</t>
  </si>
  <si>
    <t>894</t>
  </si>
  <si>
    <t>1074</t>
  </si>
  <si>
    <t>1271</t>
  </si>
  <si>
    <t>895</t>
  </si>
  <si>
    <t>1075</t>
  </si>
  <si>
    <t>1272</t>
  </si>
  <si>
    <t>896</t>
  </si>
  <si>
    <t>1076</t>
  </si>
  <si>
    <t>1273</t>
  </si>
  <si>
    <t>897</t>
  </si>
  <si>
    <t>1077</t>
  </si>
  <si>
    <t>1274</t>
  </si>
  <si>
    <t>898</t>
  </si>
  <si>
    <t>1078</t>
  </si>
  <si>
    <t>1275</t>
  </si>
  <si>
    <t>899</t>
  </si>
  <si>
    <t>1079</t>
  </si>
  <si>
    <t>1276</t>
  </si>
  <si>
    <t>1080</t>
  </si>
  <si>
    <t>1277</t>
  </si>
  <si>
    <t>1081</t>
  </si>
  <si>
    <t>1278</t>
  </si>
  <si>
    <t>1082</t>
  </si>
  <si>
    <t>1279</t>
  </si>
  <si>
    <t>1083</t>
  </si>
  <si>
    <t>1280</t>
  </si>
  <si>
    <t>1084</t>
  </si>
  <si>
    <t>1281</t>
  </si>
  <si>
    <t>1085</t>
  </si>
  <si>
    <t>1282</t>
  </si>
  <si>
    <t>1086</t>
  </si>
  <si>
    <t>1283</t>
  </si>
  <si>
    <t>1087</t>
  </si>
  <si>
    <t>1284</t>
  </si>
  <si>
    <t>1088</t>
  </si>
  <si>
    <t>1285</t>
  </si>
  <si>
    <t>1089</t>
  </si>
  <si>
    <t>1286</t>
  </si>
  <si>
    <t>1090</t>
  </si>
  <si>
    <t>1287</t>
  </si>
  <si>
    <t>1091</t>
  </si>
  <si>
    <t>1288</t>
  </si>
  <si>
    <t>1092</t>
  </si>
  <si>
    <t>1289</t>
  </si>
  <si>
    <t>1093</t>
  </si>
  <si>
    <t>1290</t>
  </si>
  <si>
    <t>1094</t>
  </si>
  <si>
    <t>1291</t>
  </si>
  <si>
    <t>1095</t>
  </si>
  <si>
    <t>1292</t>
  </si>
  <si>
    <t>1096</t>
  </si>
  <si>
    <t>1293</t>
  </si>
  <si>
    <t>1097</t>
  </si>
  <si>
    <t>1294</t>
  </si>
  <si>
    <t>1295</t>
  </si>
  <si>
    <t>1296</t>
  </si>
  <si>
    <t>1297</t>
  </si>
  <si>
    <t>1298</t>
  </si>
  <si>
    <t>1299</t>
  </si>
  <si>
    <t>1300</t>
  </si>
  <si>
    <t>1301</t>
  </si>
  <si>
    <t>1303</t>
  </si>
  <si>
    <t>1304</t>
  </si>
  <si>
    <t>1305</t>
  </si>
  <si>
    <t>İÇ ANADOLU</t>
  </si>
  <si>
    <t>GÜNEYDOĞU ANADOLU</t>
  </si>
  <si>
    <t>GÖLLER BÖLESİ, DOĞU ANADOLU, KARADENİZ ARDI (KARADENİZ-İÇ ANADOLU ARASI)</t>
  </si>
  <si>
    <t>BATI KARADENİZ</t>
  </si>
  <si>
    <t>MARMARA, EGE, DOĞU KARADENİZ, AKDENİZ YAKINI DAĞ</t>
  </si>
  <si>
    <t>ERGENE, DOĞU AKDENİZ</t>
  </si>
  <si>
    <t>BATI KARADENİZ (ZONGULDAK VARKEN)</t>
  </si>
  <si>
    <t>BATI AKDENİZ</t>
  </si>
  <si>
    <t>DÜNYA-24 SAAT</t>
  </si>
  <si>
    <t>BİNKILIÇ METEOROLOJİ İSTASYONU</t>
  </si>
  <si>
    <t>--</t>
  </si>
  <si>
    <t>XXX GÖLETİ PROJESİ</t>
  </si>
  <si>
    <t>XXX SULAMASI</t>
  </si>
  <si>
    <t>XXX MGM  METEOROLOJİ İSTASYONU</t>
  </si>
  <si>
    <t>(1968 2024) 1 GÜNLÜK EN BÜYÜK YAĞIŞLARININ</t>
  </si>
  <si>
    <t>17 YILDAN BÜYÜK</t>
  </si>
  <si>
    <t>28 YILDAN BÜYÜK</t>
  </si>
  <si>
    <t>18 YILDAN BÜYÜK</t>
  </si>
  <si>
    <t>40 YILDAN BÜYÜK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</si>
</sst>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#####0.0"/>
    <numFmt numFmtId="168" formatCode="#,##0.000"/>
  </numFmts>
  <fonts count="35" x14ac:knownFonts="1">
    <font>
      <sz val="12"/>
      <name val="Times New Roman Tur"/>
      <charset val="162"/>
    </font>
    <font>
      <sz val="12"/>
      <name val="Symbol"/>
      <family val="1"/>
      <charset val="2"/>
    </font>
    <font>
      <vertAlign val="subscript"/>
      <sz val="12"/>
      <name val="Times New Roman Tur"/>
      <family val="1"/>
      <charset val="162"/>
    </font>
    <font>
      <sz val="12"/>
      <name val="Times New Roman Tur"/>
      <family val="1"/>
      <charset val="162"/>
    </font>
    <font>
      <sz val="9"/>
      <name val="Times New Roman Tur"/>
      <family val="1"/>
      <charset val="162"/>
    </font>
    <font>
      <sz val="8"/>
      <name val="Times New Roman Tur"/>
      <family val="1"/>
      <charset val="162"/>
    </font>
    <font>
      <sz val="12"/>
      <color indexed="9"/>
      <name val="Times New Roman Tur"/>
      <family val="1"/>
      <charset val="162"/>
    </font>
    <font>
      <b/>
      <sz val="12"/>
      <color indexed="10"/>
      <name val="Times New Roman Tur"/>
      <family val="1"/>
      <charset val="162"/>
    </font>
    <font>
      <sz val="12"/>
      <color indexed="8"/>
      <name val="Times New Roman Tur"/>
      <family val="1"/>
      <charset val="162"/>
    </font>
    <font>
      <b/>
      <sz val="12"/>
      <name val="Univers Condensed"/>
      <family val="2"/>
      <charset val="162"/>
    </font>
    <font>
      <sz val="11"/>
      <name val="Times New Roman Tur"/>
      <family val="1"/>
      <charset val="162"/>
    </font>
    <font>
      <sz val="14"/>
      <name val="Times New Roman Tur"/>
      <family val="1"/>
      <charset val="162"/>
    </font>
    <font>
      <b/>
      <sz val="12"/>
      <name val="Times New Roman Tur"/>
      <family val="1"/>
      <charset val="162"/>
    </font>
    <font>
      <sz val="12"/>
      <color indexed="10"/>
      <name val="Times New Roman Tur"/>
      <family val="1"/>
      <charset val="162"/>
    </font>
    <font>
      <sz val="12"/>
      <color indexed="10"/>
      <name val="Times New Roman Tur"/>
      <charset val="162"/>
    </font>
    <font>
      <b/>
      <sz val="11"/>
      <name val="Times New Roman Tur"/>
      <family val="1"/>
      <charset val="162"/>
    </font>
    <font>
      <b/>
      <vertAlign val="subscript"/>
      <sz val="11"/>
      <name val="Times New Roman Tur"/>
      <family val="1"/>
      <charset val="162"/>
    </font>
    <font>
      <b/>
      <sz val="14"/>
      <color indexed="9"/>
      <name val="Times New Roman Tur"/>
      <family val="1"/>
      <charset val="162"/>
    </font>
    <font>
      <b/>
      <sz val="16"/>
      <color indexed="9"/>
      <name val="Times New Roman Tur"/>
      <family val="1"/>
      <charset val="162"/>
    </font>
    <font>
      <sz val="16"/>
      <color indexed="10"/>
      <name val="Times New Roman Tur"/>
      <family val="1"/>
      <charset val="162"/>
    </font>
    <font>
      <b/>
      <sz val="11"/>
      <color indexed="10"/>
      <name val="Times New Roman Tur"/>
      <family val="1"/>
      <charset val="162"/>
    </font>
    <font>
      <sz val="10"/>
      <color indexed="8"/>
      <name val="Arial"/>
      <family val="2"/>
      <charset val="162"/>
    </font>
    <font>
      <sz val="10"/>
      <name val="Arial"/>
      <family val="2"/>
      <charset val="162"/>
    </font>
    <font>
      <b/>
      <sz val="10"/>
      <color indexed="10"/>
      <name val="Arial"/>
      <family val="2"/>
      <charset val="162"/>
    </font>
    <font>
      <b/>
      <vertAlign val="subscript"/>
      <sz val="10"/>
      <color indexed="10"/>
      <name val="Arial"/>
      <family val="2"/>
      <charset val="162"/>
    </font>
    <font>
      <u/>
      <sz val="8.5"/>
      <color indexed="12"/>
      <name val="Arial"/>
      <family val="2"/>
      <charset val="162"/>
    </font>
    <font>
      <sz val="12"/>
      <color rgb="FF0000FF"/>
      <name val="Times New Roman"/>
      <family val="1"/>
      <charset val="162"/>
    </font>
    <font>
      <sz val="12"/>
      <color rgb="FFFF0000"/>
      <name val="Times New Roman"/>
      <family val="1"/>
      <charset val="162"/>
    </font>
    <font>
      <sz val="12"/>
      <color rgb="FF808000"/>
      <name val="Times New Roman"/>
      <family val="1"/>
      <charset val="162"/>
    </font>
    <font>
      <sz val="12"/>
      <color rgb="FF00FFFF"/>
      <name val="Times New Roman"/>
      <family val="1"/>
      <charset val="162"/>
    </font>
    <font>
      <sz val="12"/>
      <color rgb="FF800080"/>
      <name val="Times New Roman"/>
      <family val="1"/>
      <charset val="162"/>
    </font>
    <font>
      <sz val="12"/>
      <color rgb="FF993300"/>
      <name val="Times New Roman"/>
      <family val="1"/>
      <charset val="162"/>
    </font>
    <font>
      <sz val="12"/>
      <color rgb="FF00FF00"/>
      <name val="Times New Roman"/>
      <family val="1"/>
      <charset val="162"/>
    </font>
    <font>
      <sz val="12"/>
      <color rgb="FFFF00FF"/>
      <name val="Times New Roman"/>
      <family val="1"/>
      <charset val="162"/>
    </font>
    <font>
      <sz val="12"/>
      <color rgb="FF008000"/>
      <name val="Times New Roman"/>
      <family val="1"/>
      <charset val="16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21" fillId="0" borderId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7" fillId="0" borderId="2" xfId="0" quotePrefix="1" applyNumberFormat="1" applyFont="1" applyBorder="1" applyAlignment="1" applyProtection="1">
      <alignment horizontal="center"/>
      <protection locked="0"/>
    </xf>
    <xf numFmtId="164" fontId="7" fillId="0" borderId="2" xfId="0" applyNumberFormat="1" applyFont="1" applyBorder="1" applyAlignment="1" applyProtection="1">
      <alignment horizontal="center"/>
      <protection locked="0"/>
    </xf>
    <xf numFmtId="0" fontId="7" fillId="0" borderId="2" xfId="0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0" fillId="0" borderId="0" xfId="0" applyAlignment="1">
      <alignment horizontal="right" vertical="center"/>
    </xf>
    <xf numFmtId="0" fontId="12" fillId="0" borderId="0" xfId="0" applyFont="1" applyAlignment="1">
      <alignment vertical="center"/>
    </xf>
    <xf numFmtId="0" fontId="6" fillId="2" borderId="0" xfId="0" applyFont="1" applyFill="1" applyAlignment="1">
      <alignment vertical="center"/>
    </xf>
    <xf numFmtId="164" fontId="0" fillId="0" borderId="7" xfId="0" applyNumberFormat="1" applyBorder="1" applyAlignment="1">
      <alignment vertical="center"/>
    </xf>
    <xf numFmtId="0" fontId="4" fillId="0" borderId="0" xfId="0" applyFont="1" applyAlignment="1">
      <alignment horizontal="center" vertical="center"/>
    </xf>
    <xf numFmtId="166" fontId="0" fillId="0" borderId="0" xfId="0" applyNumberFormat="1" applyAlignment="1">
      <alignment vertical="center"/>
    </xf>
    <xf numFmtId="0" fontId="1" fillId="0" borderId="0" xfId="0" applyFont="1" applyAlignment="1">
      <alignment vertical="center"/>
    </xf>
    <xf numFmtId="166" fontId="0" fillId="0" borderId="7" xfId="0" applyNumberFormat="1" applyBorder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7" xfId="0" applyNumberFormat="1" applyBorder="1" applyAlignment="1" applyProtection="1">
      <alignment vertical="center"/>
      <protection locked="0"/>
    </xf>
    <xf numFmtId="2" fontId="0" fillId="0" borderId="7" xfId="0" applyNumberFormat="1" applyBorder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quotePrefix="1" applyAlignment="1">
      <alignment vertical="center"/>
    </xf>
    <xf numFmtId="0" fontId="5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7" fillId="0" borderId="2" xfId="0" applyFont="1" applyFill="1" applyBorder="1" applyAlignment="1">
      <alignment horizontal="center"/>
    </xf>
    <xf numFmtId="0" fontId="17" fillId="3" borderId="0" xfId="0" applyFont="1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164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0" fillId="0" borderId="2" xfId="0" quotePrefix="1" applyBorder="1" applyAlignment="1">
      <alignment vertical="center"/>
    </xf>
    <xf numFmtId="164" fontId="7" fillId="0" borderId="2" xfId="0" applyNumberFormat="1" applyFont="1" applyBorder="1" applyAlignment="1">
      <alignment horizontal="center"/>
    </xf>
    <xf numFmtId="166" fontId="0" fillId="5" borderId="7" xfId="0" applyNumberFormat="1" applyFill="1" applyBorder="1" applyAlignment="1">
      <alignment vertical="center"/>
    </xf>
    <xf numFmtId="0" fontId="0" fillId="5" borderId="2" xfId="0" quotePrefix="1" applyFill="1" applyBorder="1" applyAlignment="1">
      <alignment vertical="center"/>
    </xf>
    <xf numFmtId="0" fontId="21" fillId="0" borderId="10" xfId="3" applyFont="1" applyFill="1" applyBorder="1" applyAlignment="1">
      <alignment horizontal="center"/>
    </xf>
    <xf numFmtId="0" fontId="21" fillId="0" borderId="11" xfId="3" applyFont="1" applyFill="1" applyBorder="1" applyAlignment="1">
      <alignment horizontal="center"/>
    </xf>
    <xf numFmtId="0" fontId="21" fillId="0" borderId="2" xfId="3" applyFont="1" applyFill="1" applyBorder="1" applyAlignment="1">
      <alignment horizontal="center"/>
    </xf>
    <xf numFmtId="0" fontId="22" fillId="0" borderId="0" xfId="2" applyFill="1"/>
    <xf numFmtId="0" fontId="21" fillId="0" borderId="1" xfId="3" applyFont="1" applyFill="1" applyBorder="1" applyAlignment="1">
      <alignment wrapText="1"/>
    </xf>
    <xf numFmtId="165" fontId="21" fillId="0" borderId="1" xfId="3" applyNumberFormat="1" applyFont="1" applyFill="1" applyBorder="1" applyAlignment="1">
      <alignment horizontal="right" wrapText="1"/>
    </xf>
    <xf numFmtId="165" fontId="21" fillId="0" borderId="13" xfId="3" applyNumberFormat="1" applyFont="1" applyFill="1" applyBorder="1" applyAlignment="1">
      <alignment horizontal="right" wrapText="1"/>
    </xf>
    <xf numFmtId="166" fontId="21" fillId="0" borderId="2" xfId="3" applyNumberFormat="1" applyFont="1" applyFill="1" applyBorder="1" applyAlignment="1">
      <alignment horizontal="right" wrapText="1"/>
    </xf>
    <xf numFmtId="164" fontId="21" fillId="0" borderId="2" xfId="3" applyNumberFormat="1" applyFont="1" applyFill="1" applyBorder="1" applyAlignment="1">
      <alignment horizontal="right" wrapText="1"/>
    </xf>
    <xf numFmtId="0" fontId="23" fillId="0" borderId="2" xfId="2" applyFont="1" applyFill="1" applyBorder="1"/>
    <xf numFmtId="0" fontId="22" fillId="0" borderId="2" xfId="2" applyFill="1" applyBorder="1"/>
    <xf numFmtId="0" fontId="23" fillId="4" borderId="2" xfId="2" applyFont="1" applyFill="1" applyBorder="1"/>
    <xf numFmtId="168" fontId="23" fillId="0" borderId="2" xfId="2" applyNumberFormat="1" applyFont="1" applyFill="1" applyBorder="1"/>
    <xf numFmtId="0" fontId="22" fillId="4" borderId="0" xfId="2" applyFill="1"/>
    <xf numFmtId="0" fontId="22" fillId="0" borderId="0" xfId="2" applyFont="1" applyFill="1" applyProtection="1">
      <protection hidden="1"/>
    </xf>
    <xf numFmtId="0" fontId="25" fillId="0" borderId="0" xfId="1" applyFill="1" applyAlignment="1" applyProtection="1"/>
    <xf numFmtId="0" fontId="26" fillId="0" borderId="2" xfId="0" applyFont="1" applyBorder="1" applyAlignment="1">
      <alignment vertical="center" readingOrder="1"/>
    </xf>
    <xf numFmtId="0" fontId="27" fillId="0" borderId="2" xfId="0" applyFont="1" applyBorder="1" applyAlignment="1">
      <alignment vertical="center" readingOrder="1"/>
    </xf>
    <xf numFmtId="0" fontId="28" fillId="0" borderId="2" xfId="0" applyFont="1" applyBorder="1" applyAlignment="1">
      <alignment vertical="center" readingOrder="1"/>
    </xf>
    <xf numFmtId="0" fontId="29" fillId="0" borderId="2" xfId="0" applyFont="1" applyBorder="1" applyAlignment="1">
      <alignment vertical="center" readingOrder="1"/>
    </xf>
    <xf numFmtId="0" fontId="30" fillId="0" borderId="2" xfId="0" applyFont="1" applyBorder="1" applyAlignment="1">
      <alignment vertical="center" readingOrder="1"/>
    </xf>
    <xf numFmtId="0" fontId="31" fillId="0" borderId="2" xfId="0" applyFont="1" applyBorder="1" applyAlignment="1">
      <alignment vertical="center" readingOrder="1"/>
    </xf>
    <xf numFmtId="0" fontId="32" fillId="0" borderId="2" xfId="0" applyFont="1" applyBorder="1" applyAlignment="1">
      <alignment vertical="center" readingOrder="1"/>
    </xf>
    <xf numFmtId="0" fontId="33" fillId="0" borderId="2" xfId="0" applyFont="1" applyBorder="1" applyAlignment="1">
      <alignment vertical="center" readingOrder="1"/>
    </xf>
    <xf numFmtId="0" fontId="34" fillId="0" borderId="2" xfId="0" applyFont="1" applyBorder="1" applyAlignment="1">
      <alignment vertical="center" readingOrder="1"/>
    </xf>
    <xf numFmtId="0" fontId="12" fillId="0" borderId="2" xfId="0" applyFont="1" applyBorder="1" applyAlignment="1">
      <alignment horizontal="center"/>
    </xf>
    <xf numFmtId="0" fontId="7" fillId="0" borderId="0" xfId="0" applyFont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vertical="center"/>
    </xf>
    <xf numFmtId="0" fontId="22" fillId="0" borderId="12" xfId="2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17" fillId="3" borderId="0" xfId="0" applyFont="1" applyFill="1" applyBorder="1" applyAlignment="1">
      <alignment horizontal="center" wrapText="1"/>
    </xf>
    <xf numFmtId="0" fontId="7" fillId="0" borderId="0" xfId="0" applyFont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8" fillId="0" borderId="7" xfId="0" applyFont="1" applyBorder="1" applyAlignment="1" applyProtection="1">
      <alignment vertical="center"/>
      <protection locked="0"/>
    </xf>
    <xf numFmtId="0" fontId="0" fillId="0" borderId="2" xfId="0" applyBorder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0" fillId="5" borderId="15" xfId="0" applyFill="1" applyBorder="1" applyAlignment="1">
      <alignment vertical="center"/>
    </xf>
    <xf numFmtId="0" fontId="0" fillId="5" borderId="2" xfId="0" applyFill="1" applyBorder="1" applyAlignment="1">
      <alignment horizontal="center" vertical="center"/>
    </xf>
    <xf numFmtId="0" fontId="15" fillId="0" borderId="15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5" fillId="6" borderId="15" xfId="0" applyFont="1" applyFill="1" applyBorder="1" applyAlignment="1">
      <alignment vertical="center"/>
    </xf>
    <xf numFmtId="0" fontId="0" fillId="6" borderId="2" xfId="0" quotePrefix="1" applyFill="1" applyBorder="1" applyAlignment="1">
      <alignment vertical="center"/>
    </xf>
    <xf numFmtId="2" fontId="12" fillId="6" borderId="7" xfId="0" applyNumberFormat="1" applyFont="1" applyFill="1" applyBorder="1" applyAlignment="1">
      <alignment vertical="center"/>
    </xf>
    <xf numFmtId="0" fontId="0" fillId="6" borderId="2" xfId="0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2" xfId="0" applyNumberFormat="1" applyBorder="1"/>
    <xf numFmtId="16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4">
    <cellStyle name="Köprü 2" xfId="1" xr:uid="{00000000-0005-0000-0000-000000000000}"/>
    <cellStyle name="Normal" xfId="0" builtinId="0"/>
    <cellStyle name="Normal 2" xfId="2" xr:uid="{00000000-0005-0000-0000-000002000000}"/>
    <cellStyle name="Normal_Sayfa3" xfId="3" xr:uid="{00000000-0005-0000-0000-000003000000}"/>
  </cellStyles>
  <dxfs count="2">
    <dxf>
      <font>
        <b/>
        <i val="0"/>
        <color rgb="FFFF0000"/>
      </font>
      <fill>
        <patternFill>
          <bgColor theme="0" tint="-0.24994659260841701"/>
        </patternFill>
      </fill>
    </dxf>
    <dxf>
      <font>
        <b/>
        <i val="0"/>
        <color rgb="FFFF0000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603929679420892E-2"/>
          <c:y val="5.0847457627118668E-2"/>
          <c:w val="0.93898655635987605"/>
          <c:h val="0.90338983050847477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'X-KM'!$F$2:$F$81</c:f>
              <c:numCache>
                <c:formatCode>0.0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78.5</c:v>
                </c:pt>
              </c:numCache>
            </c:numRef>
          </c:xVal>
          <c:yVal>
            <c:numRef>
              <c:f>'X-KM'!$E$2:$E$81</c:f>
              <c:numCache>
                <c:formatCode>0.0000</c:formatCode>
                <c:ptCount val="80"/>
                <c:pt idx="0">
                  <c:v>18</c:v>
                </c:pt>
                <c:pt idx="1">
                  <c:v>16.117899999999999</c:v>
                </c:pt>
                <c:pt idx="2">
                  <c:v>15.3247</c:v>
                </c:pt>
                <c:pt idx="3">
                  <c:v>14.797000000000001</c:v>
                </c:pt>
                <c:pt idx="4">
                  <c:v>14.412100000000001</c:v>
                </c:pt>
                <c:pt idx="5">
                  <c:v>14.035299999999999</c:v>
                </c:pt>
                <c:pt idx="6">
                  <c:v>13.663399999999999</c:v>
                </c:pt>
                <c:pt idx="7">
                  <c:v>13.3284</c:v>
                </c:pt>
                <c:pt idx="8">
                  <c:v>13.0265</c:v>
                </c:pt>
                <c:pt idx="9">
                  <c:v>12.724500000000001</c:v>
                </c:pt>
                <c:pt idx="10">
                  <c:v>12.4275</c:v>
                </c:pt>
                <c:pt idx="11">
                  <c:v>12.1515</c:v>
                </c:pt>
                <c:pt idx="12">
                  <c:v>11.875500000000001</c:v>
                </c:pt>
                <c:pt idx="13">
                  <c:v>11.599500000000001</c:v>
                </c:pt>
                <c:pt idx="14">
                  <c:v>11.3415</c:v>
                </c:pt>
                <c:pt idx="15">
                  <c:v>11.084899999999999</c:v>
                </c:pt>
                <c:pt idx="16">
                  <c:v>10.8283</c:v>
                </c:pt>
                <c:pt idx="17">
                  <c:v>10.5793</c:v>
                </c:pt>
                <c:pt idx="18">
                  <c:v>10.3393</c:v>
                </c:pt>
                <c:pt idx="19">
                  <c:v>10.099299999999999</c:v>
                </c:pt>
                <c:pt idx="20">
                  <c:v>9.8690999999999995</c:v>
                </c:pt>
                <c:pt idx="21">
                  <c:v>9.6517999999999997</c:v>
                </c:pt>
                <c:pt idx="22">
                  <c:v>9.4344999999999999</c:v>
                </c:pt>
                <c:pt idx="23">
                  <c:v>9.2172000000000001</c:v>
                </c:pt>
                <c:pt idx="24">
                  <c:v>8.9926999999999992</c:v>
                </c:pt>
                <c:pt idx="25">
                  <c:v>8.7609999999999992</c:v>
                </c:pt>
                <c:pt idx="26">
                  <c:v>8.5292999999999992</c:v>
                </c:pt>
                <c:pt idx="27">
                  <c:v>8.2975999999999992</c:v>
                </c:pt>
                <c:pt idx="28">
                  <c:v>8.0867000000000004</c:v>
                </c:pt>
                <c:pt idx="29">
                  <c:v>7.8920000000000003</c:v>
                </c:pt>
                <c:pt idx="30">
                  <c:v>7.6974</c:v>
                </c:pt>
                <c:pt idx="31">
                  <c:v>7.5026999999999999</c:v>
                </c:pt>
                <c:pt idx="32">
                  <c:v>7.3</c:v>
                </c:pt>
                <c:pt idx="33">
                  <c:v>7.0910000000000002</c:v>
                </c:pt>
                <c:pt idx="34">
                  <c:v>6.8842999999999996</c:v>
                </c:pt>
                <c:pt idx="35">
                  <c:v>6.6798999999999999</c:v>
                </c:pt>
                <c:pt idx="36">
                  <c:v>6.4753999999999996</c:v>
                </c:pt>
                <c:pt idx="37">
                  <c:v>6.2709000000000001</c:v>
                </c:pt>
                <c:pt idx="38">
                  <c:v>6.0785</c:v>
                </c:pt>
                <c:pt idx="39">
                  <c:v>5.9001999999999999</c:v>
                </c:pt>
                <c:pt idx="40">
                  <c:v>5.7220000000000004</c:v>
                </c:pt>
                <c:pt idx="41">
                  <c:v>5.5437000000000003</c:v>
                </c:pt>
                <c:pt idx="42">
                  <c:v>5.3651999999999997</c:v>
                </c:pt>
                <c:pt idx="43">
                  <c:v>5.1849999999999996</c:v>
                </c:pt>
                <c:pt idx="44">
                  <c:v>5.0046999999999997</c:v>
                </c:pt>
                <c:pt idx="45">
                  <c:v>4.8254000000000001</c:v>
                </c:pt>
                <c:pt idx="46">
                  <c:v>4.6475</c:v>
                </c:pt>
                <c:pt idx="47">
                  <c:v>4.4696999999999996</c:v>
                </c:pt>
                <c:pt idx="48">
                  <c:v>4.2918000000000003</c:v>
                </c:pt>
                <c:pt idx="49">
                  <c:v>4.1139000000000001</c:v>
                </c:pt>
                <c:pt idx="50">
                  <c:v>3.9525000000000001</c:v>
                </c:pt>
                <c:pt idx="51">
                  <c:v>3.7949999999999999</c:v>
                </c:pt>
                <c:pt idx="52">
                  <c:v>3.6375000000000002</c:v>
                </c:pt>
                <c:pt idx="53">
                  <c:v>3.4817999999999998</c:v>
                </c:pt>
                <c:pt idx="54">
                  <c:v>3.3277000000000001</c:v>
                </c:pt>
                <c:pt idx="55">
                  <c:v>3.1736</c:v>
                </c:pt>
                <c:pt idx="56">
                  <c:v>3.0194999999999999</c:v>
                </c:pt>
                <c:pt idx="57">
                  <c:v>2.8654999999999999</c:v>
                </c:pt>
                <c:pt idx="58">
                  <c:v>2.7113999999999998</c:v>
                </c:pt>
                <c:pt idx="59">
                  <c:v>2.5608</c:v>
                </c:pt>
                <c:pt idx="60">
                  <c:v>2.4138000000000002</c:v>
                </c:pt>
                <c:pt idx="61">
                  <c:v>2.2667999999999999</c:v>
                </c:pt>
                <c:pt idx="62">
                  <c:v>2.1198000000000001</c:v>
                </c:pt>
                <c:pt idx="63">
                  <c:v>1.9734</c:v>
                </c:pt>
                <c:pt idx="64">
                  <c:v>1.8360000000000001</c:v>
                </c:pt>
                <c:pt idx="65">
                  <c:v>1.6987000000000001</c:v>
                </c:pt>
                <c:pt idx="66">
                  <c:v>1.5612999999999999</c:v>
                </c:pt>
                <c:pt idx="67">
                  <c:v>1.4240999999999999</c:v>
                </c:pt>
                <c:pt idx="68">
                  <c:v>1.2959000000000001</c:v>
                </c:pt>
                <c:pt idx="69">
                  <c:v>1.1676</c:v>
                </c:pt>
                <c:pt idx="70">
                  <c:v>1.0394000000000001</c:v>
                </c:pt>
                <c:pt idx="71">
                  <c:v>0.90749999999999997</c:v>
                </c:pt>
                <c:pt idx="72">
                  <c:v>0.77480000000000004</c:v>
                </c:pt>
                <c:pt idx="73">
                  <c:v>0.6421</c:v>
                </c:pt>
                <c:pt idx="74">
                  <c:v>0.50929999999999997</c:v>
                </c:pt>
                <c:pt idx="75">
                  <c:v>0.39090000000000003</c:v>
                </c:pt>
                <c:pt idx="76">
                  <c:v>0.28039999999999998</c:v>
                </c:pt>
                <c:pt idx="77">
                  <c:v>0.16980000000000001</c:v>
                </c:pt>
                <c:pt idx="78">
                  <c:v>5.9299999999999999E-2</c:v>
                </c:pt>
                <c:pt idx="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06-4963-BE3F-69DE0CE4F69C}"/>
            </c:ext>
          </c:extLst>
        </c:ser>
        <c:ser>
          <c:idx val="1"/>
          <c:order val="1"/>
          <c:tx>
            <c:v>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'X-KM'!$M$2:$M$111</c:f>
              <c:numCache>
                <c:formatCode>0.0</c:formatCode>
                <c:ptCount val="110"/>
                <c:pt idx="0">
                  <c:v>0.8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108.5</c:v>
                </c:pt>
              </c:numCache>
            </c:numRef>
          </c:xVal>
          <c:yVal>
            <c:numRef>
              <c:f>'X-KM'!$L$2:$L$111</c:f>
              <c:numCache>
                <c:formatCode>0.0000</c:formatCode>
                <c:ptCount val="110"/>
                <c:pt idx="0">
                  <c:v>18</c:v>
                </c:pt>
                <c:pt idx="1">
                  <c:v>17.846499999999999</c:v>
                </c:pt>
                <c:pt idx="2">
                  <c:v>17.149999999999999</c:v>
                </c:pt>
                <c:pt idx="3">
                  <c:v>16.587299999999999</c:v>
                </c:pt>
                <c:pt idx="4">
                  <c:v>16.167300000000001</c:v>
                </c:pt>
                <c:pt idx="5">
                  <c:v>15.7501</c:v>
                </c:pt>
                <c:pt idx="6">
                  <c:v>15.434699999999999</c:v>
                </c:pt>
                <c:pt idx="7">
                  <c:v>15.119400000000001</c:v>
                </c:pt>
                <c:pt idx="8">
                  <c:v>14.804</c:v>
                </c:pt>
                <c:pt idx="9">
                  <c:v>14.512</c:v>
                </c:pt>
                <c:pt idx="10">
                  <c:v>14.234</c:v>
                </c:pt>
                <c:pt idx="11">
                  <c:v>13.9559</c:v>
                </c:pt>
                <c:pt idx="12">
                  <c:v>13.692600000000001</c:v>
                </c:pt>
                <c:pt idx="13">
                  <c:v>13.430099999999999</c:v>
                </c:pt>
                <c:pt idx="14">
                  <c:v>13.1676</c:v>
                </c:pt>
                <c:pt idx="15">
                  <c:v>12.9404</c:v>
                </c:pt>
                <c:pt idx="16">
                  <c:v>12.7217</c:v>
                </c:pt>
                <c:pt idx="17">
                  <c:v>12.5029</c:v>
                </c:pt>
                <c:pt idx="18">
                  <c:v>12.2842</c:v>
                </c:pt>
                <c:pt idx="19">
                  <c:v>12.0654</c:v>
                </c:pt>
                <c:pt idx="20">
                  <c:v>11.8436</c:v>
                </c:pt>
                <c:pt idx="21">
                  <c:v>11.6196</c:v>
                </c:pt>
                <c:pt idx="22">
                  <c:v>11.3955</c:v>
                </c:pt>
                <c:pt idx="23">
                  <c:v>11.1715</c:v>
                </c:pt>
                <c:pt idx="24">
                  <c:v>10.9474</c:v>
                </c:pt>
                <c:pt idx="25">
                  <c:v>10.735900000000001</c:v>
                </c:pt>
                <c:pt idx="26">
                  <c:v>10.542400000000001</c:v>
                </c:pt>
                <c:pt idx="27">
                  <c:v>10.3489</c:v>
                </c:pt>
                <c:pt idx="28">
                  <c:v>10.1553</c:v>
                </c:pt>
                <c:pt idx="29">
                  <c:v>9.9679000000000002</c:v>
                </c:pt>
                <c:pt idx="30">
                  <c:v>9.7916000000000007</c:v>
                </c:pt>
                <c:pt idx="31">
                  <c:v>9.6152999999999995</c:v>
                </c:pt>
                <c:pt idx="32">
                  <c:v>9.4390000000000001</c:v>
                </c:pt>
                <c:pt idx="33">
                  <c:v>9.2627000000000006</c:v>
                </c:pt>
                <c:pt idx="34">
                  <c:v>9.0862999999999996</c:v>
                </c:pt>
                <c:pt idx="35">
                  <c:v>8.91</c:v>
                </c:pt>
                <c:pt idx="36">
                  <c:v>8.7337000000000007</c:v>
                </c:pt>
                <c:pt idx="37">
                  <c:v>8.5573999999999995</c:v>
                </c:pt>
                <c:pt idx="38">
                  <c:v>8.3811</c:v>
                </c:pt>
                <c:pt idx="39">
                  <c:v>8.2121999999999993</c:v>
                </c:pt>
                <c:pt idx="40">
                  <c:v>8.0536999999999992</c:v>
                </c:pt>
                <c:pt idx="41">
                  <c:v>7.8952</c:v>
                </c:pt>
                <c:pt idx="42">
                  <c:v>7.7366000000000001</c:v>
                </c:pt>
                <c:pt idx="43">
                  <c:v>7.5781000000000001</c:v>
                </c:pt>
                <c:pt idx="44">
                  <c:v>7.4196</c:v>
                </c:pt>
                <c:pt idx="45">
                  <c:v>7.2611999999999997</c:v>
                </c:pt>
                <c:pt idx="46">
                  <c:v>7.1029</c:v>
                </c:pt>
                <c:pt idx="47">
                  <c:v>6.9446000000000003</c:v>
                </c:pt>
                <c:pt idx="48">
                  <c:v>6.7862</c:v>
                </c:pt>
                <c:pt idx="49">
                  <c:v>6.6279000000000003</c:v>
                </c:pt>
                <c:pt idx="50">
                  <c:v>6.4695999999999998</c:v>
                </c:pt>
                <c:pt idx="51">
                  <c:v>6.3243</c:v>
                </c:pt>
                <c:pt idx="52">
                  <c:v>6.1826999999999996</c:v>
                </c:pt>
                <c:pt idx="53">
                  <c:v>6.0411000000000001</c:v>
                </c:pt>
                <c:pt idx="54">
                  <c:v>5.8994999999999997</c:v>
                </c:pt>
                <c:pt idx="55">
                  <c:v>5.7579000000000002</c:v>
                </c:pt>
                <c:pt idx="56">
                  <c:v>5.6162999999999998</c:v>
                </c:pt>
                <c:pt idx="57">
                  <c:v>5.4747000000000003</c:v>
                </c:pt>
                <c:pt idx="58">
                  <c:v>5.3331</c:v>
                </c:pt>
                <c:pt idx="59">
                  <c:v>5.1914999999999996</c:v>
                </c:pt>
                <c:pt idx="60">
                  <c:v>5.0585000000000004</c:v>
                </c:pt>
                <c:pt idx="61">
                  <c:v>4.9272999999999998</c:v>
                </c:pt>
                <c:pt idx="62">
                  <c:v>4.7961999999999998</c:v>
                </c:pt>
                <c:pt idx="63">
                  <c:v>4.6650999999999998</c:v>
                </c:pt>
                <c:pt idx="64">
                  <c:v>4.5339</c:v>
                </c:pt>
                <c:pt idx="65">
                  <c:v>4.4028</c:v>
                </c:pt>
                <c:pt idx="66">
                  <c:v>4.2717000000000001</c:v>
                </c:pt>
                <c:pt idx="67">
                  <c:v>4.1517999999999997</c:v>
                </c:pt>
                <c:pt idx="68">
                  <c:v>4.0334000000000003</c:v>
                </c:pt>
                <c:pt idx="69">
                  <c:v>3.9148999999999998</c:v>
                </c:pt>
                <c:pt idx="70">
                  <c:v>3.7964000000000002</c:v>
                </c:pt>
                <c:pt idx="71">
                  <c:v>3.6779000000000002</c:v>
                </c:pt>
                <c:pt idx="72">
                  <c:v>3.5594000000000001</c:v>
                </c:pt>
                <c:pt idx="73">
                  <c:v>3.4409000000000001</c:v>
                </c:pt>
                <c:pt idx="74">
                  <c:v>3.3233999999999999</c:v>
                </c:pt>
                <c:pt idx="75">
                  <c:v>3.2130999999999998</c:v>
                </c:pt>
                <c:pt idx="76">
                  <c:v>3.1029</c:v>
                </c:pt>
                <c:pt idx="77">
                  <c:v>2.9927000000000001</c:v>
                </c:pt>
                <c:pt idx="78">
                  <c:v>2.8824000000000001</c:v>
                </c:pt>
                <c:pt idx="79">
                  <c:v>2.7722000000000002</c:v>
                </c:pt>
                <c:pt idx="80">
                  <c:v>2.6629999999999998</c:v>
                </c:pt>
                <c:pt idx="81">
                  <c:v>2.5556999999999999</c:v>
                </c:pt>
                <c:pt idx="82">
                  <c:v>2.4483000000000001</c:v>
                </c:pt>
                <c:pt idx="83">
                  <c:v>2.3410000000000002</c:v>
                </c:pt>
                <c:pt idx="84">
                  <c:v>2.2336</c:v>
                </c:pt>
                <c:pt idx="85">
                  <c:v>2.1322999999999999</c:v>
                </c:pt>
                <c:pt idx="86">
                  <c:v>2.0316000000000001</c:v>
                </c:pt>
                <c:pt idx="87">
                  <c:v>1.9308000000000001</c:v>
                </c:pt>
                <c:pt idx="88">
                  <c:v>1.8301000000000001</c:v>
                </c:pt>
                <c:pt idx="89">
                  <c:v>1.7293000000000001</c:v>
                </c:pt>
                <c:pt idx="90">
                  <c:v>1.6286</c:v>
                </c:pt>
                <c:pt idx="91">
                  <c:v>1.5278</c:v>
                </c:pt>
                <c:pt idx="92">
                  <c:v>1.4271</c:v>
                </c:pt>
                <c:pt idx="93">
                  <c:v>1.3273999999999999</c:v>
                </c:pt>
                <c:pt idx="94">
                  <c:v>1.2392000000000001</c:v>
                </c:pt>
                <c:pt idx="95">
                  <c:v>1.1511</c:v>
                </c:pt>
                <c:pt idx="96">
                  <c:v>1.0629</c:v>
                </c:pt>
                <c:pt idx="97">
                  <c:v>0.97470000000000001</c:v>
                </c:pt>
                <c:pt idx="98">
                  <c:v>0.88649999999999995</c:v>
                </c:pt>
                <c:pt idx="99">
                  <c:v>0.79830000000000001</c:v>
                </c:pt>
                <c:pt idx="100">
                  <c:v>0.71009999999999995</c:v>
                </c:pt>
                <c:pt idx="101">
                  <c:v>0.62190000000000001</c:v>
                </c:pt>
                <c:pt idx="102">
                  <c:v>0.53369999999999995</c:v>
                </c:pt>
                <c:pt idx="103">
                  <c:v>0.44990000000000002</c:v>
                </c:pt>
                <c:pt idx="104">
                  <c:v>0.36820000000000003</c:v>
                </c:pt>
                <c:pt idx="105">
                  <c:v>0.28660000000000002</c:v>
                </c:pt>
                <c:pt idx="106">
                  <c:v>0.2049</c:v>
                </c:pt>
                <c:pt idx="107">
                  <c:v>0.1232</c:v>
                </c:pt>
                <c:pt idx="108">
                  <c:v>4.1599999999999998E-2</c:v>
                </c:pt>
                <c:pt idx="10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06-4963-BE3F-69DE0CE4F69C}"/>
            </c:ext>
          </c:extLst>
        </c:ser>
        <c:ser>
          <c:idx val="2"/>
          <c:order val="2"/>
          <c:tx>
            <c:v>3</c:v>
          </c:tx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'X-KM'!$T$2:$T$119</c:f>
              <c:numCache>
                <c:formatCode>0.0</c:formatCode>
                <c:ptCount val="1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119</c:v>
                </c:pt>
                <c:pt idx="117">
                  <c:v>120</c:v>
                </c:pt>
              </c:numCache>
            </c:numRef>
          </c:xVal>
          <c:yVal>
            <c:numRef>
              <c:f>'X-KM'!$S$2:$S$119</c:f>
              <c:numCache>
                <c:formatCode>0.0000</c:formatCode>
                <c:ptCount val="118"/>
                <c:pt idx="0">
                  <c:v>17.9998</c:v>
                </c:pt>
                <c:pt idx="1">
                  <c:v>17.6614</c:v>
                </c:pt>
                <c:pt idx="2">
                  <c:v>17.361799999999999</c:v>
                </c:pt>
                <c:pt idx="3">
                  <c:v>17.064299999999999</c:v>
                </c:pt>
                <c:pt idx="4">
                  <c:v>16.776900000000001</c:v>
                </c:pt>
                <c:pt idx="5">
                  <c:v>16.504899999999999</c:v>
                </c:pt>
                <c:pt idx="6">
                  <c:v>16.232800000000001</c:v>
                </c:pt>
                <c:pt idx="7">
                  <c:v>15.960900000000001</c:v>
                </c:pt>
                <c:pt idx="8">
                  <c:v>15.697800000000001</c:v>
                </c:pt>
                <c:pt idx="9">
                  <c:v>15.434699999999999</c:v>
                </c:pt>
                <c:pt idx="10">
                  <c:v>15.1716</c:v>
                </c:pt>
                <c:pt idx="11">
                  <c:v>14.9086</c:v>
                </c:pt>
                <c:pt idx="12">
                  <c:v>14.6455</c:v>
                </c:pt>
                <c:pt idx="13">
                  <c:v>14.3863</c:v>
                </c:pt>
                <c:pt idx="14">
                  <c:v>14.1275</c:v>
                </c:pt>
                <c:pt idx="15">
                  <c:v>13.8809</c:v>
                </c:pt>
                <c:pt idx="16">
                  <c:v>13.6698</c:v>
                </c:pt>
                <c:pt idx="17">
                  <c:v>13.4587</c:v>
                </c:pt>
                <c:pt idx="18">
                  <c:v>13.2476</c:v>
                </c:pt>
                <c:pt idx="19">
                  <c:v>13.036099999999999</c:v>
                </c:pt>
                <c:pt idx="20">
                  <c:v>12.8245</c:v>
                </c:pt>
                <c:pt idx="21">
                  <c:v>12.613</c:v>
                </c:pt>
                <c:pt idx="22">
                  <c:v>12.401400000000001</c:v>
                </c:pt>
                <c:pt idx="23">
                  <c:v>12.1898</c:v>
                </c:pt>
                <c:pt idx="24">
                  <c:v>11.978199999999999</c:v>
                </c:pt>
                <c:pt idx="25">
                  <c:v>11.7666</c:v>
                </c:pt>
                <c:pt idx="26">
                  <c:v>11.5624</c:v>
                </c:pt>
                <c:pt idx="27">
                  <c:v>11.377800000000001</c:v>
                </c:pt>
                <c:pt idx="28">
                  <c:v>11.193099999999999</c:v>
                </c:pt>
                <c:pt idx="29">
                  <c:v>11.0085</c:v>
                </c:pt>
                <c:pt idx="30">
                  <c:v>10.8239</c:v>
                </c:pt>
                <c:pt idx="31">
                  <c:v>10.6393</c:v>
                </c:pt>
                <c:pt idx="32">
                  <c:v>10.454700000000001</c:v>
                </c:pt>
                <c:pt idx="33">
                  <c:v>10.272399999999999</c:v>
                </c:pt>
                <c:pt idx="34">
                  <c:v>10.1053</c:v>
                </c:pt>
                <c:pt idx="35">
                  <c:v>9.9382999999999999</c:v>
                </c:pt>
                <c:pt idx="36">
                  <c:v>9.7713000000000001</c:v>
                </c:pt>
                <c:pt idx="37">
                  <c:v>9.6042000000000005</c:v>
                </c:pt>
                <c:pt idx="38">
                  <c:v>9.4372000000000007</c:v>
                </c:pt>
                <c:pt idx="39">
                  <c:v>9.2702000000000009</c:v>
                </c:pt>
                <c:pt idx="40">
                  <c:v>9.1030999999999995</c:v>
                </c:pt>
                <c:pt idx="41">
                  <c:v>8.9390999999999998</c:v>
                </c:pt>
                <c:pt idx="42">
                  <c:v>8.7751000000000001</c:v>
                </c:pt>
                <c:pt idx="43">
                  <c:v>8.6111000000000004</c:v>
                </c:pt>
                <c:pt idx="44">
                  <c:v>8.4471000000000007</c:v>
                </c:pt>
                <c:pt idx="45">
                  <c:v>8.2830999999999992</c:v>
                </c:pt>
                <c:pt idx="46">
                  <c:v>8.1190999999999995</c:v>
                </c:pt>
                <c:pt idx="47">
                  <c:v>7.9550999999999998</c:v>
                </c:pt>
                <c:pt idx="48">
                  <c:v>7.7930999999999999</c:v>
                </c:pt>
                <c:pt idx="49">
                  <c:v>7.6430999999999996</c:v>
                </c:pt>
                <c:pt idx="50">
                  <c:v>7.4931000000000001</c:v>
                </c:pt>
                <c:pt idx="51">
                  <c:v>7.3430999999999997</c:v>
                </c:pt>
                <c:pt idx="52">
                  <c:v>7.1931000000000003</c:v>
                </c:pt>
                <c:pt idx="53">
                  <c:v>7.0430999999999999</c:v>
                </c:pt>
                <c:pt idx="54">
                  <c:v>6.8933</c:v>
                </c:pt>
                <c:pt idx="55">
                  <c:v>6.7439</c:v>
                </c:pt>
                <c:pt idx="56">
                  <c:v>6.5945</c:v>
                </c:pt>
                <c:pt idx="57">
                  <c:v>6.4451000000000001</c:v>
                </c:pt>
                <c:pt idx="58">
                  <c:v>6.2956000000000003</c:v>
                </c:pt>
                <c:pt idx="59">
                  <c:v>6.1462000000000003</c:v>
                </c:pt>
                <c:pt idx="60">
                  <c:v>5.9968000000000004</c:v>
                </c:pt>
                <c:pt idx="61">
                  <c:v>5.8569000000000004</c:v>
                </c:pt>
                <c:pt idx="62">
                  <c:v>5.7259000000000002</c:v>
                </c:pt>
                <c:pt idx="63">
                  <c:v>5.5949999999999998</c:v>
                </c:pt>
                <c:pt idx="64">
                  <c:v>5.4641000000000002</c:v>
                </c:pt>
                <c:pt idx="65">
                  <c:v>5.3331999999999997</c:v>
                </c:pt>
                <c:pt idx="66">
                  <c:v>5.2023000000000001</c:v>
                </c:pt>
                <c:pt idx="67">
                  <c:v>5.0713999999999997</c:v>
                </c:pt>
                <c:pt idx="68">
                  <c:v>4.9405000000000001</c:v>
                </c:pt>
                <c:pt idx="69">
                  <c:v>4.8095999999999997</c:v>
                </c:pt>
                <c:pt idx="70">
                  <c:v>4.6890999999999998</c:v>
                </c:pt>
                <c:pt idx="71">
                  <c:v>4.5701000000000001</c:v>
                </c:pt>
                <c:pt idx="72">
                  <c:v>4.4509999999999996</c:v>
                </c:pt>
                <c:pt idx="73">
                  <c:v>4.3319999999999999</c:v>
                </c:pt>
                <c:pt idx="74">
                  <c:v>4.2129000000000003</c:v>
                </c:pt>
                <c:pt idx="75">
                  <c:v>4.0938999999999997</c:v>
                </c:pt>
                <c:pt idx="76">
                  <c:v>3.9748000000000001</c:v>
                </c:pt>
                <c:pt idx="77">
                  <c:v>3.8557999999999999</c:v>
                </c:pt>
                <c:pt idx="78">
                  <c:v>3.7463000000000002</c:v>
                </c:pt>
                <c:pt idx="79">
                  <c:v>3.6421000000000001</c:v>
                </c:pt>
                <c:pt idx="80">
                  <c:v>3.5379</c:v>
                </c:pt>
                <c:pt idx="81">
                  <c:v>3.4336000000000002</c:v>
                </c:pt>
                <c:pt idx="82">
                  <c:v>3.3294000000000001</c:v>
                </c:pt>
                <c:pt idx="83">
                  <c:v>3.2252000000000001</c:v>
                </c:pt>
                <c:pt idx="84">
                  <c:v>3.121</c:v>
                </c:pt>
                <c:pt idx="85">
                  <c:v>3.0165999999999999</c:v>
                </c:pt>
                <c:pt idx="86">
                  <c:v>2.9091</c:v>
                </c:pt>
                <c:pt idx="87">
                  <c:v>2.8016000000000001</c:v>
                </c:pt>
                <c:pt idx="88">
                  <c:v>2.6941000000000002</c:v>
                </c:pt>
                <c:pt idx="89">
                  <c:v>2.5865999999999998</c:v>
                </c:pt>
                <c:pt idx="90">
                  <c:v>2.4792000000000001</c:v>
                </c:pt>
                <c:pt idx="91">
                  <c:v>2.3738000000000001</c:v>
                </c:pt>
                <c:pt idx="92">
                  <c:v>2.2757999999999998</c:v>
                </c:pt>
                <c:pt idx="93">
                  <c:v>2.1778</c:v>
                </c:pt>
                <c:pt idx="94">
                  <c:v>2.0798000000000001</c:v>
                </c:pt>
                <c:pt idx="95">
                  <c:v>1.9818</c:v>
                </c:pt>
                <c:pt idx="96">
                  <c:v>1.8837999999999999</c:v>
                </c:pt>
                <c:pt idx="97">
                  <c:v>1.7858000000000001</c:v>
                </c:pt>
                <c:pt idx="98">
                  <c:v>1.6877</c:v>
                </c:pt>
                <c:pt idx="99">
                  <c:v>1.5896999999999999</c:v>
                </c:pt>
                <c:pt idx="100">
                  <c:v>1.4967999999999999</c:v>
                </c:pt>
                <c:pt idx="101">
                  <c:v>1.4038999999999999</c:v>
                </c:pt>
                <c:pt idx="102">
                  <c:v>1.3109999999999999</c:v>
                </c:pt>
                <c:pt idx="103">
                  <c:v>1.218</c:v>
                </c:pt>
                <c:pt idx="104">
                  <c:v>1.1251</c:v>
                </c:pt>
                <c:pt idx="105">
                  <c:v>1.0322</c:v>
                </c:pt>
                <c:pt idx="106">
                  <c:v>0.94520000000000004</c:v>
                </c:pt>
                <c:pt idx="107">
                  <c:v>0.85919999999999996</c:v>
                </c:pt>
                <c:pt idx="108">
                  <c:v>0.77329999999999999</c:v>
                </c:pt>
                <c:pt idx="109">
                  <c:v>0.68740000000000001</c:v>
                </c:pt>
                <c:pt idx="110">
                  <c:v>0.60140000000000005</c:v>
                </c:pt>
                <c:pt idx="111">
                  <c:v>0.51549999999999996</c:v>
                </c:pt>
                <c:pt idx="112">
                  <c:v>0.42949999999999999</c:v>
                </c:pt>
                <c:pt idx="113">
                  <c:v>0.34360000000000002</c:v>
                </c:pt>
                <c:pt idx="114">
                  <c:v>0.2576</c:v>
                </c:pt>
                <c:pt idx="115">
                  <c:v>0.1716</c:v>
                </c:pt>
                <c:pt idx="116">
                  <c:v>8.5699999999999998E-2</c:v>
                </c:pt>
                <c:pt idx="1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06-4963-BE3F-69DE0CE4F69C}"/>
            </c:ext>
          </c:extLst>
        </c:ser>
        <c:ser>
          <c:idx val="3"/>
          <c:order val="3"/>
          <c:tx>
            <c:v>4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'X-KM'!$AA$2:$AA$132</c:f>
              <c:numCache>
                <c:formatCode>0.0</c:formatCode>
                <c:ptCount val="131"/>
                <c:pt idx="0">
                  <c:v>4.4000000000000004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132</c:v>
                </c:pt>
                <c:pt idx="127">
                  <c:v>133</c:v>
                </c:pt>
                <c:pt idx="128">
                  <c:v>134</c:v>
                </c:pt>
                <c:pt idx="129">
                  <c:v>135</c:v>
                </c:pt>
                <c:pt idx="130">
                  <c:v>135.4</c:v>
                </c:pt>
              </c:numCache>
            </c:numRef>
          </c:xVal>
          <c:yVal>
            <c:numRef>
              <c:f>'X-KM'!$Z$2:$Z$132</c:f>
              <c:numCache>
                <c:formatCode>0.0000</c:formatCode>
                <c:ptCount val="131"/>
                <c:pt idx="0">
                  <c:v>18</c:v>
                </c:pt>
                <c:pt idx="1">
                  <c:v>17.810600000000001</c:v>
                </c:pt>
                <c:pt idx="2">
                  <c:v>17.5351</c:v>
                </c:pt>
                <c:pt idx="3">
                  <c:v>17.287199999999999</c:v>
                </c:pt>
                <c:pt idx="4">
                  <c:v>17.039200000000001</c:v>
                </c:pt>
                <c:pt idx="5">
                  <c:v>16.7913</c:v>
                </c:pt>
                <c:pt idx="6">
                  <c:v>16.543299999999999</c:v>
                </c:pt>
                <c:pt idx="7">
                  <c:v>16.300999999999998</c:v>
                </c:pt>
                <c:pt idx="8">
                  <c:v>16.0808</c:v>
                </c:pt>
                <c:pt idx="9">
                  <c:v>15.8605</c:v>
                </c:pt>
                <c:pt idx="10">
                  <c:v>15.6403</c:v>
                </c:pt>
                <c:pt idx="11">
                  <c:v>15.4201</c:v>
                </c:pt>
                <c:pt idx="12">
                  <c:v>15.206799999999999</c:v>
                </c:pt>
                <c:pt idx="13">
                  <c:v>14.9976</c:v>
                </c:pt>
                <c:pt idx="14">
                  <c:v>14.788399999999999</c:v>
                </c:pt>
                <c:pt idx="15">
                  <c:v>14.5792</c:v>
                </c:pt>
                <c:pt idx="16">
                  <c:v>14.37</c:v>
                </c:pt>
                <c:pt idx="17">
                  <c:v>14.164300000000001</c:v>
                </c:pt>
                <c:pt idx="18">
                  <c:v>13.9673</c:v>
                </c:pt>
                <c:pt idx="19">
                  <c:v>13.770200000000001</c:v>
                </c:pt>
                <c:pt idx="20">
                  <c:v>13.5732</c:v>
                </c:pt>
                <c:pt idx="21">
                  <c:v>13.376099999999999</c:v>
                </c:pt>
                <c:pt idx="22">
                  <c:v>13.179</c:v>
                </c:pt>
                <c:pt idx="23">
                  <c:v>12.990500000000001</c:v>
                </c:pt>
                <c:pt idx="24">
                  <c:v>12.805199999999999</c:v>
                </c:pt>
                <c:pt idx="25">
                  <c:v>12.6198</c:v>
                </c:pt>
                <c:pt idx="26">
                  <c:v>12.4345</c:v>
                </c:pt>
                <c:pt idx="27">
                  <c:v>12.2492</c:v>
                </c:pt>
                <c:pt idx="28">
                  <c:v>12.063800000000001</c:v>
                </c:pt>
                <c:pt idx="29">
                  <c:v>11.884399999999999</c:v>
                </c:pt>
                <c:pt idx="30">
                  <c:v>11.713699999999999</c:v>
                </c:pt>
                <c:pt idx="31">
                  <c:v>11.542899999999999</c:v>
                </c:pt>
                <c:pt idx="32">
                  <c:v>11.3721</c:v>
                </c:pt>
                <c:pt idx="33">
                  <c:v>11.2028</c:v>
                </c:pt>
                <c:pt idx="34">
                  <c:v>11.033799999999999</c:v>
                </c:pt>
                <c:pt idx="35">
                  <c:v>10.864699999999999</c:v>
                </c:pt>
                <c:pt idx="36">
                  <c:v>10.6957</c:v>
                </c:pt>
                <c:pt idx="37">
                  <c:v>10.5266</c:v>
                </c:pt>
                <c:pt idx="38">
                  <c:v>10.3575</c:v>
                </c:pt>
                <c:pt idx="39">
                  <c:v>10.188499999999999</c:v>
                </c:pt>
                <c:pt idx="40">
                  <c:v>10.022399999999999</c:v>
                </c:pt>
                <c:pt idx="41">
                  <c:v>9.8635999999999999</c:v>
                </c:pt>
                <c:pt idx="42">
                  <c:v>9.7048000000000005</c:v>
                </c:pt>
                <c:pt idx="43">
                  <c:v>9.5458999999999996</c:v>
                </c:pt>
                <c:pt idx="44">
                  <c:v>9.3871000000000002</c:v>
                </c:pt>
                <c:pt idx="45">
                  <c:v>9.2283000000000008</c:v>
                </c:pt>
                <c:pt idx="46">
                  <c:v>9.0694999999999997</c:v>
                </c:pt>
                <c:pt idx="47">
                  <c:v>8.9106000000000005</c:v>
                </c:pt>
                <c:pt idx="48">
                  <c:v>8.7517999999999994</c:v>
                </c:pt>
                <c:pt idx="49">
                  <c:v>8.6083999999999996</c:v>
                </c:pt>
                <c:pt idx="50">
                  <c:v>8.4656000000000002</c:v>
                </c:pt>
                <c:pt idx="51">
                  <c:v>8.3229000000000006</c:v>
                </c:pt>
                <c:pt idx="52">
                  <c:v>8.1800999999999995</c:v>
                </c:pt>
                <c:pt idx="53">
                  <c:v>8.0373999999999999</c:v>
                </c:pt>
                <c:pt idx="54">
                  <c:v>7.8945999999999996</c:v>
                </c:pt>
                <c:pt idx="55">
                  <c:v>7.7518000000000002</c:v>
                </c:pt>
                <c:pt idx="56">
                  <c:v>7.6097000000000001</c:v>
                </c:pt>
                <c:pt idx="57">
                  <c:v>7.4783999999999997</c:v>
                </c:pt>
                <c:pt idx="58">
                  <c:v>7.3470000000000004</c:v>
                </c:pt>
                <c:pt idx="59">
                  <c:v>7.2157</c:v>
                </c:pt>
                <c:pt idx="60">
                  <c:v>7.0843999999999996</c:v>
                </c:pt>
                <c:pt idx="61">
                  <c:v>6.9530000000000003</c:v>
                </c:pt>
                <c:pt idx="62">
                  <c:v>6.8216999999999999</c:v>
                </c:pt>
                <c:pt idx="63">
                  <c:v>6.6902999999999997</c:v>
                </c:pt>
                <c:pt idx="64">
                  <c:v>6.5589000000000004</c:v>
                </c:pt>
                <c:pt idx="65">
                  <c:v>6.4272999999999998</c:v>
                </c:pt>
                <c:pt idx="66">
                  <c:v>6.2957999999999998</c:v>
                </c:pt>
                <c:pt idx="67">
                  <c:v>6.1642999999999999</c:v>
                </c:pt>
                <c:pt idx="68">
                  <c:v>6.0327000000000002</c:v>
                </c:pt>
                <c:pt idx="69">
                  <c:v>5.9012000000000002</c:v>
                </c:pt>
                <c:pt idx="70">
                  <c:v>5.7773000000000003</c:v>
                </c:pt>
                <c:pt idx="71">
                  <c:v>5.6565000000000003</c:v>
                </c:pt>
                <c:pt idx="72">
                  <c:v>5.5358000000000001</c:v>
                </c:pt>
                <c:pt idx="73">
                  <c:v>5.415</c:v>
                </c:pt>
                <c:pt idx="74">
                  <c:v>5.2942999999999998</c:v>
                </c:pt>
                <c:pt idx="75">
                  <c:v>5.1734999999999998</c:v>
                </c:pt>
                <c:pt idx="76">
                  <c:v>5.0528000000000004</c:v>
                </c:pt>
                <c:pt idx="77">
                  <c:v>4.9320000000000004</c:v>
                </c:pt>
                <c:pt idx="78">
                  <c:v>4.8113000000000001</c:v>
                </c:pt>
                <c:pt idx="79">
                  <c:v>4.6905000000000001</c:v>
                </c:pt>
                <c:pt idx="80">
                  <c:v>4.5697000000000001</c:v>
                </c:pt>
                <c:pt idx="81">
                  <c:v>4.4508999999999999</c:v>
                </c:pt>
                <c:pt idx="82">
                  <c:v>4.3422999999999998</c:v>
                </c:pt>
                <c:pt idx="83">
                  <c:v>4.2336999999999998</c:v>
                </c:pt>
                <c:pt idx="84">
                  <c:v>4.1250999999999998</c:v>
                </c:pt>
                <c:pt idx="85">
                  <c:v>4.0164999999999997</c:v>
                </c:pt>
                <c:pt idx="86">
                  <c:v>3.9077999999999999</c:v>
                </c:pt>
                <c:pt idx="87">
                  <c:v>3.7991999999999999</c:v>
                </c:pt>
                <c:pt idx="88">
                  <c:v>3.6905999999999999</c:v>
                </c:pt>
                <c:pt idx="89">
                  <c:v>3.5819999999999999</c:v>
                </c:pt>
                <c:pt idx="90">
                  <c:v>3.4842</c:v>
                </c:pt>
                <c:pt idx="91">
                  <c:v>3.3872</c:v>
                </c:pt>
                <c:pt idx="92">
                  <c:v>3.2902</c:v>
                </c:pt>
                <c:pt idx="93">
                  <c:v>3.1932</c:v>
                </c:pt>
                <c:pt idx="94">
                  <c:v>3.0962000000000001</c:v>
                </c:pt>
                <c:pt idx="95">
                  <c:v>2.9992000000000001</c:v>
                </c:pt>
                <c:pt idx="96">
                  <c:v>2.9022999999999999</c:v>
                </c:pt>
                <c:pt idx="97">
                  <c:v>2.8071000000000002</c:v>
                </c:pt>
                <c:pt idx="98">
                  <c:v>2.7126999999999999</c:v>
                </c:pt>
                <c:pt idx="99">
                  <c:v>2.6183999999999998</c:v>
                </c:pt>
                <c:pt idx="100">
                  <c:v>2.5240999999999998</c:v>
                </c:pt>
                <c:pt idx="101">
                  <c:v>2.4298000000000002</c:v>
                </c:pt>
                <c:pt idx="102">
                  <c:v>2.3353999999999999</c:v>
                </c:pt>
                <c:pt idx="103">
                  <c:v>2.2410999999999999</c:v>
                </c:pt>
                <c:pt idx="104">
                  <c:v>2.1467999999999998</c:v>
                </c:pt>
                <c:pt idx="105">
                  <c:v>2.0524</c:v>
                </c:pt>
                <c:pt idx="106">
                  <c:v>1.9581</c:v>
                </c:pt>
                <c:pt idx="107">
                  <c:v>1.8652</c:v>
                </c:pt>
                <c:pt idx="108">
                  <c:v>1.7833000000000001</c:v>
                </c:pt>
                <c:pt idx="109">
                  <c:v>1.7014</c:v>
                </c:pt>
                <c:pt idx="110">
                  <c:v>1.6194999999999999</c:v>
                </c:pt>
                <c:pt idx="111">
                  <c:v>1.5376000000000001</c:v>
                </c:pt>
                <c:pt idx="112">
                  <c:v>1.4557</c:v>
                </c:pt>
                <c:pt idx="113">
                  <c:v>1.3737999999999999</c:v>
                </c:pt>
                <c:pt idx="114">
                  <c:v>1.2919</c:v>
                </c:pt>
                <c:pt idx="115">
                  <c:v>1.21</c:v>
                </c:pt>
                <c:pt idx="116">
                  <c:v>1.1281000000000001</c:v>
                </c:pt>
                <c:pt idx="117">
                  <c:v>1.0462</c:v>
                </c:pt>
                <c:pt idx="118">
                  <c:v>0.96430000000000005</c:v>
                </c:pt>
                <c:pt idx="119">
                  <c:v>0.88290000000000002</c:v>
                </c:pt>
                <c:pt idx="120">
                  <c:v>0.80930000000000002</c:v>
                </c:pt>
                <c:pt idx="121">
                  <c:v>0.73570000000000002</c:v>
                </c:pt>
                <c:pt idx="122">
                  <c:v>0.58840000000000003</c:v>
                </c:pt>
                <c:pt idx="123">
                  <c:v>0.51470000000000005</c:v>
                </c:pt>
                <c:pt idx="124">
                  <c:v>0.44109999999999999</c:v>
                </c:pt>
                <c:pt idx="125">
                  <c:v>0.36770000000000003</c:v>
                </c:pt>
                <c:pt idx="126">
                  <c:v>0.2324</c:v>
                </c:pt>
                <c:pt idx="127">
                  <c:v>0.16470000000000001</c:v>
                </c:pt>
                <c:pt idx="128">
                  <c:v>9.7000000000000003E-2</c:v>
                </c:pt>
                <c:pt idx="129">
                  <c:v>2.9399999999999999E-2</c:v>
                </c:pt>
                <c:pt idx="1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06-4963-BE3F-69DE0CE4F69C}"/>
            </c:ext>
          </c:extLst>
        </c:ser>
        <c:ser>
          <c:idx val="4"/>
          <c:order val="4"/>
          <c:tx>
            <c:v>5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'X-KM'!$AH$2:$AH$160</c:f>
              <c:numCache>
                <c:formatCode>0.0</c:formatCode>
                <c:ptCount val="159"/>
                <c:pt idx="0">
                  <c:v>6.2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47</c:v>
                </c:pt>
                <c:pt idx="42">
                  <c:v>48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53</c:v>
                </c:pt>
                <c:pt idx="48">
                  <c:v>54</c:v>
                </c:pt>
                <c:pt idx="49">
                  <c:v>55</c:v>
                </c:pt>
                <c:pt idx="50">
                  <c:v>56</c:v>
                </c:pt>
                <c:pt idx="51">
                  <c:v>57</c:v>
                </c:pt>
                <c:pt idx="52">
                  <c:v>58</c:v>
                </c:pt>
                <c:pt idx="53">
                  <c:v>59</c:v>
                </c:pt>
                <c:pt idx="54">
                  <c:v>60</c:v>
                </c:pt>
                <c:pt idx="55">
                  <c:v>61</c:v>
                </c:pt>
                <c:pt idx="56">
                  <c:v>62</c:v>
                </c:pt>
                <c:pt idx="57">
                  <c:v>63</c:v>
                </c:pt>
                <c:pt idx="58">
                  <c:v>64</c:v>
                </c:pt>
                <c:pt idx="59">
                  <c:v>65</c:v>
                </c:pt>
                <c:pt idx="60">
                  <c:v>66</c:v>
                </c:pt>
                <c:pt idx="61">
                  <c:v>67</c:v>
                </c:pt>
                <c:pt idx="62">
                  <c:v>68</c:v>
                </c:pt>
                <c:pt idx="63">
                  <c:v>69</c:v>
                </c:pt>
                <c:pt idx="64">
                  <c:v>70</c:v>
                </c:pt>
                <c:pt idx="65">
                  <c:v>71</c:v>
                </c:pt>
                <c:pt idx="66">
                  <c:v>72</c:v>
                </c:pt>
                <c:pt idx="67">
                  <c:v>73</c:v>
                </c:pt>
                <c:pt idx="68">
                  <c:v>74</c:v>
                </c:pt>
                <c:pt idx="69">
                  <c:v>75</c:v>
                </c:pt>
                <c:pt idx="70">
                  <c:v>76</c:v>
                </c:pt>
                <c:pt idx="71">
                  <c:v>77</c:v>
                </c:pt>
                <c:pt idx="72">
                  <c:v>78</c:v>
                </c:pt>
                <c:pt idx="73">
                  <c:v>79</c:v>
                </c:pt>
                <c:pt idx="74">
                  <c:v>80</c:v>
                </c:pt>
                <c:pt idx="75">
                  <c:v>81</c:v>
                </c:pt>
                <c:pt idx="76">
                  <c:v>82</c:v>
                </c:pt>
                <c:pt idx="77">
                  <c:v>83</c:v>
                </c:pt>
                <c:pt idx="78">
                  <c:v>84</c:v>
                </c:pt>
                <c:pt idx="79">
                  <c:v>85</c:v>
                </c:pt>
                <c:pt idx="80">
                  <c:v>86</c:v>
                </c:pt>
                <c:pt idx="81">
                  <c:v>87</c:v>
                </c:pt>
                <c:pt idx="82">
                  <c:v>88</c:v>
                </c:pt>
                <c:pt idx="83">
                  <c:v>89</c:v>
                </c:pt>
                <c:pt idx="84">
                  <c:v>90</c:v>
                </c:pt>
                <c:pt idx="85">
                  <c:v>91</c:v>
                </c:pt>
                <c:pt idx="86">
                  <c:v>92</c:v>
                </c:pt>
                <c:pt idx="87">
                  <c:v>93</c:v>
                </c:pt>
                <c:pt idx="88">
                  <c:v>94</c:v>
                </c:pt>
                <c:pt idx="89">
                  <c:v>95</c:v>
                </c:pt>
                <c:pt idx="90">
                  <c:v>96</c:v>
                </c:pt>
                <c:pt idx="91">
                  <c:v>97</c:v>
                </c:pt>
                <c:pt idx="92">
                  <c:v>98</c:v>
                </c:pt>
                <c:pt idx="93">
                  <c:v>99</c:v>
                </c:pt>
                <c:pt idx="94">
                  <c:v>100</c:v>
                </c:pt>
                <c:pt idx="95">
                  <c:v>101</c:v>
                </c:pt>
                <c:pt idx="96">
                  <c:v>102</c:v>
                </c:pt>
                <c:pt idx="97">
                  <c:v>103</c:v>
                </c:pt>
                <c:pt idx="98">
                  <c:v>104</c:v>
                </c:pt>
                <c:pt idx="99">
                  <c:v>105</c:v>
                </c:pt>
                <c:pt idx="100">
                  <c:v>106</c:v>
                </c:pt>
                <c:pt idx="101">
                  <c:v>107</c:v>
                </c:pt>
                <c:pt idx="102">
                  <c:v>108</c:v>
                </c:pt>
                <c:pt idx="103">
                  <c:v>109</c:v>
                </c:pt>
                <c:pt idx="104">
                  <c:v>110</c:v>
                </c:pt>
                <c:pt idx="105">
                  <c:v>111</c:v>
                </c:pt>
                <c:pt idx="106">
                  <c:v>112</c:v>
                </c:pt>
                <c:pt idx="107">
                  <c:v>113</c:v>
                </c:pt>
                <c:pt idx="108">
                  <c:v>114</c:v>
                </c:pt>
                <c:pt idx="109">
                  <c:v>115</c:v>
                </c:pt>
                <c:pt idx="110">
                  <c:v>116</c:v>
                </c:pt>
                <c:pt idx="111">
                  <c:v>117</c:v>
                </c:pt>
                <c:pt idx="112">
                  <c:v>118</c:v>
                </c:pt>
                <c:pt idx="113">
                  <c:v>119</c:v>
                </c:pt>
                <c:pt idx="114">
                  <c:v>120</c:v>
                </c:pt>
                <c:pt idx="115">
                  <c:v>121</c:v>
                </c:pt>
                <c:pt idx="116">
                  <c:v>122</c:v>
                </c:pt>
                <c:pt idx="117">
                  <c:v>123</c:v>
                </c:pt>
                <c:pt idx="118">
                  <c:v>124</c:v>
                </c:pt>
                <c:pt idx="119">
                  <c:v>125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126</c:v>
                </c:pt>
                <c:pt idx="125">
                  <c:v>131</c:v>
                </c:pt>
                <c:pt idx="126">
                  <c:v>132</c:v>
                </c:pt>
                <c:pt idx="127">
                  <c:v>133</c:v>
                </c:pt>
                <c:pt idx="128">
                  <c:v>134</c:v>
                </c:pt>
                <c:pt idx="129">
                  <c:v>135</c:v>
                </c:pt>
                <c:pt idx="130">
                  <c:v>136</c:v>
                </c:pt>
                <c:pt idx="131">
                  <c:v>137</c:v>
                </c:pt>
                <c:pt idx="132">
                  <c:v>138</c:v>
                </c:pt>
                <c:pt idx="133">
                  <c:v>139</c:v>
                </c:pt>
                <c:pt idx="134">
                  <c:v>140</c:v>
                </c:pt>
                <c:pt idx="135">
                  <c:v>141</c:v>
                </c:pt>
                <c:pt idx="136">
                  <c:v>142</c:v>
                </c:pt>
                <c:pt idx="137">
                  <c:v>143</c:v>
                </c:pt>
                <c:pt idx="138">
                  <c:v>144</c:v>
                </c:pt>
                <c:pt idx="139">
                  <c:v>145</c:v>
                </c:pt>
                <c:pt idx="140">
                  <c:v>146</c:v>
                </c:pt>
                <c:pt idx="141">
                  <c:v>147</c:v>
                </c:pt>
                <c:pt idx="142">
                  <c:v>148</c:v>
                </c:pt>
                <c:pt idx="143">
                  <c:v>149</c:v>
                </c:pt>
                <c:pt idx="144">
                  <c:v>150</c:v>
                </c:pt>
                <c:pt idx="145">
                  <c:v>151</c:v>
                </c:pt>
                <c:pt idx="146">
                  <c:v>152</c:v>
                </c:pt>
                <c:pt idx="147">
                  <c:v>153</c:v>
                </c:pt>
                <c:pt idx="148">
                  <c:v>154</c:v>
                </c:pt>
                <c:pt idx="149">
                  <c:v>155</c:v>
                </c:pt>
                <c:pt idx="150">
                  <c:v>156</c:v>
                </c:pt>
                <c:pt idx="151">
                  <c:v>157</c:v>
                </c:pt>
                <c:pt idx="152">
                  <c:v>158</c:v>
                </c:pt>
                <c:pt idx="153">
                  <c:v>159</c:v>
                </c:pt>
                <c:pt idx="154">
                  <c:v>160</c:v>
                </c:pt>
                <c:pt idx="155">
                  <c:v>161</c:v>
                </c:pt>
                <c:pt idx="156">
                  <c:v>162</c:v>
                </c:pt>
                <c:pt idx="157">
                  <c:v>163</c:v>
                </c:pt>
                <c:pt idx="158">
                  <c:v>163.1</c:v>
                </c:pt>
              </c:numCache>
            </c:numRef>
          </c:xVal>
          <c:yVal>
            <c:numRef>
              <c:f>'X-KM'!$AG$2:$AG$160</c:f>
              <c:numCache>
                <c:formatCode>0.0000</c:formatCode>
                <c:ptCount val="159"/>
                <c:pt idx="0">
                  <c:v>18</c:v>
                </c:pt>
                <c:pt idx="1">
                  <c:v>17.838200000000001</c:v>
                </c:pt>
                <c:pt idx="2">
                  <c:v>17.63</c:v>
                </c:pt>
                <c:pt idx="3">
                  <c:v>17.422799999999999</c:v>
                </c:pt>
                <c:pt idx="4">
                  <c:v>17.228100000000001</c:v>
                </c:pt>
                <c:pt idx="5">
                  <c:v>17.0334</c:v>
                </c:pt>
                <c:pt idx="6">
                  <c:v>16.8386</c:v>
                </c:pt>
                <c:pt idx="7">
                  <c:v>16.643899999999999</c:v>
                </c:pt>
                <c:pt idx="8">
                  <c:v>16.448599999999999</c:v>
                </c:pt>
                <c:pt idx="9">
                  <c:v>16.2531</c:v>
                </c:pt>
                <c:pt idx="10">
                  <c:v>16.057500000000001</c:v>
                </c:pt>
                <c:pt idx="11">
                  <c:v>15.862</c:v>
                </c:pt>
                <c:pt idx="12">
                  <c:v>15.6799</c:v>
                </c:pt>
                <c:pt idx="13">
                  <c:v>15.5029</c:v>
                </c:pt>
                <c:pt idx="14">
                  <c:v>15.325900000000001</c:v>
                </c:pt>
                <c:pt idx="15">
                  <c:v>15.148899999999999</c:v>
                </c:pt>
                <c:pt idx="16">
                  <c:v>14.9719</c:v>
                </c:pt>
                <c:pt idx="17">
                  <c:v>14.802199999999999</c:v>
                </c:pt>
                <c:pt idx="18">
                  <c:v>14.637600000000001</c:v>
                </c:pt>
                <c:pt idx="19">
                  <c:v>14.473000000000001</c:v>
                </c:pt>
                <c:pt idx="20">
                  <c:v>14.308400000000001</c:v>
                </c:pt>
                <c:pt idx="21">
                  <c:v>14.1439</c:v>
                </c:pt>
                <c:pt idx="22">
                  <c:v>13.9793</c:v>
                </c:pt>
                <c:pt idx="23">
                  <c:v>13.8147</c:v>
                </c:pt>
                <c:pt idx="24">
                  <c:v>13.6503</c:v>
                </c:pt>
                <c:pt idx="25">
                  <c:v>13.486599999999999</c:v>
                </c:pt>
                <c:pt idx="26">
                  <c:v>13.322900000000001</c:v>
                </c:pt>
                <c:pt idx="27">
                  <c:v>13.1591</c:v>
                </c:pt>
                <c:pt idx="28">
                  <c:v>12.9954</c:v>
                </c:pt>
                <c:pt idx="29">
                  <c:v>12.842700000000001</c:v>
                </c:pt>
                <c:pt idx="30">
                  <c:v>12.6959</c:v>
                </c:pt>
                <c:pt idx="31">
                  <c:v>12.549099999999999</c:v>
                </c:pt>
                <c:pt idx="32">
                  <c:v>12.4023</c:v>
                </c:pt>
                <c:pt idx="33">
                  <c:v>12.255599999999999</c:v>
                </c:pt>
                <c:pt idx="34">
                  <c:v>12.1089</c:v>
                </c:pt>
                <c:pt idx="35">
                  <c:v>11.966799999999999</c:v>
                </c:pt>
                <c:pt idx="36">
                  <c:v>11.8248</c:v>
                </c:pt>
                <c:pt idx="37">
                  <c:v>11.682700000000001</c:v>
                </c:pt>
                <c:pt idx="38">
                  <c:v>11.540699999999999</c:v>
                </c:pt>
                <c:pt idx="39">
                  <c:v>11.3994</c:v>
                </c:pt>
                <c:pt idx="40">
                  <c:v>11.2621</c:v>
                </c:pt>
                <c:pt idx="41">
                  <c:v>11.1249</c:v>
                </c:pt>
                <c:pt idx="42">
                  <c:v>10.9877</c:v>
                </c:pt>
                <c:pt idx="43">
                  <c:v>10.8505</c:v>
                </c:pt>
                <c:pt idx="44">
                  <c:v>10.713200000000001</c:v>
                </c:pt>
                <c:pt idx="45">
                  <c:v>10.576000000000001</c:v>
                </c:pt>
                <c:pt idx="46">
                  <c:v>10.438800000000001</c:v>
                </c:pt>
                <c:pt idx="47">
                  <c:v>10.301500000000001</c:v>
                </c:pt>
                <c:pt idx="48">
                  <c:v>10.164300000000001</c:v>
                </c:pt>
                <c:pt idx="49">
                  <c:v>10.027100000000001</c:v>
                </c:pt>
                <c:pt idx="50">
                  <c:v>9.8942999999999994</c:v>
                </c:pt>
                <c:pt idx="51">
                  <c:v>9.7636000000000003</c:v>
                </c:pt>
                <c:pt idx="52">
                  <c:v>9.6328999999999994</c:v>
                </c:pt>
                <c:pt idx="53">
                  <c:v>9.5023</c:v>
                </c:pt>
                <c:pt idx="54">
                  <c:v>9.3716000000000008</c:v>
                </c:pt>
                <c:pt idx="55">
                  <c:v>9.2409999999999997</c:v>
                </c:pt>
                <c:pt idx="56">
                  <c:v>9.1157000000000004</c:v>
                </c:pt>
                <c:pt idx="57">
                  <c:v>8.9969000000000001</c:v>
                </c:pt>
                <c:pt idx="58">
                  <c:v>8.8781999999999996</c:v>
                </c:pt>
                <c:pt idx="59">
                  <c:v>8.7593999999999994</c:v>
                </c:pt>
                <c:pt idx="60">
                  <c:v>8.6407000000000007</c:v>
                </c:pt>
                <c:pt idx="61">
                  <c:v>8.5219000000000005</c:v>
                </c:pt>
                <c:pt idx="62">
                  <c:v>8.4032</c:v>
                </c:pt>
                <c:pt idx="63">
                  <c:v>8.2843999999999998</c:v>
                </c:pt>
                <c:pt idx="64">
                  <c:v>8.1666000000000007</c:v>
                </c:pt>
                <c:pt idx="65">
                  <c:v>8.0500000000000007</c:v>
                </c:pt>
                <c:pt idx="66">
                  <c:v>7.9333</c:v>
                </c:pt>
                <c:pt idx="67">
                  <c:v>7.8166000000000002</c:v>
                </c:pt>
                <c:pt idx="68">
                  <c:v>7.7</c:v>
                </c:pt>
                <c:pt idx="69">
                  <c:v>7.5833000000000004</c:v>
                </c:pt>
                <c:pt idx="70">
                  <c:v>7.4665999999999997</c:v>
                </c:pt>
                <c:pt idx="71">
                  <c:v>7.35</c:v>
                </c:pt>
                <c:pt idx="72">
                  <c:v>7.2332999999999998</c:v>
                </c:pt>
                <c:pt idx="73">
                  <c:v>7.1166</c:v>
                </c:pt>
                <c:pt idx="74">
                  <c:v>7.0045999999999999</c:v>
                </c:pt>
                <c:pt idx="75">
                  <c:v>6.9001000000000001</c:v>
                </c:pt>
                <c:pt idx="76">
                  <c:v>6.7956000000000003</c:v>
                </c:pt>
                <c:pt idx="77">
                  <c:v>6.6910999999999996</c:v>
                </c:pt>
                <c:pt idx="78">
                  <c:v>6.5867000000000004</c:v>
                </c:pt>
                <c:pt idx="79">
                  <c:v>6.4821999999999997</c:v>
                </c:pt>
                <c:pt idx="80">
                  <c:v>6.3813000000000004</c:v>
                </c:pt>
                <c:pt idx="81">
                  <c:v>6.2888000000000002</c:v>
                </c:pt>
                <c:pt idx="82">
                  <c:v>6.1962999999999999</c:v>
                </c:pt>
                <c:pt idx="83">
                  <c:v>6.1039000000000003</c:v>
                </c:pt>
                <c:pt idx="84">
                  <c:v>6.0114000000000001</c:v>
                </c:pt>
                <c:pt idx="85">
                  <c:v>5.9189999999999996</c:v>
                </c:pt>
                <c:pt idx="86">
                  <c:v>5.8265000000000002</c:v>
                </c:pt>
                <c:pt idx="87">
                  <c:v>5.734</c:v>
                </c:pt>
                <c:pt idx="88">
                  <c:v>5.6416000000000004</c:v>
                </c:pt>
                <c:pt idx="89">
                  <c:v>5.5491000000000001</c:v>
                </c:pt>
                <c:pt idx="90">
                  <c:v>5.4566999999999997</c:v>
                </c:pt>
                <c:pt idx="91">
                  <c:v>5.3642000000000003</c:v>
                </c:pt>
                <c:pt idx="92">
                  <c:v>5.2717000000000001</c:v>
                </c:pt>
                <c:pt idx="93">
                  <c:v>5.1779999999999999</c:v>
                </c:pt>
                <c:pt idx="94">
                  <c:v>5.0801999999999996</c:v>
                </c:pt>
                <c:pt idx="95">
                  <c:v>4.9824999999999999</c:v>
                </c:pt>
                <c:pt idx="96">
                  <c:v>4.8846999999999996</c:v>
                </c:pt>
                <c:pt idx="97">
                  <c:v>4.7869000000000002</c:v>
                </c:pt>
                <c:pt idx="98">
                  <c:v>4.6891999999999996</c:v>
                </c:pt>
                <c:pt idx="99">
                  <c:v>4.5914000000000001</c:v>
                </c:pt>
                <c:pt idx="100">
                  <c:v>4.4936999999999996</c:v>
                </c:pt>
                <c:pt idx="101">
                  <c:v>4.3959000000000001</c:v>
                </c:pt>
                <c:pt idx="102">
                  <c:v>4.3056999999999999</c:v>
                </c:pt>
                <c:pt idx="103">
                  <c:v>4.2172000000000001</c:v>
                </c:pt>
                <c:pt idx="104">
                  <c:v>4.1288</c:v>
                </c:pt>
                <c:pt idx="105">
                  <c:v>4.0404</c:v>
                </c:pt>
                <c:pt idx="106">
                  <c:v>3.9519000000000002</c:v>
                </c:pt>
                <c:pt idx="107">
                  <c:v>3.8635000000000002</c:v>
                </c:pt>
                <c:pt idx="108">
                  <c:v>3.7749999999999999</c:v>
                </c:pt>
                <c:pt idx="109">
                  <c:v>3.6865999999999999</c:v>
                </c:pt>
                <c:pt idx="110">
                  <c:v>3.5994000000000002</c:v>
                </c:pt>
                <c:pt idx="111">
                  <c:v>3.5152999999999999</c:v>
                </c:pt>
                <c:pt idx="112">
                  <c:v>3.4312</c:v>
                </c:pt>
                <c:pt idx="113">
                  <c:v>3.3471000000000002</c:v>
                </c:pt>
                <c:pt idx="114">
                  <c:v>3.2629999999999999</c:v>
                </c:pt>
                <c:pt idx="115">
                  <c:v>3.1789000000000001</c:v>
                </c:pt>
                <c:pt idx="116">
                  <c:v>3.0948000000000002</c:v>
                </c:pt>
                <c:pt idx="117">
                  <c:v>3.0106999999999999</c:v>
                </c:pt>
                <c:pt idx="118">
                  <c:v>2.9266000000000001</c:v>
                </c:pt>
                <c:pt idx="119">
                  <c:v>2.8424</c:v>
                </c:pt>
                <c:pt idx="120">
                  <c:v>2.6781999999999999</c:v>
                </c:pt>
                <c:pt idx="121">
                  <c:v>2.5966999999999998</c:v>
                </c:pt>
                <c:pt idx="122">
                  <c:v>2.5152000000000001</c:v>
                </c:pt>
                <c:pt idx="123">
                  <c:v>2.4337</c:v>
                </c:pt>
                <c:pt idx="124">
                  <c:v>2.7597</c:v>
                </c:pt>
                <c:pt idx="125">
                  <c:v>2.3521999999999998</c:v>
                </c:pt>
                <c:pt idx="126">
                  <c:v>2.2707000000000002</c:v>
                </c:pt>
                <c:pt idx="127">
                  <c:v>2.1974999999999998</c:v>
                </c:pt>
                <c:pt idx="128">
                  <c:v>2.1242999999999999</c:v>
                </c:pt>
                <c:pt idx="129">
                  <c:v>2.0512000000000001</c:v>
                </c:pt>
                <c:pt idx="130">
                  <c:v>1.978</c:v>
                </c:pt>
                <c:pt idx="131">
                  <c:v>1.8992</c:v>
                </c:pt>
                <c:pt idx="132">
                  <c:v>1.8197000000000001</c:v>
                </c:pt>
                <c:pt idx="133">
                  <c:v>1.7402</c:v>
                </c:pt>
                <c:pt idx="134">
                  <c:v>1.6607000000000001</c:v>
                </c:pt>
                <c:pt idx="135">
                  <c:v>1.5834999999999999</c:v>
                </c:pt>
                <c:pt idx="136">
                  <c:v>1.5086999999999999</c:v>
                </c:pt>
                <c:pt idx="137">
                  <c:v>1.4339999999999999</c:v>
                </c:pt>
                <c:pt idx="138">
                  <c:v>1.3593</c:v>
                </c:pt>
                <c:pt idx="139">
                  <c:v>1.2846</c:v>
                </c:pt>
                <c:pt idx="140">
                  <c:v>1.2098</c:v>
                </c:pt>
                <c:pt idx="141">
                  <c:v>1.1351</c:v>
                </c:pt>
                <c:pt idx="142">
                  <c:v>1.0609999999999999</c:v>
                </c:pt>
                <c:pt idx="143">
                  <c:v>0.98740000000000006</c:v>
                </c:pt>
                <c:pt idx="144">
                  <c:v>0.91379999999999995</c:v>
                </c:pt>
                <c:pt idx="145">
                  <c:v>0.84019999999999995</c:v>
                </c:pt>
                <c:pt idx="146">
                  <c:v>0.76659999999999995</c:v>
                </c:pt>
                <c:pt idx="147">
                  <c:v>0.69289999999999996</c:v>
                </c:pt>
                <c:pt idx="148">
                  <c:v>0.622</c:v>
                </c:pt>
                <c:pt idx="149">
                  <c:v>0.55489999999999995</c:v>
                </c:pt>
                <c:pt idx="150">
                  <c:v>0.48770000000000002</c:v>
                </c:pt>
                <c:pt idx="151">
                  <c:v>0.42049999999999998</c:v>
                </c:pt>
                <c:pt idx="152">
                  <c:v>0.35339999999999999</c:v>
                </c:pt>
                <c:pt idx="153">
                  <c:v>0.28620000000000001</c:v>
                </c:pt>
                <c:pt idx="154">
                  <c:v>0.21879999999999999</c:v>
                </c:pt>
                <c:pt idx="155">
                  <c:v>0.14910000000000001</c:v>
                </c:pt>
                <c:pt idx="156">
                  <c:v>7.9299999999999995E-2</c:v>
                </c:pt>
                <c:pt idx="157">
                  <c:v>9.5999999999999992E-3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06-4963-BE3F-69DE0CE4F69C}"/>
            </c:ext>
          </c:extLst>
        </c:ser>
        <c:ser>
          <c:idx val="5"/>
          <c:order val="5"/>
          <c:tx>
            <c:v>6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'X-KM'!$AO$2:$AO$180</c:f>
              <c:numCache>
                <c:formatCode>0.0</c:formatCode>
                <c:ptCount val="179"/>
                <c:pt idx="0">
                  <c:v>10.7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  <c:pt idx="90">
                  <c:v>101</c:v>
                </c:pt>
                <c:pt idx="91">
                  <c:v>102</c:v>
                </c:pt>
                <c:pt idx="92">
                  <c:v>103</c:v>
                </c:pt>
                <c:pt idx="93">
                  <c:v>104</c:v>
                </c:pt>
                <c:pt idx="94">
                  <c:v>105</c:v>
                </c:pt>
                <c:pt idx="95">
                  <c:v>106</c:v>
                </c:pt>
                <c:pt idx="96">
                  <c:v>107</c:v>
                </c:pt>
                <c:pt idx="97">
                  <c:v>108</c:v>
                </c:pt>
                <c:pt idx="98">
                  <c:v>109</c:v>
                </c:pt>
                <c:pt idx="99">
                  <c:v>110</c:v>
                </c:pt>
                <c:pt idx="100">
                  <c:v>111</c:v>
                </c:pt>
                <c:pt idx="101">
                  <c:v>112</c:v>
                </c:pt>
                <c:pt idx="102">
                  <c:v>113</c:v>
                </c:pt>
                <c:pt idx="103">
                  <c:v>114</c:v>
                </c:pt>
                <c:pt idx="104">
                  <c:v>115</c:v>
                </c:pt>
                <c:pt idx="105">
                  <c:v>116</c:v>
                </c:pt>
                <c:pt idx="106">
                  <c:v>117</c:v>
                </c:pt>
                <c:pt idx="107">
                  <c:v>118</c:v>
                </c:pt>
                <c:pt idx="108">
                  <c:v>119</c:v>
                </c:pt>
                <c:pt idx="109">
                  <c:v>120</c:v>
                </c:pt>
                <c:pt idx="110">
                  <c:v>121</c:v>
                </c:pt>
                <c:pt idx="111">
                  <c:v>122</c:v>
                </c:pt>
                <c:pt idx="112">
                  <c:v>123</c:v>
                </c:pt>
                <c:pt idx="113">
                  <c:v>124</c:v>
                </c:pt>
                <c:pt idx="114">
                  <c:v>125</c:v>
                </c:pt>
                <c:pt idx="115">
                  <c:v>126</c:v>
                </c:pt>
                <c:pt idx="116">
                  <c:v>127</c:v>
                </c:pt>
                <c:pt idx="117">
                  <c:v>128</c:v>
                </c:pt>
                <c:pt idx="118">
                  <c:v>129</c:v>
                </c:pt>
                <c:pt idx="119">
                  <c:v>130</c:v>
                </c:pt>
                <c:pt idx="120">
                  <c:v>131</c:v>
                </c:pt>
                <c:pt idx="121">
                  <c:v>132</c:v>
                </c:pt>
                <c:pt idx="122">
                  <c:v>133</c:v>
                </c:pt>
                <c:pt idx="123">
                  <c:v>134</c:v>
                </c:pt>
                <c:pt idx="124">
                  <c:v>135</c:v>
                </c:pt>
                <c:pt idx="125">
                  <c:v>136</c:v>
                </c:pt>
                <c:pt idx="126">
                  <c:v>137</c:v>
                </c:pt>
                <c:pt idx="127">
                  <c:v>138</c:v>
                </c:pt>
                <c:pt idx="128">
                  <c:v>139</c:v>
                </c:pt>
                <c:pt idx="129">
                  <c:v>140</c:v>
                </c:pt>
                <c:pt idx="130">
                  <c:v>141</c:v>
                </c:pt>
                <c:pt idx="131">
                  <c:v>142</c:v>
                </c:pt>
                <c:pt idx="132">
                  <c:v>143</c:v>
                </c:pt>
                <c:pt idx="133">
                  <c:v>144</c:v>
                </c:pt>
                <c:pt idx="134">
                  <c:v>145</c:v>
                </c:pt>
                <c:pt idx="135">
                  <c:v>146</c:v>
                </c:pt>
                <c:pt idx="136">
                  <c:v>147</c:v>
                </c:pt>
                <c:pt idx="137">
                  <c:v>148</c:v>
                </c:pt>
                <c:pt idx="138">
                  <c:v>149</c:v>
                </c:pt>
                <c:pt idx="139">
                  <c:v>150</c:v>
                </c:pt>
                <c:pt idx="140">
                  <c:v>151</c:v>
                </c:pt>
                <c:pt idx="141">
                  <c:v>152</c:v>
                </c:pt>
                <c:pt idx="142">
                  <c:v>153</c:v>
                </c:pt>
                <c:pt idx="143">
                  <c:v>154</c:v>
                </c:pt>
                <c:pt idx="144">
                  <c:v>155</c:v>
                </c:pt>
                <c:pt idx="145">
                  <c:v>156</c:v>
                </c:pt>
                <c:pt idx="146">
                  <c:v>157</c:v>
                </c:pt>
                <c:pt idx="147">
                  <c:v>158</c:v>
                </c:pt>
                <c:pt idx="148">
                  <c:v>159</c:v>
                </c:pt>
                <c:pt idx="149">
                  <c:v>160</c:v>
                </c:pt>
                <c:pt idx="150">
                  <c:v>161</c:v>
                </c:pt>
                <c:pt idx="151">
                  <c:v>162</c:v>
                </c:pt>
                <c:pt idx="152">
                  <c:v>163</c:v>
                </c:pt>
                <c:pt idx="153">
                  <c:v>164</c:v>
                </c:pt>
                <c:pt idx="154">
                  <c:v>165</c:v>
                </c:pt>
                <c:pt idx="155">
                  <c:v>166</c:v>
                </c:pt>
                <c:pt idx="156">
                  <c:v>167</c:v>
                </c:pt>
                <c:pt idx="157">
                  <c:v>168</c:v>
                </c:pt>
                <c:pt idx="158">
                  <c:v>169</c:v>
                </c:pt>
                <c:pt idx="159">
                  <c:v>170</c:v>
                </c:pt>
                <c:pt idx="160">
                  <c:v>171</c:v>
                </c:pt>
                <c:pt idx="161">
                  <c:v>172</c:v>
                </c:pt>
                <c:pt idx="162">
                  <c:v>173</c:v>
                </c:pt>
                <c:pt idx="163">
                  <c:v>174</c:v>
                </c:pt>
                <c:pt idx="164">
                  <c:v>175</c:v>
                </c:pt>
                <c:pt idx="165">
                  <c:v>176</c:v>
                </c:pt>
                <c:pt idx="166">
                  <c:v>177</c:v>
                </c:pt>
                <c:pt idx="167">
                  <c:v>178</c:v>
                </c:pt>
                <c:pt idx="168">
                  <c:v>179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183</c:v>
                </c:pt>
                <c:pt idx="173">
                  <c:v>184</c:v>
                </c:pt>
                <c:pt idx="174">
                  <c:v>185</c:v>
                </c:pt>
                <c:pt idx="175">
                  <c:v>186</c:v>
                </c:pt>
                <c:pt idx="176">
                  <c:v>187</c:v>
                </c:pt>
                <c:pt idx="177">
                  <c:v>188</c:v>
                </c:pt>
                <c:pt idx="178">
                  <c:v>188.9</c:v>
                </c:pt>
              </c:numCache>
            </c:numRef>
          </c:xVal>
          <c:yVal>
            <c:numRef>
              <c:f>'X-KM'!$AN$2:$AN$180</c:f>
              <c:numCache>
                <c:formatCode>0.0000</c:formatCode>
                <c:ptCount val="179"/>
                <c:pt idx="0">
                  <c:v>18</c:v>
                </c:pt>
                <c:pt idx="1">
                  <c:v>17.954899999999999</c:v>
                </c:pt>
                <c:pt idx="2">
                  <c:v>17.8049</c:v>
                </c:pt>
                <c:pt idx="3">
                  <c:v>17.654900000000001</c:v>
                </c:pt>
                <c:pt idx="4">
                  <c:v>17.504899999999999</c:v>
                </c:pt>
                <c:pt idx="5">
                  <c:v>17.354900000000001</c:v>
                </c:pt>
                <c:pt idx="6">
                  <c:v>17.213000000000001</c:v>
                </c:pt>
                <c:pt idx="7">
                  <c:v>17.074999999999999</c:v>
                </c:pt>
                <c:pt idx="8">
                  <c:v>16.937000000000001</c:v>
                </c:pt>
                <c:pt idx="9">
                  <c:v>16.798999999999999</c:v>
                </c:pt>
                <c:pt idx="10">
                  <c:v>16.661100000000001</c:v>
                </c:pt>
                <c:pt idx="11">
                  <c:v>16.523099999999999</c:v>
                </c:pt>
                <c:pt idx="12">
                  <c:v>16.385100000000001</c:v>
                </c:pt>
                <c:pt idx="13">
                  <c:v>16.2424</c:v>
                </c:pt>
                <c:pt idx="14">
                  <c:v>16.094799999999999</c:v>
                </c:pt>
                <c:pt idx="15">
                  <c:v>15.9473</c:v>
                </c:pt>
                <c:pt idx="16">
                  <c:v>15.7997</c:v>
                </c:pt>
                <c:pt idx="17">
                  <c:v>15.652200000000001</c:v>
                </c:pt>
                <c:pt idx="18">
                  <c:v>15.5047</c:v>
                </c:pt>
                <c:pt idx="19">
                  <c:v>15.363899999999999</c:v>
                </c:pt>
                <c:pt idx="20">
                  <c:v>15.2235</c:v>
                </c:pt>
                <c:pt idx="21">
                  <c:v>15.0831</c:v>
                </c:pt>
                <c:pt idx="22">
                  <c:v>14.9427</c:v>
                </c:pt>
                <c:pt idx="23">
                  <c:v>14.802199999999999</c:v>
                </c:pt>
                <c:pt idx="24">
                  <c:v>14.661799999999999</c:v>
                </c:pt>
                <c:pt idx="25">
                  <c:v>14.5229</c:v>
                </c:pt>
                <c:pt idx="26">
                  <c:v>14.385199999999999</c:v>
                </c:pt>
                <c:pt idx="27">
                  <c:v>14.247400000000001</c:v>
                </c:pt>
                <c:pt idx="28">
                  <c:v>14.1097</c:v>
                </c:pt>
                <c:pt idx="29">
                  <c:v>13.9719</c:v>
                </c:pt>
                <c:pt idx="30">
                  <c:v>13.8375</c:v>
                </c:pt>
                <c:pt idx="31">
                  <c:v>13.7042</c:v>
                </c:pt>
                <c:pt idx="32">
                  <c:v>13.5708</c:v>
                </c:pt>
                <c:pt idx="33">
                  <c:v>13.4375</c:v>
                </c:pt>
                <c:pt idx="34">
                  <c:v>13.3042</c:v>
                </c:pt>
                <c:pt idx="35">
                  <c:v>13.1708</c:v>
                </c:pt>
                <c:pt idx="36">
                  <c:v>13.0375</c:v>
                </c:pt>
                <c:pt idx="37">
                  <c:v>12.904199999999999</c:v>
                </c:pt>
                <c:pt idx="38">
                  <c:v>12.7768</c:v>
                </c:pt>
                <c:pt idx="39">
                  <c:v>12.650600000000001</c:v>
                </c:pt>
                <c:pt idx="40">
                  <c:v>12.5244</c:v>
                </c:pt>
                <c:pt idx="41">
                  <c:v>12.398199999999999</c:v>
                </c:pt>
                <c:pt idx="42">
                  <c:v>12.272</c:v>
                </c:pt>
                <c:pt idx="43">
                  <c:v>12.145799999999999</c:v>
                </c:pt>
                <c:pt idx="44">
                  <c:v>12.019600000000001</c:v>
                </c:pt>
                <c:pt idx="45">
                  <c:v>11.8934</c:v>
                </c:pt>
                <c:pt idx="46">
                  <c:v>11.769399999999999</c:v>
                </c:pt>
                <c:pt idx="47">
                  <c:v>11.6492</c:v>
                </c:pt>
                <c:pt idx="48">
                  <c:v>11.5291</c:v>
                </c:pt>
                <c:pt idx="49">
                  <c:v>11.409000000000001</c:v>
                </c:pt>
                <c:pt idx="50">
                  <c:v>11.2889</c:v>
                </c:pt>
                <c:pt idx="51">
                  <c:v>11.168699999999999</c:v>
                </c:pt>
                <c:pt idx="52">
                  <c:v>11.0486</c:v>
                </c:pt>
                <c:pt idx="53">
                  <c:v>10.929500000000001</c:v>
                </c:pt>
                <c:pt idx="54">
                  <c:v>10.8171</c:v>
                </c:pt>
                <c:pt idx="55">
                  <c:v>10.704700000000001</c:v>
                </c:pt>
                <c:pt idx="56">
                  <c:v>10.5923</c:v>
                </c:pt>
                <c:pt idx="57">
                  <c:v>10.479900000000001</c:v>
                </c:pt>
                <c:pt idx="58">
                  <c:v>10.367599999999999</c:v>
                </c:pt>
                <c:pt idx="59">
                  <c:v>10.2552</c:v>
                </c:pt>
                <c:pt idx="60">
                  <c:v>10.142799999999999</c:v>
                </c:pt>
                <c:pt idx="61">
                  <c:v>10.0304</c:v>
                </c:pt>
                <c:pt idx="62">
                  <c:v>9.9179999999999993</c:v>
                </c:pt>
                <c:pt idx="63">
                  <c:v>9.8056000000000001</c:v>
                </c:pt>
                <c:pt idx="64">
                  <c:v>9.6905999999999999</c:v>
                </c:pt>
                <c:pt idx="65">
                  <c:v>9.5752000000000006</c:v>
                </c:pt>
                <c:pt idx="66">
                  <c:v>9.4597999999999995</c:v>
                </c:pt>
                <c:pt idx="67">
                  <c:v>9.3445</c:v>
                </c:pt>
                <c:pt idx="68">
                  <c:v>9.2293000000000003</c:v>
                </c:pt>
                <c:pt idx="69">
                  <c:v>9.1158000000000001</c:v>
                </c:pt>
                <c:pt idx="70">
                  <c:v>9.0022000000000002</c:v>
                </c:pt>
                <c:pt idx="71">
                  <c:v>8.8886000000000003</c:v>
                </c:pt>
                <c:pt idx="72">
                  <c:v>8.7750000000000004</c:v>
                </c:pt>
                <c:pt idx="73">
                  <c:v>8.6614000000000004</c:v>
                </c:pt>
                <c:pt idx="74">
                  <c:v>8.5479000000000003</c:v>
                </c:pt>
                <c:pt idx="75">
                  <c:v>8.4343000000000004</c:v>
                </c:pt>
                <c:pt idx="76">
                  <c:v>8.3299000000000003</c:v>
                </c:pt>
                <c:pt idx="77">
                  <c:v>8.2279</c:v>
                </c:pt>
                <c:pt idx="78">
                  <c:v>8.1257999999999999</c:v>
                </c:pt>
                <c:pt idx="79">
                  <c:v>8.0237999999999996</c:v>
                </c:pt>
                <c:pt idx="80">
                  <c:v>7.9218000000000002</c:v>
                </c:pt>
                <c:pt idx="81">
                  <c:v>7.8197999999999999</c:v>
                </c:pt>
                <c:pt idx="82">
                  <c:v>7.7178000000000004</c:v>
                </c:pt>
                <c:pt idx="83">
                  <c:v>7.6157000000000004</c:v>
                </c:pt>
                <c:pt idx="84">
                  <c:v>7.5137</c:v>
                </c:pt>
                <c:pt idx="85">
                  <c:v>7.4080000000000004</c:v>
                </c:pt>
                <c:pt idx="86">
                  <c:v>7.3013000000000003</c:v>
                </c:pt>
                <c:pt idx="87">
                  <c:v>7.0880000000000001</c:v>
                </c:pt>
                <c:pt idx="88">
                  <c:v>6.9813000000000001</c:v>
                </c:pt>
                <c:pt idx="89">
                  <c:v>6.8746</c:v>
                </c:pt>
                <c:pt idx="90">
                  <c:v>6.7679999999999998</c:v>
                </c:pt>
                <c:pt idx="91">
                  <c:v>6.6612999999999998</c:v>
                </c:pt>
                <c:pt idx="92">
                  <c:v>6.5580999999999996</c:v>
                </c:pt>
                <c:pt idx="93">
                  <c:v>6.4569000000000001</c:v>
                </c:pt>
                <c:pt idx="94">
                  <c:v>6.3555999999999999</c:v>
                </c:pt>
                <c:pt idx="95">
                  <c:v>6.2544000000000004</c:v>
                </c:pt>
                <c:pt idx="96">
                  <c:v>6.1532</c:v>
                </c:pt>
                <c:pt idx="97">
                  <c:v>6.0519999999999996</c:v>
                </c:pt>
                <c:pt idx="98">
                  <c:v>5.9508000000000001</c:v>
                </c:pt>
                <c:pt idx="99">
                  <c:v>5.8509000000000002</c:v>
                </c:pt>
                <c:pt idx="100">
                  <c:v>5.7591999999999999</c:v>
                </c:pt>
                <c:pt idx="101">
                  <c:v>5.6675000000000004</c:v>
                </c:pt>
                <c:pt idx="102">
                  <c:v>5.5758000000000001</c:v>
                </c:pt>
                <c:pt idx="103">
                  <c:v>5.484</c:v>
                </c:pt>
                <c:pt idx="104">
                  <c:v>5.3922999999999996</c:v>
                </c:pt>
                <c:pt idx="105">
                  <c:v>5.3006000000000002</c:v>
                </c:pt>
                <c:pt idx="106">
                  <c:v>5.2088999999999999</c:v>
                </c:pt>
                <c:pt idx="107">
                  <c:v>5.1172000000000004</c:v>
                </c:pt>
                <c:pt idx="108">
                  <c:v>5.0347999999999997</c:v>
                </c:pt>
                <c:pt idx="109">
                  <c:v>4.9531000000000001</c:v>
                </c:pt>
                <c:pt idx="110">
                  <c:v>4.8715000000000002</c:v>
                </c:pt>
                <c:pt idx="111">
                  <c:v>4.7899000000000003</c:v>
                </c:pt>
                <c:pt idx="112">
                  <c:v>4.7081999999999997</c:v>
                </c:pt>
                <c:pt idx="113">
                  <c:v>4.6265999999999998</c:v>
                </c:pt>
                <c:pt idx="114">
                  <c:v>4.5449999999999999</c:v>
                </c:pt>
                <c:pt idx="115">
                  <c:v>4.4633000000000003</c:v>
                </c:pt>
                <c:pt idx="116">
                  <c:v>4.3815999999999997</c:v>
                </c:pt>
                <c:pt idx="117">
                  <c:v>4.2933000000000003</c:v>
                </c:pt>
                <c:pt idx="118">
                  <c:v>4.2050999999999998</c:v>
                </c:pt>
                <c:pt idx="119">
                  <c:v>4.1169000000000002</c:v>
                </c:pt>
                <c:pt idx="120">
                  <c:v>4.0286</c:v>
                </c:pt>
                <c:pt idx="121">
                  <c:v>3.9403999999999999</c:v>
                </c:pt>
                <c:pt idx="122">
                  <c:v>3.8521999999999998</c:v>
                </c:pt>
                <c:pt idx="123">
                  <c:v>3.7639</c:v>
                </c:pt>
                <c:pt idx="124">
                  <c:v>3.6781000000000001</c:v>
                </c:pt>
                <c:pt idx="125">
                  <c:v>3.5977999999999999</c:v>
                </c:pt>
                <c:pt idx="126">
                  <c:v>3.5175000000000001</c:v>
                </c:pt>
                <c:pt idx="127">
                  <c:v>3.4371999999999998</c:v>
                </c:pt>
                <c:pt idx="128">
                  <c:v>3.3570000000000002</c:v>
                </c:pt>
                <c:pt idx="129">
                  <c:v>3.2766999999999999</c:v>
                </c:pt>
                <c:pt idx="130">
                  <c:v>3.1964000000000001</c:v>
                </c:pt>
                <c:pt idx="131">
                  <c:v>3.1187</c:v>
                </c:pt>
                <c:pt idx="132">
                  <c:v>3.0415000000000001</c:v>
                </c:pt>
                <c:pt idx="133">
                  <c:v>2.9641999999999999</c:v>
                </c:pt>
                <c:pt idx="134">
                  <c:v>2.887</c:v>
                </c:pt>
                <c:pt idx="135">
                  <c:v>2.8098000000000001</c:v>
                </c:pt>
                <c:pt idx="136">
                  <c:v>2.7324999999999999</c:v>
                </c:pt>
                <c:pt idx="137">
                  <c:v>2.6553</c:v>
                </c:pt>
                <c:pt idx="138">
                  <c:v>2.5781000000000001</c:v>
                </c:pt>
                <c:pt idx="139">
                  <c:v>2.5007999999999999</c:v>
                </c:pt>
                <c:pt idx="140">
                  <c:v>2.4236</c:v>
                </c:pt>
                <c:pt idx="141">
                  <c:v>2.3462999999999998</c:v>
                </c:pt>
                <c:pt idx="142">
                  <c:v>2.2715000000000001</c:v>
                </c:pt>
                <c:pt idx="143">
                  <c:v>2.1977000000000002</c:v>
                </c:pt>
                <c:pt idx="144">
                  <c:v>2.1240000000000001</c:v>
                </c:pt>
                <c:pt idx="145">
                  <c:v>2.0501999999999998</c:v>
                </c:pt>
                <c:pt idx="146">
                  <c:v>1.9764999999999999</c:v>
                </c:pt>
                <c:pt idx="147">
                  <c:v>1.9027000000000001</c:v>
                </c:pt>
                <c:pt idx="148">
                  <c:v>1.829</c:v>
                </c:pt>
                <c:pt idx="149">
                  <c:v>1.7605999999999999</c:v>
                </c:pt>
                <c:pt idx="150">
                  <c:v>1.6996</c:v>
                </c:pt>
                <c:pt idx="151">
                  <c:v>1.6386000000000001</c:v>
                </c:pt>
                <c:pt idx="152">
                  <c:v>1.5777000000000001</c:v>
                </c:pt>
                <c:pt idx="153">
                  <c:v>1.5166999999999999</c:v>
                </c:pt>
                <c:pt idx="154">
                  <c:v>1.4557</c:v>
                </c:pt>
                <c:pt idx="155">
                  <c:v>1.3947000000000001</c:v>
                </c:pt>
                <c:pt idx="156">
                  <c:v>1.3338000000000001</c:v>
                </c:pt>
                <c:pt idx="157">
                  <c:v>1.2727999999999999</c:v>
                </c:pt>
                <c:pt idx="158">
                  <c:v>1.2113</c:v>
                </c:pt>
                <c:pt idx="159">
                  <c:v>1.1454</c:v>
                </c:pt>
                <c:pt idx="160">
                  <c:v>1.0794999999999999</c:v>
                </c:pt>
                <c:pt idx="161">
                  <c:v>1.0135000000000001</c:v>
                </c:pt>
                <c:pt idx="162">
                  <c:v>0.9476</c:v>
                </c:pt>
                <c:pt idx="163">
                  <c:v>0.88170000000000004</c:v>
                </c:pt>
                <c:pt idx="164">
                  <c:v>0.81579999999999997</c:v>
                </c:pt>
                <c:pt idx="165">
                  <c:v>0.74990000000000001</c:v>
                </c:pt>
                <c:pt idx="166">
                  <c:v>0.68400000000000005</c:v>
                </c:pt>
                <c:pt idx="167">
                  <c:v>0.61809999999999998</c:v>
                </c:pt>
                <c:pt idx="168">
                  <c:v>0.55369999999999997</c:v>
                </c:pt>
                <c:pt idx="169">
                  <c:v>0.50009999999999999</c:v>
                </c:pt>
                <c:pt idx="170">
                  <c:v>0.44640000000000002</c:v>
                </c:pt>
                <c:pt idx="171">
                  <c:v>0.39279999999999998</c:v>
                </c:pt>
                <c:pt idx="172">
                  <c:v>0.3362</c:v>
                </c:pt>
                <c:pt idx="173">
                  <c:v>0.27960000000000002</c:v>
                </c:pt>
                <c:pt idx="174">
                  <c:v>0.223</c:v>
                </c:pt>
                <c:pt idx="175">
                  <c:v>0.16639999999999999</c:v>
                </c:pt>
                <c:pt idx="176">
                  <c:v>0.10979999999999999</c:v>
                </c:pt>
                <c:pt idx="177">
                  <c:v>5.3199999999999997E-2</c:v>
                </c:pt>
                <c:pt idx="17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406-4963-BE3F-69DE0CE4F69C}"/>
            </c:ext>
          </c:extLst>
        </c:ser>
        <c:ser>
          <c:idx val="6"/>
          <c:order val="6"/>
          <c:tx>
            <c:v>7</c:v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'X-KM'!$AV$2:$AV$198</c:f>
              <c:numCache>
                <c:formatCode>0.0</c:formatCode>
                <c:ptCount val="197"/>
                <c:pt idx="0">
                  <c:v>15.3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  <c:pt idx="106">
                  <c:v>121</c:v>
                </c:pt>
                <c:pt idx="107">
                  <c:v>122</c:v>
                </c:pt>
                <c:pt idx="108">
                  <c:v>123</c:v>
                </c:pt>
                <c:pt idx="109">
                  <c:v>124</c:v>
                </c:pt>
                <c:pt idx="110">
                  <c:v>125</c:v>
                </c:pt>
                <c:pt idx="111">
                  <c:v>126</c:v>
                </c:pt>
                <c:pt idx="112">
                  <c:v>127</c:v>
                </c:pt>
                <c:pt idx="113">
                  <c:v>128</c:v>
                </c:pt>
                <c:pt idx="114">
                  <c:v>129</c:v>
                </c:pt>
                <c:pt idx="115">
                  <c:v>130</c:v>
                </c:pt>
                <c:pt idx="116">
                  <c:v>131</c:v>
                </c:pt>
                <c:pt idx="117">
                  <c:v>132</c:v>
                </c:pt>
                <c:pt idx="118">
                  <c:v>133</c:v>
                </c:pt>
                <c:pt idx="119">
                  <c:v>134</c:v>
                </c:pt>
                <c:pt idx="120">
                  <c:v>135</c:v>
                </c:pt>
                <c:pt idx="121">
                  <c:v>136</c:v>
                </c:pt>
                <c:pt idx="122">
                  <c:v>137</c:v>
                </c:pt>
                <c:pt idx="123">
                  <c:v>138</c:v>
                </c:pt>
                <c:pt idx="124">
                  <c:v>139</c:v>
                </c:pt>
                <c:pt idx="125">
                  <c:v>140</c:v>
                </c:pt>
                <c:pt idx="126">
                  <c:v>141</c:v>
                </c:pt>
                <c:pt idx="127">
                  <c:v>142</c:v>
                </c:pt>
                <c:pt idx="128">
                  <c:v>143</c:v>
                </c:pt>
                <c:pt idx="129">
                  <c:v>144</c:v>
                </c:pt>
                <c:pt idx="130">
                  <c:v>145</c:v>
                </c:pt>
                <c:pt idx="131">
                  <c:v>146</c:v>
                </c:pt>
                <c:pt idx="132">
                  <c:v>147</c:v>
                </c:pt>
                <c:pt idx="133">
                  <c:v>148</c:v>
                </c:pt>
                <c:pt idx="134">
                  <c:v>149</c:v>
                </c:pt>
                <c:pt idx="135">
                  <c:v>150</c:v>
                </c:pt>
                <c:pt idx="136">
                  <c:v>151</c:v>
                </c:pt>
                <c:pt idx="137">
                  <c:v>152</c:v>
                </c:pt>
                <c:pt idx="138">
                  <c:v>153</c:v>
                </c:pt>
                <c:pt idx="139">
                  <c:v>154</c:v>
                </c:pt>
                <c:pt idx="140">
                  <c:v>155</c:v>
                </c:pt>
                <c:pt idx="141">
                  <c:v>156</c:v>
                </c:pt>
                <c:pt idx="142">
                  <c:v>157</c:v>
                </c:pt>
                <c:pt idx="143">
                  <c:v>158</c:v>
                </c:pt>
                <c:pt idx="144">
                  <c:v>159</c:v>
                </c:pt>
                <c:pt idx="145">
                  <c:v>160</c:v>
                </c:pt>
                <c:pt idx="146">
                  <c:v>161</c:v>
                </c:pt>
                <c:pt idx="147">
                  <c:v>162</c:v>
                </c:pt>
                <c:pt idx="148">
                  <c:v>163</c:v>
                </c:pt>
                <c:pt idx="149">
                  <c:v>164</c:v>
                </c:pt>
                <c:pt idx="150">
                  <c:v>165</c:v>
                </c:pt>
                <c:pt idx="151">
                  <c:v>166</c:v>
                </c:pt>
                <c:pt idx="152">
                  <c:v>167</c:v>
                </c:pt>
                <c:pt idx="153">
                  <c:v>168</c:v>
                </c:pt>
                <c:pt idx="154">
                  <c:v>169</c:v>
                </c:pt>
                <c:pt idx="155">
                  <c:v>170</c:v>
                </c:pt>
                <c:pt idx="156">
                  <c:v>171</c:v>
                </c:pt>
                <c:pt idx="157">
                  <c:v>172</c:v>
                </c:pt>
                <c:pt idx="158">
                  <c:v>173</c:v>
                </c:pt>
                <c:pt idx="159">
                  <c:v>174</c:v>
                </c:pt>
                <c:pt idx="160">
                  <c:v>175</c:v>
                </c:pt>
                <c:pt idx="161">
                  <c:v>176</c:v>
                </c:pt>
                <c:pt idx="162">
                  <c:v>177</c:v>
                </c:pt>
                <c:pt idx="163">
                  <c:v>178</c:v>
                </c:pt>
                <c:pt idx="164">
                  <c:v>179</c:v>
                </c:pt>
                <c:pt idx="165">
                  <c:v>180</c:v>
                </c:pt>
                <c:pt idx="166">
                  <c:v>181</c:v>
                </c:pt>
                <c:pt idx="167">
                  <c:v>182</c:v>
                </c:pt>
                <c:pt idx="168">
                  <c:v>183</c:v>
                </c:pt>
                <c:pt idx="169">
                  <c:v>184</c:v>
                </c:pt>
                <c:pt idx="170">
                  <c:v>185</c:v>
                </c:pt>
                <c:pt idx="171">
                  <c:v>186</c:v>
                </c:pt>
                <c:pt idx="172">
                  <c:v>187</c:v>
                </c:pt>
                <c:pt idx="173">
                  <c:v>188</c:v>
                </c:pt>
                <c:pt idx="174">
                  <c:v>189</c:v>
                </c:pt>
                <c:pt idx="175">
                  <c:v>190</c:v>
                </c:pt>
                <c:pt idx="176">
                  <c:v>191</c:v>
                </c:pt>
                <c:pt idx="177">
                  <c:v>192</c:v>
                </c:pt>
                <c:pt idx="178">
                  <c:v>193</c:v>
                </c:pt>
                <c:pt idx="179">
                  <c:v>194</c:v>
                </c:pt>
                <c:pt idx="180">
                  <c:v>195</c:v>
                </c:pt>
                <c:pt idx="181">
                  <c:v>196</c:v>
                </c:pt>
                <c:pt idx="182">
                  <c:v>197</c:v>
                </c:pt>
                <c:pt idx="183">
                  <c:v>198</c:v>
                </c:pt>
                <c:pt idx="184">
                  <c:v>199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203</c:v>
                </c:pt>
                <c:pt idx="189">
                  <c:v>204</c:v>
                </c:pt>
                <c:pt idx="190">
                  <c:v>205</c:v>
                </c:pt>
                <c:pt idx="191">
                  <c:v>206</c:v>
                </c:pt>
                <c:pt idx="192">
                  <c:v>207</c:v>
                </c:pt>
                <c:pt idx="193">
                  <c:v>208</c:v>
                </c:pt>
                <c:pt idx="194">
                  <c:v>209</c:v>
                </c:pt>
                <c:pt idx="195">
                  <c:v>210</c:v>
                </c:pt>
                <c:pt idx="196">
                  <c:v>210.1</c:v>
                </c:pt>
              </c:numCache>
            </c:numRef>
          </c:xVal>
          <c:yVal>
            <c:numRef>
              <c:f>'X-KM'!$AU$2:$AU$198</c:f>
              <c:numCache>
                <c:formatCode>0.0000</c:formatCode>
                <c:ptCount val="197"/>
                <c:pt idx="0">
                  <c:v>18</c:v>
                </c:pt>
                <c:pt idx="1">
                  <c:v>17.925999999999998</c:v>
                </c:pt>
                <c:pt idx="2">
                  <c:v>17.819099999999999</c:v>
                </c:pt>
                <c:pt idx="3">
                  <c:v>17.712199999999999</c:v>
                </c:pt>
                <c:pt idx="4">
                  <c:v>17.6053</c:v>
                </c:pt>
                <c:pt idx="5">
                  <c:v>17.4984</c:v>
                </c:pt>
                <c:pt idx="6">
                  <c:v>17.3916</c:v>
                </c:pt>
                <c:pt idx="7">
                  <c:v>17.284700000000001</c:v>
                </c:pt>
                <c:pt idx="8">
                  <c:v>17.176500000000001</c:v>
                </c:pt>
                <c:pt idx="9">
                  <c:v>17.059000000000001</c:v>
                </c:pt>
                <c:pt idx="10">
                  <c:v>16.941500000000001</c:v>
                </c:pt>
                <c:pt idx="11">
                  <c:v>16.824000000000002</c:v>
                </c:pt>
                <c:pt idx="12">
                  <c:v>16.706399999999999</c:v>
                </c:pt>
                <c:pt idx="13">
                  <c:v>16.588899999999999</c:v>
                </c:pt>
                <c:pt idx="14">
                  <c:v>16.471399999999999</c:v>
                </c:pt>
                <c:pt idx="15">
                  <c:v>16.349900000000002</c:v>
                </c:pt>
                <c:pt idx="16">
                  <c:v>16.222899999999999</c:v>
                </c:pt>
                <c:pt idx="17">
                  <c:v>16.0959</c:v>
                </c:pt>
                <c:pt idx="18">
                  <c:v>15.968999999999999</c:v>
                </c:pt>
                <c:pt idx="19">
                  <c:v>15.842000000000001</c:v>
                </c:pt>
                <c:pt idx="20">
                  <c:v>15.715</c:v>
                </c:pt>
                <c:pt idx="21">
                  <c:v>15.587999999999999</c:v>
                </c:pt>
                <c:pt idx="22">
                  <c:v>15.4611</c:v>
                </c:pt>
                <c:pt idx="23">
                  <c:v>15.335800000000001</c:v>
                </c:pt>
                <c:pt idx="24">
                  <c:v>15.2148</c:v>
                </c:pt>
                <c:pt idx="25">
                  <c:v>15.0939</c:v>
                </c:pt>
                <c:pt idx="26">
                  <c:v>14.972899999999999</c:v>
                </c:pt>
                <c:pt idx="27">
                  <c:v>14.851900000000001</c:v>
                </c:pt>
                <c:pt idx="28">
                  <c:v>14.7309</c:v>
                </c:pt>
                <c:pt idx="29">
                  <c:v>14.61</c:v>
                </c:pt>
                <c:pt idx="30">
                  <c:v>14.489000000000001</c:v>
                </c:pt>
                <c:pt idx="31">
                  <c:v>14.3642</c:v>
                </c:pt>
                <c:pt idx="32">
                  <c:v>14.2362</c:v>
                </c:pt>
                <c:pt idx="33">
                  <c:v>14.1081</c:v>
                </c:pt>
                <c:pt idx="34">
                  <c:v>13.98</c:v>
                </c:pt>
                <c:pt idx="35">
                  <c:v>13.851900000000001</c:v>
                </c:pt>
                <c:pt idx="36">
                  <c:v>13.723800000000001</c:v>
                </c:pt>
                <c:pt idx="37">
                  <c:v>13.595800000000001</c:v>
                </c:pt>
                <c:pt idx="38">
                  <c:v>13.467700000000001</c:v>
                </c:pt>
                <c:pt idx="39">
                  <c:v>13.351699999999999</c:v>
                </c:pt>
                <c:pt idx="40">
                  <c:v>13.2379</c:v>
                </c:pt>
                <c:pt idx="41">
                  <c:v>13.1241</c:v>
                </c:pt>
                <c:pt idx="42">
                  <c:v>13.010300000000001</c:v>
                </c:pt>
                <c:pt idx="43">
                  <c:v>12.8965</c:v>
                </c:pt>
                <c:pt idx="44">
                  <c:v>12.7827</c:v>
                </c:pt>
                <c:pt idx="45">
                  <c:v>12.668900000000001</c:v>
                </c:pt>
                <c:pt idx="46">
                  <c:v>12.566700000000001</c:v>
                </c:pt>
                <c:pt idx="47">
                  <c:v>12.464499999999999</c:v>
                </c:pt>
                <c:pt idx="48">
                  <c:v>12.362299999999999</c:v>
                </c:pt>
                <c:pt idx="49">
                  <c:v>12.2601</c:v>
                </c:pt>
                <c:pt idx="50">
                  <c:v>12.1579</c:v>
                </c:pt>
                <c:pt idx="51">
                  <c:v>12.0557</c:v>
                </c:pt>
                <c:pt idx="52">
                  <c:v>11.9535</c:v>
                </c:pt>
                <c:pt idx="53">
                  <c:v>11.8513</c:v>
                </c:pt>
                <c:pt idx="54">
                  <c:v>11.7491</c:v>
                </c:pt>
                <c:pt idx="55">
                  <c:v>11.6469</c:v>
                </c:pt>
                <c:pt idx="56">
                  <c:v>11.544700000000001</c:v>
                </c:pt>
                <c:pt idx="57">
                  <c:v>11.442500000000001</c:v>
                </c:pt>
                <c:pt idx="58">
                  <c:v>11.344799999999999</c:v>
                </c:pt>
                <c:pt idx="59">
                  <c:v>11.2475</c:v>
                </c:pt>
                <c:pt idx="60">
                  <c:v>11.1501</c:v>
                </c:pt>
                <c:pt idx="61">
                  <c:v>11.0527</c:v>
                </c:pt>
                <c:pt idx="62">
                  <c:v>10.955399999999999</c:v>
                </c:pt>
                <c:pt idx="63">
                  <c:v>10.858000000000001</c:v>
                </c:pt>
                <c:pt idx="64">
                  <c:v>10.7606</c:v>
                </c:pt>
                <c:pt idx="65">
                  <c:v>10.6633</c:v>
                </c:pt>
                <c:pt idx="66">
                  <c:v>10.565899999999999</c:v>
                </c:pt>
                <c:pt idx="67">
                  <c:v>10.468500000000001</c:v>
                </c:pt>
                <c:pt idx="68">
                  <c:v>10.375299999999999</c:v>
                </c:pt>
                <c:pt idx="69">
                  <c:v>10.2828</c:v>
                </c:pt>
                <c:pt idx="70">
                  <c:v>10.190300000000001</c:v>
                </c:pt>
                <c:pt idx="71">
                  <c:v>10.0977</c:v>
                </c:pt>
                <c:pt idx="72">
                  <c:v>10.0052</c:v>
                </c:pt>
                <c:pt idx="73">
                  <c:v>9.9126999999999992</c:v>
                </c:pt>
                <c:pt idx="74">
                  <c:v>9.8201000000000001</c:v>
                </c:pt>
                <c:pt idx="75">
                  <c:v>9.7276000000000007</c:v>
                </c:pt>
                <c:pt idx="76">
                  <c:v>9.6349999999999998</c:v>
                </c:pt>
                <c:pt idx="77">
                  <c:v>9.5425000000000004</c:v>
                </c:pt>
                <c:pt idx="78">
                  <c:v>9.4505999999999997</c:v>
                </c:pt>
                <c:pt idx="79">
                  <c:v>9.3589000000000002</c:v>
                </c:pt>
                <c:pt idx="80">
                  <c:v>9.2670999999999992</c:v>
                </c:pt>
                <c:pt idx="81">
                  <c:v>9.1753999999999998</c:v>
                </c:pt>
                <c:pt idx="82">
                  <c:v>9.0837000000000003</c:v>
                </c:pt>
                <c:pt idx="83">
                  <c:v>8.9920000000000009</c:v>
                </c:pt>
                <c:pt idx="84">
                  <c:v>8.9002999999999997</c:v>
                </c:pt>
                <c:pt idx="85">
                  <c:v>8.8080999999999996</c:v>
                </c:pt>
                <c:pt idx="86">
                  <c:v>8.7158999999999995</c:v>
                </c:pt>
                <c:pt idx="87">
                  <c:v>8.6236999999999995</c:v>
                </c:pt>
                <c:pt idx="88">
                  <c:v>8.5314999999999994</c:v>
                </c:pt>
                <c:pt idx="89">
                  <c:v>8.4391999999999996</c:v>
                </c:pt>
                <c:pt idx="90">
                  <c:v>8.3469999999999995</c:v>
                </c:pt>
                <c:pt idx="91">
                  <c:v>8.2547999999999995</c:v>
                </c:pt>
                <c:pt idx="92">
                  <c:v>8.1625999999999994</c:v>
                </c:pt>
                <c:pt idx="93">
                  <c:v>8.0702999999999996</c:v>
                </c:pt>
                <c:pt idx="94">
                  <c:v>7.9781000000000004</c:v>
                </c:pt>
                <c:pt idx="95">
                  <c:v>7.8859000000000004</c:v>
                </c:pt>
                <c:pt idx="96">
                  <c:v>7.7937000000000003</c:v>
                </c:pt>
                <c:pt idx="97">
                  <c:v>7.7013999999999996</c:v>
                </c:pt>
                <c:pt idx="98">
                  <c:v>7.6092000000000004</c:v>
                </c:pt>
                <c:pt idx="99">
                  <c:v>7.5189000000000004</c:v>
                </c:pt>
                <c:pt idx="100">
                  <c:v>7.4292999999999996</c:v>
                </c:pt>
                <c:pt idx="101">
                  <c:v>7.3395999999999999</c:v>
                </c:pt>
                <c:pt idx="102">
                  <c:v>7.2499000000000002</c:v>
                </c:pt>
                <c:pt idx="103">
                  <c:v>7.1603000000000003</c:v>
                </c:pt>
                <c:pt idx="104">
                  <c:v>7.0705999999999998</c:v>
                </c:pt>
                <c:pt idx="105">
                  <c:v>6.9809000000000001</c:v>
                </c:pt>
                <c:pt idx="106">
                  <c:v>6.8913000000000002</c:v>
                </c:pt>
                <c:pt idx="107">
                  <c:v>6.8015999999999996</c:v>
                </c:pt>
                <c:pt idx="108">
                  <c:v>6.7119</c:v>
                </c:pt>
                <c:pt idx="109">
                  <c:v>6.6223000000000001</c:v>
                </c:pt>
                <c:pt idx="110">
                  <c:v>6.5319000000000003</c:v>
                </c:pt>
                <c:pt idx="111">
                  <c:v>6.4404000000000003</c:v>
                </c:pt>
                <c:pt idx="112">
                  <c:v>6.3490000000000002</c:v>
                </c:pt>
                <c:pt idx="113">
                  <c:v>6.2576000000000001</c:v>
                </c:pt>
                <c:pt idx="114">
                  <c:v>6.1661999999999999</c:v>
                </c:pt>
                <c:pt idx="115">
                  <c:v>6.0747</c:v>
                </c:pt>
                <c:pt idx="116">
                  <c:v>5.9832999999999998</c:v>
                </c:pt>
                <c:pt idx="117">
                  <c:v>5.8918999999999997</c:v>
                </c:pt>
                <c:pt idx="118">
                  <c:v>5.8003999999999998</c:v>
                </c:pt>
                <c:pt idx="119">
                  <c:v>5.7089999999999996</c:v>
                </c:pt>
                <c:pt idx="120">
                  <c:v>5.6176000000000004</c:v>
                </c:pt>
                <c:pt idx="121">
                  <c:v>5.5294999999999996</c:v>
                </c:pt>
                <c:pt idx="122">
                  <c:v>5.4421999999999997</c:v>
                </c:pt>
                <c:pt idx="123">
                  <c:v>5.3548999999999998</c:v>
                </c:pt>
                <c:pt idx="124">
                  <c:v>5.2675999999999998</c:v>
                </c:pt>
                <c:pt idx="125">
                  <c:v>5.1802999999999999</c:v>
                </c:pt>
                <c:pt idx="126">
                  <c:v>5.093</c:v>
                </c:pt>
                <c:pt idx="127">
                  <c:v>5.0057</c:v>
                </c:pt>
                <c:pt idx="128">
                  <c:v>4.9218000000000002</c:v>
                </c:pt>
                <c:pt idx="129">
                  <c:v>4.8438999999999997</c:v>
                </c:pt>
                <c:pt idx="130">
                  <c:v>4.766</c:v>
                </c:pt>
                <c:pt idx="131">
                  <c:v>4.6881000000000004</c:v>
                </c:pt>
                <c:pt idx="132">
                  <c:v>4.6101999999999999</c:v>
                </c:pt>
                <c:pt idx="133">
                  <c:v>4.5323000000000002</c:v>
                </c:pt>
                <c:pt idx="134">
                  <c:v>4.4543999999999997</c:v>
                </c:pt>
                <c:pt idx="135">
                  <c:v>4.3765000000000001</c:v>
                </c:pt>
                <c:pt idx="136">
                  <c:v>4.2986000000000004</c:v>
                </c:pt>
                <c:pt idx="137">
                  <c:v>4.2206999999999999</c:v>
                </c:pt>
                <c:pt idx="138">
                  <c:v>4.1428000000000003</c:v>
                </c:pt>
                <c:pt idx="139">
                  <c:v>4.0648999999999997</c:v>
                </c:pt>
                <c:pt idx="140">
                  <c:v>3.9870000000000001</c:v>
                </c:pt>
                <c:pt idx="141">
                  <c:v>3.9091</c:v>
                </c:pt>
                <c:pt idx="142">
                  <c:v>3.8311999999999999</c:v>
                </c:pt>
                <c:pt idx="143">
                  <c:v>3.7534999999999998</c:v>
                </c:pt>
                <c:pt idx="144">
                  <c:v>3.6757</c:v>
                </c:pt>
                <c:pt idx="145">
                  <c:v>3.5979000000000001</c:v>
                </c:pt>
                <c:pt idx="146">
                  <c:v>3.5200999999999998</c:v>
                </c:pt>
                <c:pt idx="147">
                  <c:v>3.4424000000000001</c:v>
                </c:pt>
                <c:pt idx="148">
                  <c:v>3.3645999999999998</c:v>
                </c:pt>
                <c:pt idx="149">
                  <c:v>3.2881999999999998</c:v>
                </c:pt>
                <c:pt idx="150">
                  <c:v>3.2121</c:v>
                </c:pt>
                <c:pt idx="151">
                  <c:v>3.1358999999999999</c:v>
                </c:pt>
                <c:pt idx="152">
                  <c:v>3.0598000000000001</c:v>
                </c:pt>
                <c:pt idx="153">
                  <c:v>2.9836</c:v>
                </c:pt>
                <c:pt idx="154">
                  <c:v>2.9075000000000002</c:v>
                </c:pt>
                <c:pt idx="155">
                  <c:v>2.8313000000000001</c:v>
                </c:pt>
                <c:pt idx="156">
                  <c:v>2.7551999999999999</c:v>
                </c:pt>
                <c:pt idx="157">
                  <c:v>2.6789999999999998</c:v>
                </c:pt>
                <c:pt idx="158">
                  <c:v>2.6029</c:v>
                </c:pt>
                <c:pt idx="159">
                  <c:v>2.5287000000000002</c:v>
                </c:pt>
                <c:pt idx="160">
                  <c:v>2.4561000000000002</c:v>
                </c:pt>
                <c:pt idx="161">
                  <c:v>2.3835000000000002</c:v>
                </c:pt>
                <c:pt idx="162">
                  <c:v>2.3109000000000002</c:v>
                </c:pt>
                <c:pt idx="163">
                  <c:v>2.2383000000000002</c:v>
                </c:pt>
                <c:pt idx="164">
                  <c:v>2.1657000000000002</c:v>
                </c:pt>
                <c:pt idx="165">
                  <c:v>2.0931000000000002</c:v>
                </c:pt>
                <c:pt idx="166">
                  <c:v>2.0205000000000002</c:v>
                </c:pt>
                <c:pt idx="167">
                  <c:v>1.9479</c:v>
                </c:pt>
                <c:pt idx="168">
                  <c:v>1.8727</c:v>
                </c:pt>
                <c:pt idx="169">
                  <c:v>1.7962</c:v>
                </c:pt>
                <c:pt idx="170">
                  <c:v>1.7198</c:v>
                </c:pt>
                <c:pt idx="171">
                  <c:v>1.6433</c:v>
                </c:pt>
                <c:pt idx="172">
                  <c:v>1.5669</c:v>
                </c:pt>
                <c:pt idx="173">
                  <c:v>1.4903999999999999</c:v>
                </c:pt>
                <c:pt idx="174">
                  <c:v>1.4152</c:v>
                </c:pt>
                <c:pt idx="175">
                  <c:v>1.3483000000000001</c:v>
                </c:pt>
                <c:pt idx="176">
                  <c:v>1.2815000000000001</c:v>
                </c:pt>
                <c:pt idx="177">
                  <c:v>1.2145999999999999</c:v>
                </c:pt>
                <c:pt idx="178">
                  <c:v>1.1476999999999999</c:v>
                </c:pt>
                <c:pt idx="179">
                  <c:v>1.0809</c:v>
                </c:pt>
                <c:pt idx="180">
                  <c:v>1.0143</c:v>
                </c:pt>
                <c:pt idx="181">
                  <c:v>0.94789999999999996</c:v>
                </c:pt>
                <c:pt idx="182">
                  <c:v>0.88139999999999996</c:v>
                </c:pt>
                <c:pt idx="183">
                  <c:v>0.81489999999999996</c:v>
                </c:pt>
                <c:pt idx="184">
                  <c:v>0.74839999999999995</c:v>
                </c:pt>
                <c:pt idx="185">
                  <c:v>0.68159999999999998</c:v>
                </c:pt>
                <c:pt idx="186">
                  <c:v>0.61419999999999997</c:v>
                </c:pt>
                <c:pt idx="187">
                  <c:v>0.54690000000000005</c:v>
                </c:pt>
                <c:pt idx="188">
                  <c:v>0.47949999999999998</c:v>
                </c:pt>
                <c:pt idx="189">
                  <c:v>0.41210000000000002</c:v>
                </c:pt>
                <c:pt idx="190">
                  <c:v>0.3448</c:v>
                </c:pt>
                <c:pt idx="191">
                  <c:v>0.27739999999999998</c:v>
                </c:pt>
                <c:pt idx="192">
                  <c:v>0.21</c:v>
                </c:pt>
                <c:pt idx="193">
                  <c:v>0.14169999999999999</c:v>
                </c:pt>
                <c:pt idx="194">
                  <c:v>7.3300000000000004E-2</c:v>
                </c:pt>
                <c:pt idx="195">
                  <c:v>4.8999999999999998E-3</c:v>
                </c:pt>
                <c:pt idx="19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406-4963-BE3F-69DE0CE4F69C}"/>
            </c:ext>
          </c:extLst>
        </c:ser>
        <c:ser>
          <c:idx val="7"/>
          <c:order val="7"/>
          <c:tx>
            <c:v>8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'X-KM'!$BC$2:$BC$208</c:f>
              <c:numCache>
                <c:formatCode>0.0</c:formatCode>
                <c:ptCount val="20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</c:v>
                </c:pt>
                <c:pt idx="108">
                  <c:v>129</c:v>
                </c:pt>
                <c:pt idx="109">
                  <c:v>130</c:v>
                </c:pt>
                <c:pt idx="110">
                  <c:v>131</c:v>
                </c:pt>
                <c:pt idx="111">
                  <c:v>132</c:v>
                </c:pt>
                <c:pt idx="112">
                  <c:v>133</c:v>
                </c:pt>
                <c:pt idx="113">
                  <c:v>134</c:v>
                </c:pt>
                <c:pt idx="114">
                  <c:v>135</c:v>
                </c:pt>
                <c:pt idx="115">
                  <c:v>136</c:v>
                </c:pt>
                <c:pt idx="116">
                  <c:v>137</c:v>
                </c:pt>
                <c:pt idx="117">
                  <c:v>138</c:v>
                </c:pt>
                <c:pt idx="118">
                  <c:v>139</c:v>
                </c:pt>
                <c:pt idx="119">
                  <c:v>140</c:v>
                </c:pt>
                <c:pt idx="120">
                  <c:v>141</c:v>
                </c:pt>
                <c:pt idx="121">
                  <c:v>142</c:v>
                </c:pt>
                <c:pt idx="122">
                  <c:v>143</c:v>
                </c:pt>
                <c:pt idx="123">
                  <c:v>144</c:v>
                </c:pt>
                <c:pt idx="124">
                  <c:v>145</c:v>
                </c:pt>
                <c:pt idx="125">
                  <c:v>146</c:v>
                </c:pt>
                <c:pt idx="126">
                  <c:v>147</c:v>
                </c:pt>
                <c:pt idx="127">
                  <c:v>148</c:v>
                </c:pt>
                <c:pt idx="128">
                  <c:v>149</c:v>
                </c:pt>
                <c:pt idx="129">
                  <c:v>150</c:v>
                </c:pt>
                <c:pt idx="130">
                  <c:v>151</c:v>
                </c:pt>
                <c:pt idx="131">
                  <c:v>152</c:v>
                </c:pt>
                <c:pt idx="132">
                  <c:v>153</c:v>
                </c:pt>
                <c:pt idx="133">
                  <c:v>154</c:v>
                </c:pt>
                <c:pt idx="134">
                  <c:v>155</c:v>
                </c:pt>
                <c:pt idx="135">
                  <c:v>156</c:v>
                </c:pt>
                <c:pt idx="136">
                  <c:v>157</c:v>
                </c:pt>
                <c:pt idx="137">
                  <c:v>158</c:v>
                </c:pt>
                <c:pt idx="138">
                  <c:v>159</c:v>
                </c:pt>
                <c:pt idx="139">
                  <c:v>160</c:v>
                </c:pt>
                <c:pt idx="140">
                  <c:v>161</c:v>
                </c:pt>
                <c:pt idx="141">
                  <c:v>162</c:v>
                </c:pt>
                <c:pt idx="142">
                  <c:v>163</c:v>
                </c:pt>
                <c:pt idx="143">
                  <c:v>164</c:v>
                </c:pt>
                <c:pt idx="144">
                  <c:v>165</c:v>
                </c:pt>
                <c:pt idx="145">
                  <c:v>166</c:v>
                </c:pt>
                <c:pt idx="146">
                  <c:v>167</c:v>
                </c:pt>
                <c:pt idx="147">
                  <c:v>168</c:v>
                </c:pt>
                <c:pt idx="148">
                  <c:v>169</c:v>
                </c:pt>
                <c:pt idx="149">
                  <c:v>170</c:v>
                </c:pt>
                <c:pt idx="150">
                  <c:v>171</c:v>
                </c:pt>
                <c:pt idx="151">
                  <c:v>172</c:v>
                </c:pt>
                <c:pt idx="152">
                  <c:v>173</c:v>
                </c:pt>
                <c:pt idx="153">
                  <c:v>174</c:v>
                </c:pt>
                <c:pt idx="154">
                  <c:v>175</c:v>
                </c:pt>
                <c:pt idx="155">
                  <c:v>176</c:v>
                </c:pt>
                <c:pt idx="156">
                  <c:v>177</c:v>
                </c:pt>
                <c:pt idx="157">
                  <c:v>178</c:v>
                </c:pt>
                <c:pt idx="158">
                  <c:v>179</c:v>
                </c:pt>
                <c:pt idx="159">
                  <c:v>180</c:v>
                </c:pt>
                <c:pt idx="160">
                  <c:v>181</c:v>
                </c:pt>
                <c:pt idx="161">
                  <c:v>182</c:v>
                </c:pt>
                <c:pt idx="162">
                  <c:v>183</c:v>
                </c:pt>
                <c:pt idx="163">
                  <c:v>184</c:v>
                </c:pt>
                <c:pt idx="164">
                  <c:v>185</c:v>
                </c:pt>
                <c:pt idx="165">
                  <c:v>186</c:v>
                </c:pt>
                <c:pt idx="166">
                  <c:v>187</c:v>
                </c:pt>
                <c:pt idx="167">
                  <c:v>188</c:v>
                </c:pt>
                <c:pt idx="168">
                  <c:v>189</c:v>
                </c:pt>
                <c:pt idx="169">
                  <c:v>190</c:v>
                </c:pt>
                <c:pt idx="170">
                  <c:v>191</c:v>
                </c:pt>
                <c:pt idx="171">
                  <c:v>192</c:v>
                </c:pt>
                <c:pt idx="172">
                  <c:v>193</c:v>
                </c:pt>
                <c:pt idx="173">
                  <c:v>194</c:v>
                </c:pt>
                <c:pt idx="174">
                  <c:v>195</c:v>
                </c:pt>
                <c:pt idx="175">
                  <c:v>196</c:v>
                </c:pt>
                <c:pt idx="176">
                  <c:v>197</c:v>
                </c:pt>
                <c:pt idx="177">
                  <c:v>199</c:v>
                </c:pt>
                <c:pt idx="178">
                  <c:v>200</c:v>
                </c:pt>
                <c:pt idx="179">
                  <c:v>201</c:v>
                </c:pt>
                <c:pt idx="180">
                  <c:v>202</c:v>
                </c:pt>
                <c:pt idx="181">
                  <c:v>203</c:v>
                </c:pt>
                <c:pt idx="182">
                  <c:v>204</c:v>
                </c:pt>
                <c:pt idx="183">
                  <c:v>205</c:v>
                </c:pt>
                <c:pt idx="184">
                  <c:v>206</c:v>
                </c:pt>
                <c:pt idx="185">
                  <c:v>207</c:v>
                </c:pt>
                <c:pt idx="186">
                  <c:v>208</c:v>
                </c:pt>
                <c:pt idx="187">
                  <c:v>209</c:v>
                </c:pt>
                <c:pt idx="188">
                  <c:v>210</c:v>
                </c:pt>
                <c:pt idx="189">
                  <c:v>211</c:v>
                </c:pt>
                <c:pt idx="190">
                  <c:v>212</c:v>
                </c:pt>
                <c:pt idx="191">
                  <c:v>213</c:v>
                </c:pt>
                <c:pt idx="192">
                  <c:v>214</c:v>
                </c:pt>
                <c:pt idx="193">
                  <c:v>215</c:v>
                </c:pt>
                <c:pt idx="194">
                  <c:v>216</c:v>
                </c:pt>
                <c:pt idx="195">
                  <c:v>217</c:v>
                </c:pt>
                <c:pt idx="196">
                  <c:v>218</c:v>
                </c:pt>
                <c:pt idx="197">
                  <c:v>219</c:v>
                </c:pt>
                <c:pt idx="198">
                  <c:v>220</c:v>
                </c:pt>
                <c:pt idx="199">
                  <c:v>221</c:v>
                </c:pt>
                <c:pt idx="200">
                  <c:v>222</c:v>
                </c:pt>
                <c:pt idx="201">
                  <c:v>223</c:v>
                </c:pt>
                <c:pt idx="202">
                  <c:v>224</c:v>
                </c:pt>
                <c:pt idx="203">
                  <c:v>225</c:v>
                </c:pt>
                <c:pt idx="204">
                  <c:v>226</c:v>
                </c:pt>
                <c:pt idx="205">
                  <c:v>227</c:v>
                </c:pt>
                <c:pt idx="206">
                  <c:v>227.5</c:v>
                </c:pt>
              </c:numCache>
            </c:numRef>
          </c:xVal>
          <c:yVal>
            <c:numRef>
              <c:f>'X-KM'!$BB$2:$BB$208</c:f>
              <c:numCache>
                <c:formatCode>0.0000</c:formatCode>
                <c:ptCount val="207"/>
                <c:pt idx="0">
                  <c:v>18</c:v>
                </c:pt>
                <c:pt idx="1">
                  <c:v>17.897300000000001</c:v>
                </c:pt>
                <c:pt idx="2">
                  <c:v>17.793299999999999</c:v>
                </c:pt>
                <c:pt idx="3">
                  <c:v>17.682400000000001</c:v>
                </c:pt>
                <c:pt idx="4">
                  <c:v>17.571400000000001</c:v>
                </c:pt>
                <c:pt idx="5">
                  <c:v>17.4605</c:v>
                </c:pt>
                <c:pt idx="6">
                  <c:v>17.349499999999999</c:v>
                </c:pt>
                <c:pt idx="7">
                  <c:v>17.238600000000002</c:v>
                </c:pt>
                <c:pt idx="8">
                  <c:v>17.135300000000001</c:v>
                </c:pt>
                <c:pt idx="9">
                  <c:v>17.033899999999999</c:v>
                </c:pt>
                <c:pt idx="10">
                  <c:v>16.932500000000001</c:v>
                </c:pt>
                <c:pt idx="11">
                  <c:v>16.831099999999999</c:v>
                </c:pt>
                <c:pt idx="12">
                  <c:v>16.729700000000001</c:v>
                </c:pt>
                <c:pt idx="13">
                  <c:v>16.628299999999999</c:v>
                </c:pt>
                <c:pt idx="14">
                  <c:v>16.526900000000001</c:v>
                </c:pt>
                <c:pt idx="15">
                  <c:v>16.4255</c:v>
                </c:pt>
                <c:pt idx="16">
                  <c:v>16.310600000000001</c:v>
                </c:pt>
                <c:pt idx="17">
                  <c:v>16.190200000000001</c:v>
                </c:pt>
                <c:pt idx="18">
                  <c:v>16.069700000000001</c:v>
                </c:pt>
                <c:pt idx="19">
                  <c:v>15.949299999999999</c:v>
                </c:pt>
                <c:pt idx="20">
                  <c:v>15.828900000000001</c:v>
                </c:pt>
                <c:pt idx="21">
                  <c:v>15.7156</c:v>
                </c:pt>
                <c:pt idx="22">
                  <c:v>15.6088</c:v>
                </c:pt>
                <c:pt idx="23">
                  <c:v>15.502000000000001</c:v>
                </c:pt>
                <c:pt idx="24">
                  <c:v>15.395300000000001</c:v>
                </c:pt>
                <c:pt idx="25">
                  <c:v>15.288399999999999</c:v>
                </c:pt>
                <c:pt idx="26">
                  <c:v>15.1797</c:v>
                </c:pt>
                <c:pt idx="27">
                  <c:v>15.071</c:v>
                </c:pt>
                <c:pt idx="28">
                  <c:v>14.962400000000001</c:v>
                </c:pt>
                <c:pt idx="29">
                  <c:v>14.8537</c:v>
                </c:pt>
                <c:pt idx="30">
                  <c:v>14.745100000000001</c:v>
                </c:pt>
                <c:pt idx="31">
                  <c:v>14.6364</c:v>
                </c:pt>
                <c:pt idx="32">
                  <c:v>14.527799999999999</c:v>
                </c:pt>
                <c:pt idx="33">
                  <c:v>14.4191</c:v>
                </c:pt>
                <c:pt idx="34">
                  <c:v>14.3123</c:v>
                </c:pt>
                <c:pt idx="35">
                  <c:v>14.2094</c:v>
                </c:pt>
                <c:pt idx="36">
                  <c:v>14.106400000000001</c:v>
                </c:pt>
                <c:pt idx="37">
                  <c:v>14.003500000000001</c:v>
                </c:pt>
                <c:pt idx="38">
                  <c:v>13.900600000000001</c:v>
                </c:pt>
                <c:pt idx="39">
                  <c:v>13.797599999999999</c:v>
                </c:pt>
                <c:pt idx="40">
                  <c:v>13.694699999999999</c:v>
                </c:pt>
                <c:pt idx="41">
                  <c:v>13.591799999999999</c:v>
                </c:pt>
                <c:pt idx="42">
                  <c:v>13.490500000000001</c:v>
                </c:pt>
                <c:pt idx="43">
                  <c:v>13.390499999999999</c:v>
                </c:pt>
                <c:pt idx="44">
                  <c:v>13.2905</c:v>
                </c:pt>
                <c:pt idx="45">
                  <c:v>13.1905</c:v>
                </c:pt>
                <c:pt idx="46">
                  <c:v>13.0905</c:v>
                </c:pt>
                <c:pt idx="47">
                  <c:v>12.990500000000001</c:v>
                </c:pt>
                <c:pt idx="48">
                  <c:v>12.8902</c:v>
                </c:pt>
                <c:pt idx="49">
                  <c:v>12.7851</c:v>
                </c:pt>
                <c:pt idx="50">
                  <c:v>12.68</c:v>
                </c:pt>
                <c:pt idx="51">
                  <c:v>12.5748</c:v>
                </c:pt>
                <c:pt idx="52">
                  <c:v>12.4697</c:v>
                </c:pt>
                <c:pt idx="53">
                  <c:v>12.364599999999999</c:v>
                </c:pt>
                <c:pt idx="54">
                  <c:v>12.26</c:v>
                </c:pt>
                <c:pt idx="55">
                  <c:v>12.1587</c:v>
                </c:pt>
                <c:pt idx="56">
                  <c:v>12.0573</c:v>
                </c:pt>
                <c:pt idx="57">
                  <c:v>11.9559</c:v>
                </c:pt>
                <c:pt idx="58">
                  <c:v>11.8546</c:v>
                </c:pt>
                <c:pt idx="59">
                  <c:v>11.7532</c:v>
                </c:pt>
                <c:pt idx="60">
                  <c:v>11.6548</c:v>
                </c:pt>
                <c:pt idx="61">
                  <c:v>11.558199999999999</c:v>
                </c:pt>
                <c:pt idx="62">
                  <c:v>11.461600000000001</c:v>
                </c:pt>
                <c:pt idx="63">
                  <c:v>11.365</c:v>
                </c:pt>
                <c:pt idx="64">
                  <c:v>11.268700000000001</c:v>
                </c:pt>
                <c:pt idx="65">
                  <c:v>11.1739</c:v>
                </c:pt>
                <c:pt idx="66">
                  <c:v>11.0792</c:v>
                </c:pt>
                <c:pt idx="67">
                  <c:v>10.984500000000001</c:v>
                </c:pt>
                <c:pt idx="68">
                  <c:v>10.889699999999999</c:v>
                </c:pt>
                <c:pt idx="69">
                  <c:v>10.795</c:v>
                </c:pt>
                <c:pt idx="70">
                  <c:v>10.6981</c:v>
                </c:pt>
                <c:pt idx="71">
                  <c:v>10.598100000000001</c:v>
                </c:pt>
                <c:pt idx="72">
                  <c:v>10.5</c:v>
                </c:pt>
                <c:pt idx="73">
                  <c:v>10.398099999999999</c:v>
                </c:pt>
                <c:pt idx="74">
                  <c:v>10.2981</c:v>
                </c:pt>
                <c:pt idx="75">
                  <c:v>10.1982</c:v>
                </c:pt>
                <c:pt idx="76">
                  <c:v>10.100099999999999</c:v>
                </c:pt>
                <c:pt idx="77">
                  <c:v>10.002000000000001</c:v>
                </c:pt>
                <c:pt idx="78">
                  <c:v>9.9039000000000001</c:v>
                </c:pt>
                <c:pt idx="79">
                  <c:v>9.8057999999999996</c:v>
                </c:pt>
                <c:pt idx="80">
                  <c:v>9.7082999999999995</c:v>
                </c:pt>
                <c:pt idx="81">
                  <c:v>9.6107999999999993</c:v>
                </c:pt>
                <c:pt idx="82">
                  <c:v>9.5132999999999992</c:v>
                </c:pt>
                <c:pt idx="83">
                  <c:v>9.4158000000000008</c:v>
                </c:pt>
                <c:pt idx="84">
                  <c:v>9.3183000000000007</c:v>
                </c:pt>
                <c:pt idx="85">
                  <c:v>9.2208000000000006</c:v>
                </c:pt>
                <c:pt idx="86">
                  <c:v>9.1233000000000004</c:v>
                </c:pt>
                <c:pt idx="87">
                  <c:v>9.0258000000000003</c:v>
                </c:pt>
                <c:pt idx="88">
                  <c:v>8.9283000000000001</c:v>
                </c:pt>
                <c:pt idx="89">
                  <c:v>8.8308</c:v>
                </c:pt>
                <c:pt idx="90">
                  <c:v>8.7360000000000007</c:v>
                </c:pt>
                <c:pt idx="91">
                  <c:v>8.6441999999999997</c:v>
                </c:pt>
                <c:pt idx="92">
                  <c:v>8.5523000000000007</c:v>
                </c:pt>
                <c:pt idx="93">
                  <c:v>8.4604999999999997</c:v>
                </c:pt>
                <c:pt idx="94">
                  <c:v>8.3687000000000005</c:v>
                </c:pt>
                <c:pt idx="95">
                  <c:v>8.2768999999999995</c:v>
                </c:pt>
                <c:pt idx="96">
                  <c:v>8.1851000000000003</c:v>
                </c:pt>
                <c:pt idx="97">
                  <c:v>8.0931999999999995</c:v>
                </c:pt>
                <c:pt idx="98">
                  <c:v>7.9096000000000002</c:v>
                </c:pt>
                <c:pt idx="99">
                  <c:v>7.8185000000000002</c:v>
                </c:pt>
                <c:pt idx="100">
                  <c:v>7.7290000000000001</c:v>
                </c:pt>
                <c:pt idx="101">
                  <c:v>7.6395999999999997</c:v>
                </c:pt>
                <c:pt idx="102">
                  <c:v>7.5502000000000002</c:v>
                </c:pt>
                <c:pt idx="103">
                  <c:v>7.4607000000000001</c:v>
                </c:pt>
                <c:pt idx="104">
                  <c:v>7.3712999999999997</c:v>
                </c:pt>
                <c:pt idx="105">
                  <c:v>7.2819000000000003</c:v>
                </c:pt>
                <c:pt idx="106">
                  <c:v>7.1924000000000001</c:v>
                </c:pt>
                <c:pt idx="107">
                  <c:v>7.1029999999999998</c:v>
                </c:pt>
                <c:pt idx="108">
                  <c:v>7.0136000000000003</c:v>
                </c:pt>
                <c:pt idx="109">
                  <c:v>6.923</c:v>
                </c:pt>
                <c:pt idx="110">
                  <c:v>6.8291000000000004</c:v>
                </c:pt>
                <c:pt idx="111">
                  <c:v>6.7352999999999996</c:v>
                </c:pt>
                <c:pt idx="112">
                  <c:v>6.6414</c:v>
                </c:pt>
                <c:pt idx="113">
                  <c:v>6.5476000000000001</c:v>
                </c:pt>
                <c:pt idx="114">
                  <c:v>6.4538000000000002</c:v>
                </c:pt>
                <c:pt idx="115">
                  <c:v>6.3598999999999997</c:v>
                </c:pt>
                <c:pt idx="116">
                  <c:v>6.2660999999999998</c:v>
                </c:pt>
                <c:pt idx="117">
                  <c:v>6.1730999999999998</c:v>
                </c:pt>
                <c:pt idx="118">
                  <c:v>6.0823</c:v>
                </c:pt>
                <c:pt idx="119">
                  <c:v>5.9916</c:v>
                </c:pt>
                <c:pt idx="120">
                  <c:v>5.9008000000000003</c:v>
                </c:pt>
                <c:pt idx="121">
                  <c:v>5.81</c:v>
                </c:pt>
                <c:pt idx="122">
                  <c:v>5.7221000000000002</c:v>
                </c:pt>
                <c:pt idx="123">
                  <c:v>5.6390000000000002</c:v>
                </c:pt>
                <c:pt idx="124">
                  <c:v>5.5559000000000003</c:v>
                </c:pt>
                <c:pt idx="125">
                  <c:v>5.4737</c:v>
                </c:pt>
                <c:pt idx="126">
                  <c:v>5.3921000000000001</c:v>
                </c:pt>
                <c:pt idx="127">
                  <c:v>5.3103999999999996</c:v>
                </c:pt>
                <c:pt idx="128">
                  <c:v>5.2287999999999997</c:v>
                </c:pt>
                <c:pt idx="129">
                  <c:v>5.1471</c:v>
                </c:pt>
                <c:pt idx="130">
                  <c:v>5.0654000000000003</c:v>
                </c:pt>
                <c:pt idx="131">
                  <c:v>4.9837999999999996</c:v>
                </c:pt>
                <c:pt idx="132">
                  <c:v>4.9020999999999999</c:v>
                </c:pt>
                <c:pt idx="133">
                  <c:v>4.8204000000000002</c:v>
                </c:pt>
                <c:pt idx="134">
                  <c:v>4.7343999999999999</c:v>
                </c:pt>
                <c:pt idx="135">
                  <c:v>4.6483999999999996</c:v>
                </c:pt>
                <c:pt idx="136">
                  <c:v>4.5622999999999996</c:v>
                </c:pt>
                <c:pt idx="137">
                  <c:v>4.4836</c:v>
                </c:pt>
                <c:pt idx="138">
                  <c:v>4.4122000000000003</c:v>
                </c:pt>
                <c:pt idx="139">
                  <c:v>4.3409000000000004</c:v>
                </c:pt>
                <c:pt idx="140">
                  <c:v>4.2694999999999999</c:v>
                </c:pt>
                <c:pt idx="141">
                  <c:v>4.1981999999999999</c:v>
                </c:pt>
                <c:pt idx="142">
                  <c:v>4.1268000000000002</c:v>
                </c:pt>
                <c:pt idx="143">
                  <c:v>4.0553999999999997</c:v>
                </c:pt>
                <c:pt idx="144">
                  <c:v>3.9813000000000001</c:v>
                </c:pt>
                <c:pt idx="145">
                  <c:v>3.9070999999999998</c:v>
                </c:pt>
                <c:pt idx="146">
                  <c:v>3.8330000000000002</c:v>
                </c:pt>
                <c:pt idx="147">
                  <c:v>3.7589000000000001</c:v>
                </c:pt>
                <c:pt idx="148">
                  <c:v>3.6846999999999999</c:v>
                </c:pt>
                <c:pt idx="149">
                  <c:v>3.6105999999999998</c:v>
                </c:pt>
                <c:pt idx="150">
                  <c:v>3.5379</c:v>
                </c:pt>
                <c:pt idx="151">
                  <c:v>3.4670000000000001</c:v>
                </c:pt>
                <c:pt idx="152">
                  <c:v>3.3961999999999999</c:v>
                </c:pt>
                <c:pt idx="153">
                  <c:v>3.3252999999999999</c:v>
                </c:pt>
                <c:pt idx="154">
                  <c:v>3.2544</c:v>
                </c:pt>
                <c:pt idx="155">
                  <c:v>3.1835</c:v>
                </c:pt>
                <c:pt idx="156">
                  <c:v>3.1126999999999998</c:v>
                </c:pt>
                <c:pt idx="157">
                  <c:v>3.0417999999999998</c:v>
                </c:pt>
                <c:pt idx="158">
                  <c:v>2.9708999999999999</c:v>
                </c:pt>
                <c:pt idx="159">
                  <c:v>2.9011</c:v>
                </c:pt>
                <c:pt idx="160">
                  <c:v>2.8317000000000001</c:v>
                </c:pt>
                <c:pt idx="161">
                  <c:v>2.7623000000000002</c:v>
                </c:pt>
                <c:pt idx="162">
                  <c:v>2.6928999999999998</c:v>
                </c:pt>
                <c:pt idx="163">
                  <c:v>2.6234999999999999</c:v>
                </c:pt>
                <c:pt idx="164">
                  <c:v>2.5539999999999998</c:v>
                </c:pt>
                <c:pt idx="165">
                  <c:v>2.4845999999999999</c:v>
                </c:pt>
                <c:pt idx="166">
                  <c:v>2.4152</c:v>
                </c:pt>
                <c:pt idx="167">
                  <c:v>2.3519999999999999</c:v>
                </c:pt>
                <c:pt idx="168">
                  <c:v>2.2890999999999999</c:v>
                </c:pt>
                <c:pt idx="169">
                  <c:v>2.2262</c:v>
                </c:pt>
                <c:pt idx="170">
                  <c:v>2.1634000000000002</c:v>
                </c:pt>
                <c:pt idx="171">
                  <c:v>2.1004999999999998</c:v>
                </c:pt>
                <c:pt idx="172">
                  <c:v>2.0375999999999999</c:v>
                </c:pt>
                <c:pt idx="173">
                  <c:v>1.9748000000000001</c:v>
                </c:pt>
                <c:pt idx="174">
                  <c:v>1.9118999999999999</c:v>
                </c:pt>
                <c:pt idx="175">
                  <c:v>1.849</c:v>
                </c:pt>
                <c:pt idx="176">
                  <c:v>1.7862</c:v>
                </c:pt>
                <c:pt idx="177">
                  <c:v>1.6604000000000001</c:v>
                </c:pt>
                <c:pt idx="178">
                  <c:v>1.5975999999999999</c:v>
                </c:pt>
                <c:pt idx="179">
                  <c:v>1.5371999999999999</c:v>
                </c:pt>
                <c:pt idx="180">
                  <c:v>1.4769000000000001</c:v>
                </c:pt>
                <c:pt idx="181">
                  <c:v>1.4165000000000001</c:v>
                </c:pt>
                <c:pt idx="182">
                  <c:v>1.3561000000000001</c:v>
                </c:pt>
                <c:pt idx="183">
                  <c:v>1.2958000000000001</c:v>
                </c:pt>
                <c:pt idx="184">
                  <c:v>1.2354000000000001</c:v>
                </c:pt>
                <c:pt idx="185">
                  <c:v>1.175</c:v>
                </c:pt>
                <c:pt idx="186">
                  <c:v>1.1147</c:v>
                </c:pt>
                <c:pt idx="187">
                  <c:v>1.0543</c:v>
                </c:pt>
                <c:pt idx="188">
                  <c:v>0.99390000000000001</c:v>
                </c:pt>
                <c:pt idx="189">
                  <c:v>0.9335</c:v>
                </c:pt>
                <c:pt idx="190">
                  <c:v>0.87309999999999999</c:v>
                </c:pt>
                <c:pt idx="191">
                  <c:v>0.81269999999999998</c:v>
                </c:pt>
                <c:pt idx="192">
                  <c:v>0.75229999999999997</c:v>
                </c:pt>
                <c:pt idx="193">
                  <c:v>0.69189999999999996</c:v>
                </c:pt>
                <c:pt idx="194">
                  <c:v>0.63229999999999997</c:v>
                </c:pt>
                <c:pt idx="195">
                  <c:v>0.57730000000000004</c:v>
                </c:pt>
                <c:pt idx="196">
                  <c:v>0.52239999999999998</c:v>
                </c:pt>
                <c:pt idx="197">
                  <c:v>0.46739999999999998</c:v>
                </c:pt>
                <c:pt idx="198">
                  <c:v>0.41249999999999998</c:v>
                </c:pt>
                <c:pt idx="199">
                  <c:v>0.35749999999999998</c:v>
                </c:pt>
                <c:pt idx="200">
                  <c:v>0.30259999999999998</c:v>
                </c:pt>
                <c:pt idx="201">
                  <c:v>0.24759999999999999</c:v>
                </c:pt>
                <c:pt idx="202">
                  <c:v>0.19270000000000001</c:v>
                </c:pt>
                <c:pt idx="203">
                  <c:v>0.13780000000000001</c:v>
                </c:pt>
                <c:pt idx="204">
                  <c:v>8.2799999999999999E-2</c:v>
                </c:pt>
                <c:pt idx="205">
                  <c:v>2.7900000000000001E-2</c:v>
                </c:pt>
                <c:pt idx="20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406-4963-BE3F-69DE0CE4F69C}"/>
            </c:ext>
          </c:extLst>
        </c:ser>
        <c:ser>
          <c:idx val="8"/>
          <c:order val="8"/>
          <c:tx>
            <c:v>9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'X-KM'!$BJ$2:$BJ$166</c:f>
              <c:numCache>
                <c:formatCode>0.0</c:formatCode>
                <c:ptCount val="165"/>
                <c:pt idx="0">
                  <c:v>30.7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141</c:v>
                </c:pt>
                <c:pt idx="112">
                  <c:v>142</c:v>
                </c:pt>
                <c:pt idx="113">
                  <c:v>143</c:v>
                </c:pt>
                <c:pt idx="114">
                  <c:v>144</c:v>
                </c:pt>
                <c:pt idx="115">
                  <c:v>145</c:v>
                </c:pt>
                <c:pt idx="116">
                  <c:v>146</c:v>
                </c:pt>
                <c:pt idx="117">
                  <c:v>147</c:v>
                </c:pt>
                <c:pt idx="118">
                  <c:v>148</c:v>
                </c:pt>
                <c:pt idx="119">
                  <c:v>149</c:v>
                </c:pt>
                <c:pt idx="120">
                  <c:v>150</c:v>
                </c:pt>
                <c:pt idx="121">
                  <c:v>151</c:v>
                </c:pt>
                <c:pt idx="122">
                  <c:v>152</c:v>
                </c:pt>
                <c:pt idx="123">
                  <c:v>153</c:v>
                </c:pt>
                <c:pt idx="124">
                  <c:v>154</c:v>
                </c:pt>
                <c:pt idx="125">
                  <c:v>155</c:v>
                </c:pt>
                <c:pt idx="126">
                  <c:v>156</c:v>
                </c:pt>
                <c:pt idx="127">
                  <c:v>157</c:v>
                </c:pt>
                <c:pt idx="128">
                  <c:v>158</c:v>
                </c:pt>
                <c:pt idx="129">
                  <c:v>159</c:v>
                </c:pt>
                <c:pt idx="130">
                  <c:v>160</c:v>
                </c:pt>
                <c:pt idx="131">
                  <c:v>161</c:v>
                </c:pt>
                <c:pt idx="132">
                  <c:v>162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168</c:v>
                </c:pt>
                <c:pt idx="139">
                  <c:v>169</c:v>
                </c:pt>
                <c:pt idx="140">
                  <c:v>170</c:v>
                </c:pt>
                <c:pt idx="141">
                  <c:v>171</c:v>
                </c:pt>
                <c:pt idx="142">
                  <c:v>172</c:v>
                </c:pt>
                <c:pt idx="143">
                  <c:v>173</c:v>
                </c:pt>
                <c:pt idx="144">
                  <c:v>174</c:v>
                </c:pt>
                <c:pt idx="145">
                  <c:v>175</c:v>
                </c:pt>
                <c:pt idx="146">
                  <c:v>176</c:v>
                </c:pt>
                <c:pt idx="147">
                  <c:v>177</c:v>
                </c:pt>
                <c:pt idx="148">
                  <c:v>178</c:v>
                </c:pt>
                <c:pt idx="149">
                  <c:v>179</c:v>
                </c:pt>
                <c:pt idx="150">
                  <c:v>180</c:v>
                </c:pt>
                <c:pt idx="151">
                  <c:v>181</c:v>
                </c:pt>
                <c:pt idx="152">
                  <c:v>182</c:v>
                </c:pt>
                <c:pt idx="153">
                  <c:v>183</c:v>
                </c:pt>
                <c:pt idx="154">
                  <c:v>184</c:v>
                </c:pt>
                <c:pt idx="155">
                  <c:v>185</c:v>
                </c:pt>
                <c:pt idx="156">
                  <c:v>186</c:v>
                </c:pt>
                <c:pt idx="157">
                  <c:v>187</c:v>
                </c:pt>
                <c:pt idx="158">
                  <c:v>188</c:v>
                </c:pt>
                <c:pt idx="159">
                  <c:v>189</c:v>
                </c:pt>
                <c:pt idx="160">
                  <c:v>190</c:v>
                </c:pt>
                <c:pt idx="161">
                  <c:v>191</c:v>
                </c:pt>
                <c:pt idx="162">
                  <c:v>192</c:v>
                </c:pt>
                <c:pt idx="163">
                  <c:v>193</c:v>
                </c:pt>
                <c:pt idx="164">
                  <c:v>193.5</c:v>
                </c:pt>
              </c:numCache>
            </c:numRef>
          </c:xVal>
          <c:yVal>
            <c:numRef>
              <c:f>'X-KM'!$BI$2:$BI$166</c:f>
              <c:numCache>
                <c:formatCode>0.0000</c:formatCode>
                <c:ptCount val="165"/>
                <c:pt idx="0">
                  <c:v>18</c:v>
                </c:pt>
                <c:pt idx="1">
                  <c:v>17.9848</c:v>
                </c:pt>
                <c:pt idx="2">
                  <c:v>17.931699999999999</c:v>
                </c:pt>
                <c:pt idx="3">
                  <c:v>17.8812</c:v>
                </c:pt>
                <c:pt idx="4">
                  <c:v>17.8306</c:v>
                </c:pt>
                <c:pt idx="5">
                  <c:v>17.78</c:v>
                </c:pt>
                <c:pt idx="6">
                  <c:v>17.729500000000002</c:v>
                </c:pt>
                <c:pt idx="7">
                  <c:v>17.678899999999999</c:v>
                </c:pt>
                <c:pt idx="8">
                  <c:v>17.628299999999999</c:v>
                </c:pt>
                <c:pt idx="9">
                  <c:v>17.5778</c:v>
                </c:pt>
                <c:pt idx="10">
                  <c:v>17.527200000000001</c:v>
                </c:pt>
                <c:pt idx="11">
                  <c:v>17.476600000000001</c:v>
                </c:pt>
                <c:pt idx="12">
                  <c:v>17.426100000000002</c:v>
                </c:pt>
                <c:pt idx="13">
                  <c:v>17.375499999999999</c:v>
                </c:pt>
                <c:pt idx="14">
                  <c:v>17.328299999999999</c:v>
                </c:pt>
                <c:pt idx="15">
                  <c:v>17.281500000000001</c:v>
                </c:pt>
                <c:pt idx="16">
                  <c:v>17.2348</c:v>
                </c:pt>
                <c:pt idx="17">
                  <c:v>17.187999999999999</c:v>
                </c:pt>
                <c:pt idx="18">
                  <c:v>17.141300000000001</c:v>
                </c:pt>
                <c:pt idx="19">
                  <c:v>17.0945</c:v>
                </c:pt>
                <c:pt idx="20">
                  <c:v>17.047799999999999</c:v>
                </c:pt>
                <c:pt idx="21">
                  <c:v>17.001000000000001</c:v>
                </c:pt>
                <c:pt idx="22">
                  <c:v>16.9542</c:v>
                </c:pt>
                <c:pt idx="23">
                  <c:v>16.906700000000001</c:v>
                </c:pt>
                <c:pt idx="24">
                  <c:v>16.858599999999999</c:v>
                </c:pt>
                <c:pt idx="25">
                  <c:v>16.810500000000001</c:v>
                </c:pt>
                <c:pt idx="26">
                  <c:v>16.7624</c:v>
                </c:pt>
                <c:pt idx="27">
                  <c:v>16.714300000000001</c:v>
                </c:pt>
                <c:pt idx="28">
                  <c:v>16.6662</c:v>
                </c:pt>
                <c:pt idx="29">
                  <c:v>16.618099999999998</c:v>
                </c:pt>
                <c:pt idx="30">
                  <c:v>16.569900000000001</c:v>
                </c:pt>
                <c:pt idx="31">
                  <c:v>16.521799999999999</c:v>
                </c:pt>
                <c:pt idx="32">
                  <c:v>16.476299999999998</c:v>
                </c:pt>
                <c:pt idx="33">
                  <c:v>16.434899999999999</c:v>
                </c:pt>
                <c:pt idx="34">
                  <c:v>16.393599999999999</c:v>
                </c:pt>
                <c:pt idx="35">
                  <c:v>16.3523</c:v>
                </c:pt>
                <c:pt idx="36">
                  <c:v>16.311</c:v>
                </c:pt>
                <c:pt idx="37">
                  <c:v>16.269600000000001</c:v>
                </c:pt>
                <c:pt idx="38">
                  <c:v>16.228300000000001</c:v>
                </c:pt>
                <c:pt idx="39">
                  <c:v>16.187000000000001</c:v>
                </c:pt>
                <c:pt idx="40">
                  <c:v>16.145700000000001</c:v>
                </c:pt>
                <c:pt idx="41">
                  <c:v>16.104299999999999</c:v>
                </c:pt>
                <c:pt idx="42">
                  <c:v>16.062999999999999</c:v>
                </c:pt>
                <c:pt idx="43">
                  <c:v>16.021699999999999</c:v>
                </c:pt>
                <c:pt idx="44">
                  <c:v>15.980399999999999</c:v>
                </c:pt>
                <c:pt idx="45">
                  <c:v>15.939</c:v>
                </c:pt>
                <c:pt idx="46">
                  <c:v>15.897399999999999</c:v>
                </c:pt>
                <c:pt idx="47">
                  <c:v>15.855499999999999</c:v>
                </c:pt>
                <c:pt idx="48">
                  <c:v>15.813700000000001</c:v>
                </c:pt>
                <c:pt idx="49">
                  <c:v>15.771800000000001</c:v>
                </c:pt>
                <c:pt idx="50">
                  <c:v>15.73</c:v>
                </c:pt>
                <c:pt idx="51">
                  <c:v>15.6881</c:v>
                </c:pt>
                <c:pt idx="52">
                  <c:v>15.6463</c:v>
                </c:pt>
                <c:pt idx="53">
                  <c:v>15.6044</c:v>
                </c:pt>
                <c:pt idx="54">
                  <c:v>15.565200000000001</c:v>
                </c:pt>
                <c:pt idx="55">
                  <c:v>15.526999999999999</c:v>
                </c:pt>
                <c:pt idx="56">
                  <c:v>15.488799999999999</c:v>
                </c:pt>
                <c:pt idx="57">
                  <c:v>15.450699999999999</c:v>
                </c:pt>
                <c:pt idx="58">
                  <c:v>15.4125</c:v>
                </c:pt>
                <c:pt idx="59">
                  <c:v>15.3744</c:v>
                </c:pt>
                <c:pt idx="60">
                  <c:v>15.3362</c:v>
                </c:pt>
                <c:pt idx="61">
                  <c:v>15.2981</c:v>
                </c:pt>
                <c:pt idx="62">
                  <c:v>15.2599</c:v>
                </c:pt>
                <c:pt idx="63">
                  <c:v>15.2217</c:v>
                </c:pt>
                <c:pt idx="64">
                  <c:v>15.186400000000001</c:v>
                </c:pt>
                <c:pt idx="65">
                  <c:v>15.1517</c:v>
                </c:pt>
                <c:pt idx="66">
                  <c:v>15.117000000000001</c:v>
                </c:pt>
                <c:pt idx="67">
                  <c:v>15.0822</c:v>
                </c:pt>
                <c:pt idx="68">
                  <c:v>15.047499999999999</c:v>
                </c:pt>
                <c:pt idx="69">
                  <c:v>15.012700000000001</c:v>
                </c:pt>
                <c:pt idx="70">
                  <c:v>14.978</c:v>
                </c:pt>
                <c:pt idx="71">
                  <c:v>14.943300000000001</c:v>
                </c:pt>
                <c:pt idx="72">
                  <c:v>14.9085</c:v>
                </c:pt>
                <c:pt idx="73">
                  <c:v>14.8733</c:v>
                </c:pt>
                <c:pt idx="74">
                  <c:v>14.837899999999999</c:v>
                </c:pt>
                <c:pt idx="75">
                  <c:v>14.8025</c:v>
                </c:pt>
                <c:pt idx="76">
                  <c:v>14.767099999999999</c:v>
                </c:pt>
                <c:pt idx="77">
                  <c:v>14.7316</c:v>
                </c:pt>
                <c:pt idx="78">
                  <c:v>14.696199999999999</c:v>
                </c:pt>
                <c:pt idx="79">
                  <c:v>14.6608</c:v>
                </c:pt>
                <c:pt idx="80">
                  <c:v>14.625400000000001</c:v>
                </c:pt>
                <c:pt idx="81">
                  <c:v>14.5899</c:v>
                </c:pt>
                <c:pt idx="82">
                  <c:v>14.554500000000001</c:v>
                </c:pt>
                <c:pt idx="83">
                  <c:v>14.5235</c:v>
                </c:pt>
                <c:pt idx="84">
                  <c:v>14.492699999999999</c:v>
                </c:pt>
                <c:pt idx="85">
                  <c:v>14.4618</c:v>
                </c:pt>
                <c:pt idx="86">
                  <c:v>14.430999999999999</c:v>
                </c:pt>
                <c:pt idx="87">
                  <c:v>14.4001</c:v>
                </c:pt>
                <c:pt idx="88">
                  <c:v>14.369199999999999</c:v>
                </c:pt>
                <c:pt idx="89">
                  <c:v>14.3384</c:v>
                </c:pt>
                <c:pt idx="90">
                  <c:v>14.306900000000001</c:v>
                </c:pt>
                <c:pt idx="91">
                  <c:v>14.275499999999999</c:v>
                </c:pt>
                <c:pt idx="92">
                  <c:v>14.244</c:v>
                </c:pt>
                <c:pt idx="93">
                  <c:v>14.2125</c:v>
                </c:pt>
                <c:pt idx="94">
                  <c:v>14.181100000000001</c:v>
                </c:pt>
                <c:pt idx="95">
                  <c:v>14.1496</c:v>
                </c:pt>
                <c:pt idx="96">
                  <c:v>14.1182</c:v>
                </c:pt>
                <c:pt idx="97">
                  <c:v>14.0867</c:v>
                </c:pt>
                <c:pt idx="98">
                  <c:v>14.055199999999999</c:v>
                </c:pt>
                <c:pt idx="99">
                  <c:v>14.0238</c:v>
                </c:pt>
                <c:pt idx="100">
                  <c:v>13.9923</c:v>
                </c:pt>
                <c:pt idx="101">
                  <c:v>13.960900000000001</c:v>
                </c:pt>
                <c:pt idx="102">
                  <c:v>13.929399999999999</c:v>
                </c:pt>
                <c:pt idx="103">
                  <c:v>13.8979</c:v>
                </c:pt>
                <c:pt idx="104">
                  <c:v>13.8665</c:v>
                </c:pt>
                <c:pt idx="105">
                  <c:v>13.834099999999999</c:v>
                </c:pt>
                <c:pt idx="106">
                  <c:v>13.8011</c:v>
                </c:pt>
                <c:pt idx="107">
                  <c:v>13.768000000000001</c:v>
                </c:pt>
                <c:pt idx="108">
                  <c:v>13.7349</c:v>
                </c:pt>
                <c:pt idx="109">
                  <c:v>13.7019</c:v>
                </c:pt>
                <c:pt idx="110">
                  <c:v>13.668799999999999</c:v>
                </c:pt>
                <c:pt idx="111">
                  <c:v>13.6358</c:v>
                </c:pt>
                <c:pt idx="112">
                  <c:v>13.6027</c:v>
                </c:pt>
                <c:pt idx="113">
                  <c:v>13.569699999999999</c:v>
                </c:pt>
                <c:pt idx="114">
                  <c:v>13.5366</c:v>
                </c:pt>
                <c:pt idx="115">
                  <c:v>13.5039</c:v>
                </c:pt>
                <c:pt idx="116">
                  <c:v>13.4716</c:v>
                </c:pt>
                <c:pt idx="117">
                  <c:v>13.439399999999999</c:v>
                </c:pt>
                <c:pt idx="118">
                  <c:v>13.4071</c:v>
                </c:pt>
                <c:pt idx="119">
                  <c:v>13.3749</c:v>
                </c:pt>
                <c:pt idx="120">
                  <c:v>13.342599999999999</c:v>
                </c:pt>
                <c:pt idx="121">
                  <c:v>13.3104</c:v>
                </c:pt>
                <c:pt idx="122">
                  <c:v>13.2782</c:v>
                </c:pt>
                <c:pt idx="123">
                  <c:v>13.245900000000001</c:v>
                </c:pt>
                <c:pt idx="124">
                  <c:v>13.213699999999999</c:v>
                </c:pt>
                <c:pt idx="125">
                  <c:v>13.1814</c:v>
                </c:pt>
                <c:pt idx="126">
                  <c:v>13.1492</c:v>
                </c:pt>
                <c:pt idx="127">
                  <c:v>13.116899999999999</c:v>
                </c:pt>
                <c:pt idx="128">
                  <c:v>13.0847</c:v>
                </c:pt>
                <c:pt idx="129">
                  <c:v>13.0524</c:v>
                </c:pt>
                <c:pt idx="130">
                  <c:v>13.020200000000001</c:v>
                </c:pt>
                <c:pt idx="131">
                  <c:v>12.9879</c:v>
                </c:pt>
                <c:pt idx="132">
                  <c:v>12.9557</c:v>
                </c:pt>
                <c:pt idx="133">
                  <c:v>12.923400000000001</c:v>
                </c:pt>
                <c:pt idx="134">
                  <c:v>12.8912</c:v>
                </c:pt>
                <c:pt idx="135">
                  <c:v>12.8589</c:v>
                </c:pt>
                <c:pt idx="136">
                  <c:v>12.826700000000001</c:v>
                </c:pt>
                <c:pt idx="137">
                  <c:v>12.7944</c:v>
                </c:pt>
                <c:pt idx="138">
                  <c:v>12.7622</c:v>
                </c:pt>
                <c:pt idx="139">
                  <c:v>12.729900000000001</c:v>
                </c:pt>
                <c:pt idx="140">
                  <c:v>12.697699999999999</c:v>
                </c:pt>
                <c:pt idx="141">
                  <c:v>12.6655</c:v>
                </c:pt>
                <c:pt idx="142">
                  <c:v>12.6332</c:v>
                </c:pt>
                <c:pt idx="143">
                  <c:v>12.601000000000001</c:v>
                </c:pt>
                <c:pt idx="144">
                  <c:v>12.5687</c:v>
                </c:pt>
                <c:pt idx="145">
                  <c:v>12.5365</c:v>
                </c:pt>
                <c:pt idx="146">
                  <c:v>12.504200000000001</c:v>
                </c:pt>
                <c:pt idx="147">
                  <c:v>12.472</c:v>
                </c:pt>
                <c:pt idx="148">
                  <c:v>12.4397</c:v>
                </c:pt>
                <c:pt idx="149">
                  <c:v>12.407500000000001</c:v>
                </c:pt>
                <c:pt idx="150">
                  <c:v>12.3752</c:v>
                </c:pt>
                <c:pt idx="151">
                  <c:v>12.343</c:v>
                </c:pt>
                <c:pt idx="152">
                  <c:v>12.310700000000001</c:v>
                </c:pt>
                <c:pt idx="153">
                  <c:v>12.278499999999999</c:v>
                </c:pt>
                <c:pt idx="154">
                  <c:v>12.2462</c:v>
                </c:pt>
                <c:pt idx="155">
                  <c:v>12.214</c:v>
                </c:pt>
                <c:pt idx="156">
                  <c:v>12.181699999999999</c:v>
                </c:pt>
                <c:pt idx="157">
                  <c:v>12.1495</c:v>
                </c:pt>
                <c:pt idx="158">
                  <c:v>12.1172</c:v>
                </c:pt>
                <c:pt idx="159">
                  <c:v>12.085000000000001</c:v>
                </c:pt>
                <c:pt idx="160">
                  <c:v>12.0528</c:v>
                </c:pt>
                <c:pt idx="161">
                  <c:v>12.0205</c:v>
                </c:pt>
                <c:pt idx="162">
                  <c:v>11.988300000000001</c:v>
                </c:pt>
                <c:pt idx="163">
                  <c:v>11.956</c:v>
                </c:pt>
                <c:pt idx="164">
                  <c:v>11.9398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406-4963-BE3F-69DE0CE4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48416"/>
        <c:axId val="70770688"/>
      </c:scatterChart>
      <c:valAx>
        <c:axId val="70748416"/>
        <c:scaling>
          <c:orientation val="minMax"/>
          <c:max val="2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tr-TR"/>
          </a:p>
        </c:txPr>
        <c:crossAx val="70770688"/>
        <c:crossesAt val="0"/>
        <c:crossBetween val="midCat"/>
        <c:majorUnit val="10"/>
        <c:minorUnit val="1"/>
      </c:valAx>
      <c:valAx>
        <c:axId val="70770688"/>
        <c:scaling>
          <c:orientation val="minMax"/>
          <c:max val="1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tr-TR"/>
          </a:p>
        </c:txPr>
        <c:crossAx val="70748416"/>
        <c:crossesAt val="0"/>
        <c:crossBetween val="midCat"/>
        <c:majorUnit val="1"/>
        <c:min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tr-T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trlProps/ctrlProp1.xml><?xml version="1.0" encoding="utf-8"?>
<formControlPr xmlns="http://schemas.microsoft.com/office/spreadsheetml/2009/9/main" objectType="List" dx="16" fmlaLink="$I$12" fmlaRange="$A$12:$B$20" noThreeD="1" sel="5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85725</xdr:colOff>
      <xdr:row>0</xdr:row>
      <xdr:rowOff>47625</xdr:rowOff>
    </xdr:from>
    <xdr:to>
      <xdr:col>67</xdr:col>
      <xdr:colOff>238125</xdr:colOff>
      <xdr:row>0</xdr:row>
      <xdr:rowOff>47625</xdr:rowOff>
    </xdr:to>
    <xdr:sp macro="" textlink="">
      <xdr:nvSpPr>
        <xdr:cNvPr id="2052" name="Line 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>
          <a:spLocks noChangeShapeType="1"/>
        </xdr:cNvSpPr>
      </xdr:nvSpPr>
      <xdr:spPr bwMode="auto">
        <a:xfrm>
          <a:off x="10715625" y="476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76200</xdr:colOff>
      <xdr:row>4</xdr:row>
      <xdr:rowOff>19050</xdr:rowOff>
    </xdr:from>
    <xdr:to>
      <xdr:col>66</xdr:col>
      <xdr:colOff>228600</xdr:colOff>
      <xdr:row>4</xdr:row>
      <xdr:rowOff>19050</xdr:rowOff>
    </xdr:to>
    <xdr:sp macro="" textlink="">
      <xdr:nvSpPr>
        <xdr:cNvPr id="2053" name="Line 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>
          <a:spLocks noChangeShapeType="1"/>
        </xdr:cNvSpPr>
      </xdr:nvSpPr>
      <xdr:spPr bwMode="auto">
        <a:xfrm>
          <a:off x="10020300" y="7334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63</xdr:col>
      <xdr:colOff>238125</xdr:colOff>
      <xdr:row>14</xdr:row>
      <xdr:rowOff>85725</xdr:rowOff>
    </xdr:from>
    <xdr:to>
      <xdr:col>82</xdr:col>
      <xdr:colOff>552450</xdr:colOff>
      <xdr:row>56</xdr:row>
      <xdr:rowOff>85725</xdr:rowOff>
    </xdr:to>
    <xdr:graphicFrame macro="">
      <xdr:nvGraphicFramePr>
        <xdr:cNvPr id="2054" name="Grafik 3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0.287</cdr:x>
      <cdr:y>0.034</cdr:y>
    </cdr:from>
    <cdr:to>
      <cdr:x>0.7275</cdr:x>
      <cdr:y>0.13125</cdr:y>
    </cdr:to>
    <cdr:grpSp>
      <cdr:nvGrpSpPr>
        <cdr:cNvPr id="24" name="Group 8">
          <a:extLst xmlns:a="http://schemas.openxmlformats.org/drawingml/2006/main">
            <a:ext uri="{FF2B5EF4-FFF2-40B4-BE49-F238E27FC236}">
              <a16:creationId xmlns:a16="http://schemas.microsoft.com/office/drawing/2014/main" id="{948D366F-E177-D784-73B8-327932A9F59A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3854321" y="473659"/>
          <a:ext cx="5915778" cy="1354805"/>
          <a:chOff x="2689036" y="216360"/>
          <a:chExt cx="4078410" cy="535282"/>
        </a:xfrm>
      </cdr:grpSpPr>
      <cdr:sp macro="" textlink="">
        <cdr:nvSpPr>
          <cdr:cNvPr id="115713" name="Text Box 1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2689036" y="216360"/>
            <a:ext cx="4078410" cy="535282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>
            <a:noFill/>
            <a:miter lim="800000"/>
            <a:headEnd/>
            <a:tailEnd/>
          </a:ln>
        </cdr:spPr>
        <cdr:txBody>
          <a:bodyPr xmlns:a="http://schemas.openxmlformats.org/drawingml/2006/main" vertOverflow="clip" wrap="square" lIns="27432" tIns="27432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endParaRPr lang="tr-TR" sz="1200" b="1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 xmlns:a="http://schemas.openxmlformats.org/drawingml/2006/main">
            <a:pPr algn="ctr" rtl="0">
              <a:defRPr sz="1000"/>
            </a:pPr>
            <a:r>
              <a:rPr lang="tr-TR" sz="12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X' - Km ZARFLARI</a:t>
            </a:r>
          </a:p>
        </cdr:txBody>
      </cdr:sp>
      <cdr:sp macro="" textlink="">
        <cdr:nvSpPr>
          <cdr:cNvPr id="115714" name="Line 2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4300453" y="326072"/>
            <a:ext cx="119615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9525">
            <a:solidFill>
              <a:srgbClr val="000000"/>
            </a:solidFill>
            <a:round/>
            <a:headEnd/>
            <a:tailEnd/>
          </a:ln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tr-TR"/>
          </a:p>
        </cdr:txBody>
      </cdr:sp>
    </cdr:grpSp>
  </cdr:relSizeAnchor>
  <cdr:relSizeAnchor xmlns:cdr="http://schemas.openxmlformats.org/drawingml/2006/chartDrawing">
    <cdr:from>
      <cdr:x>0.05125</cdr:x>
      <cdr:y>0.39125</cdr:y>
    </cdr:from>
    <cdr:to>
      <cdr:x>0.087</cdr:x>
      <cdr:y>0.58925</cdr:y>
    </cdr:to>
    <cdr:sp macro="" textlink="">
      <cdr:nvSpPr>
        <cdr:cNvPr id="11571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2047" y="2198727"/>
          <a:ext cx="329282" cy="11127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000000"/>
              </a:solidFill>
              <a:latin typeface="Times New Roman"/>
              <a:cs typeface="Times New Roman"/>
            </a:rPr>
            <a:t>Km</a:t>
          </a:r>
        </a:p>
      </cdr:txBody>
    </cdr:sp>
  </cdr:relSizeAnchor>
  <cdr:relSizeAnchor xmlns:cdr="http://schemas.openxmlformats.org/drawingml/2006/chartDrawing">
    <cdr:from>
      <cdr:x>0.116</cdr:x>
      <cdr:y>0.8785</cdr:y>
    </cdr:from>
    <cdr:to>
      <cdr:x>0.272</cdr:x>
      <cdr:y>0.9335</cdr:y>
    </cdr:to>
    <cdr:grpSp>
      <cdr:nvGrpSpPr>
        <cdr:cNvPr id="25" name="Group 7">
          <a:extLst xmlns:a="http://schemas.openxmlformats.org/drawingml/2006/main">
            <a:ext uri="{FF2B5EF4-FFF2-40B4-BE49-F238E27FC236}">
              <a16:creationId xmlns:a16="http://schemas.microsoft.com/office/drawing/2014/main" id="{27A4E23E-5448-9785-6045-589D8BB772EF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1557844" y="12238518"/>
          <a:ext cx="2095032" cy="766213"/>
          <a:chOff x="7547243" y="4436793"/>
          <a:chExt cx="1435380" cy="310491"/>
        </a:xfrm>
      </cdr:grpSpPr>
      <cdr:sp macro="" textlink="">
        <cdr:nvSpPr>
          <cdr:cNvPr id="115716" name="Text Box 4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7547243" y="4436793"/>
            <a:ext cx="1435380" cy="310491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>
            <a:noFill/>
            <a:miter lim="800000"/>
            <a:headEnd/>
            <a:tailEnd/>
          </a:ln>
        </cdr:spPr>
        <cdr:txBody>
          <a:bodyPr xmlns:a="http://schemas.openxmlformats.org/drawingml/2006/main" vertOverflow="clip" wrap="square" lIns="36576" tIns="27432" rIns="36576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tr-TR" sz="1200" b="1" i="0" strike="noStrike">
                <a:solidFill>
                  <a:srgbClr val="000000"/>
                </a:solidFill>
                <a:latin typeface="Arial"/>
                <a:cs typeface="Arial"/>
              </a:rPr>
              <a:t>X' MAX (mm)</a:t>
            </a:r>
          </a:p>
        </cdr:txBody>
      </cdr:sp>
      <cdr:sp macro="" textlink="">
        <cdr:nvSpPr>
          <cdr:cNvPr id="115717" name="Line 5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7972087" y="4455228"/>
            <a:ext cx="128816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9525">
            <a:solidFill>
              <a:srgbClr val="000000"/>
            </a:solidFill>
            <a:round/>
            <a:headEnd/>
            <a:tailEnd/>
          </a:ln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tr-TR"/>
          </a:p>
        </cdr:txBody>
      </cdr:sp>
    </cdr:grpSp>
  </cdr:relSizeAnchor>
  <cdr:relSizeAnchor xmlns:cdr="http://schemas.openxmlformats.org/drawingml/2006/chartDrawing">
    <cdr:from>
      <cdr:x>0.64575</cdr:x>
      <cdr:y>0.05525</cdr:y>
    </cdr:from>
    <cdr:to>
      <cdr:x>0.9865</cdr:x>
      <cdr:y>0.2775</cdr:y>
    </cdr:to>
    <cdr:sp macro="" textlink="">
      <cdr:nvSpPr>
        <cdr:cNvPr id="115721" name="Text Box 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47793" y="310491"/>
          <a:ext cx="3138538" cy="124899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70000"/>
          </a:schemeClr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tr-TR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1-İÇ ANADOLU</a:t>
          </a:r>
          <a:endParaRPr lang="tr-TR" sz="1200" b="1" i="0" strike="noStrike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l" rtl="0">
            <a:defRPr sz="1000"/>
          </a:pPr>
          <a:r>
            <a:rPr lang="tr-TR" sz="1200" b="1" i="0" strike="noStrike">
              <a:solidFill>
                <a:srgbClr val="FF0000"/>
              </a:solidFill>
              <a:latin typeface="Times New Roman"/>
              <a:cs typeface="Times New Roman"/>
            </a:rPr>
            <a:t>2-GÜNEYDOĞU ANADOLU</a:t>
          </a:r>
          <a:endParaRPr lang="tr-TR" sz="1200" b="1" i="0" strike="noStrike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l" rtl="0">
            <a:defRPr sz="1000"/>
          </a:pPr>
          <a:r>
            <a:rPr lang="tr-TR" sz="1200" b="1" i="0" strike="noStrike">
              <a:solidFill>
                <a:srgbClr val="808000"/>
              </a:solidFill>
              <a:latin typeface="Times New Roman"/>
              <a:cs typeface="Times New Roman"/>
            </a:rPr>
            <a:t>3-GÖLLER BÖLESİ, DOĞU ANADOLU, KARADENİZ ARDI (KARADENİZ-İÇ ANADOLU ARASI)</a:t>
          </a:r>
          <a:endParaRPr lang="tr-TR" sz="1200" b="1" i="0" strike="noStrike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l" rtl="0">
            <a:defRPr sz="1000"/>
          </a:pPr>
          <a:r>
            <a:rPr lang="tr-TR" sz="1200" b="1" i="0" strike="noStrike">
              <a:solidFill>
                <a:srgbClr val="00FFFF"/>
              </a:solidFill>
              <a:latin typeface="Times New Roman"/>
              <a:cs typeface="Times New Roman"/>
            </a:rPr>
            <a:t>4-BATI KARADENİZ</a:t>
          </a:r>
        </a:p>
      </cdr:txBody>
    </cdr:sp>
  </cdr:relSizeAnchor>
  <cdr:relSizeAnchor xmlns:cdr="http://schemas.openxmlformats.org/drawingml/2006/chartDrawing">
    <cdr:from>
      <cdr:x>0.1115</cdr:x>
      <cdr:y>0.5775</cdr:y>
    </cdr:from>
    <cdr:to>
      <cdr:x>0.1405</cdr:x>
      <cdr:y>0.611</cdr:y>
    </cdr:to>
    <cdr:sp macro="" textlink="">
      <cdr:nvSpPr>
        <cdr:cNvPr id="115729" name="AutoShape 1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26990" y="3245406"/>
          <a:ext cx="267110" cy="188261"/>
        </a:xfrm>
        <a:prstGeom xmlns:a="http://schemas.openxmlformats.org/drawingml/2006/main" prst="wedgeRectCallout">
          <a:avLst>
            <a:gd name="adj1" fmla="val 191282"/>
            <a:gd name="adj2" fmla="val 57597"/>
          </a:avLst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00FF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1</a:t>
          </a:r>
        </a:p>
      </cdr:txBody>
    </cdr:sp>
  </cdr:relSizeAnchor>
  <cdr:relSizeAnchor xmlns:cdr="http://schemas.openxmlformats.org/drawingml/2006/chartDrawing">
    <cdr:from>
      <cdr:x>0.15275</cdr:x>
      <cdr:y>0.6425</cdr:y>
    </cdr:from>
    <cdr:to>
      <cdr:x>0.181</cdr:x>
      <cdr:y>0.677</cdr:y>
    </cdr:to>
    <cdr:sp macro="" textlink="">
      <cdr:nvSpPr>
        <cdr:cNvPr id="115730" name="AutoShape 18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06931" y="3610689"/>
          <a:ext cx="260201" cy="193882"/>
        </a:xfrm>
        <a:prstGeom xmlns:a="http://schemas.openxmlformats.org/drawingml/2006/main" prst="wedgeRectCallout">
          <a:avLst>
            <a:gd name="adj1" fmla="val 313125"/>
            <a:gd name="adj2" fmla="val -20926"/>
          </a:avLst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FF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FF0000"/>
              </a:solidFill>
              <a:latin typeface="Times New Roman"/>
              <a:cs typeface="Times New Roman"/>
            </a:rPr>
            <a:t>2</a:t>
          </a:r>
        </a:p>
      </cdr:txBody>
    </cdr:sp>
  </cdr:relSizeAnchor>
  <cdr:relSizeAnchor xmlns:cdr="http://schemas.openxmlformats.org/drawingml/2006/chartDrawing">
    <cdr:from>
      <cdr:x>0.17425</cdr:x>
      <cdr:y>0.703</cdr:y>
    </cdr:from>
    <cdr:to>
      <cdr:x>0.2025</cdr:x>
      <cdr:y>0.7365</cdr:y>
    </cdr:to>
    <cdr:sp macro="" textlink="">
      <cdr:nvSpPr>
        <cdr:cNvPr id="115731" name="AutoShape 19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04960" y="3950684"/>
          <a:ext cx="260202" cy="188262"/>
        </a:xfrm>
        <a:prstGeom xmlns:a="http://schemas.openxmlformats.org/drawingml/2006/main" prst="wedgeRectCallout">
          <a:avLst>
            <a:gd name="adj1" fmla="val 497324"/>
            <a:gd name="adj2" fmla="val -34875"/>
          </a:avLst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808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808000"/>
              </a:solidFill>
              <a:latin typeface="Times New Roman"/>
              <a:cs typeface="Times New Roman"/>
            </a:rPr>
            <a:t>3</a:t>
          </a:r>
        </a:p>
      </cdr:txBody>
    </cdr:sp>
  </cdr:relSizeAnchor>
  <cdr:relSizeAnchor xmlns:cdr="http://schemas.openxmlformats.org/drawingml/2006/chartDrawing">
    <cdr:from>
      <cdr:x>0.2015</cdr:x>
      <cdr:y>0.77175</cdr:y>
    </cdr:from>
    <cdr:to>
      <cdr:x>0.22875</cdr:x>
      <cdr:y>0.807</cdr:y>
    </cdr:to>
    <cdr:sp macro="" textlink="">
      <cdr:nvSpPr>
        <cdr:cNvPr id="115732" name="AutoShape 20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55951" y="4337042"/>
          <a:ext cx="250991" cy="198096"/>
        </a:xfrm>
        <a:prstGeom xmlns:a="http://schemas.openxmlformats.org/drawingml/2006/main" prst="wedgeRectCallout">
          <a:avLst>
            <a:gd name="adj1" fmla="val 683005"/>
            <a:gd name="adj2" fmla="val -91986"/>
          </a:avLst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FFFF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00FFFF"/>
              </a:solidFill>
              <a:latin typeface="Times New Roman"/>
              <a:cs typeface="Times New Roman"/>
            </a:rPr>
            <a:t>4</a:t>
          </a:r>
        </a:p>
      </cdr:txBody>
    </cdr:sp>
  </cdr:relSizeAnchor>
  <cdr:relSizeAnchor xmlns:cdr="http://schemas.openxmlformats.org/drawingml/2006/chartDrawing">
    <cdr:from>
      <cdr:x>0.64475</cdr:x>
      <cdr:y>0.6425</cdr:y>
    </cdr:from>
    <cdr:to>
      <cdr:x>0.672</cdr:x>
      <cdr:y>0.676</cdr:y>
    </cdr:to>
    <cdr:sp macro="" textlink="">
      <cdr:nvSpPr>
        <cdr:cNvPr id="115733" name="AutoShape 2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8583" y="3610689"/>
          <a:ext cx="250991" cy="188262"/>
        </a:xfrm>
        <a:prstGeom xmlns:a="http://schemas.openxmlformats.org/drawingml/2006/main" prst="wedgeRectCallout">
          <a:avLst>
            <a:gd name="adj1" fmla="val -619829"/>
            <a:gd name="adj2" fmla="val 275264"/>
          </a:avLst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80008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800080"/>
              </a:solidFill>
              <a:latin typeface="Times New Roman"/>
              <a:cs typeface="Times New Roman"/>
            </a:rPr>
            <a:t>5</a:t>
          </a:r>
        </a:p>
      </cdr:txBody>
    </cdr:sp>
  </cdr:relSizeAnchor>
  <cdr:relSizeAnchor xmlns:cdr="http://schemas.openxmlformats.org/drawingml/2006/chartDrawing">
    <cdr:from>
      <cdr:x>0.68975</cdr:x>
      <cdr:y>0.68675</cdr:y>
    </cdr:from>
    <cdr:to>
      <cdr:x>0.717</cdr:x>
      <cdr:y>0.72025</cdr:y>
    </cdr:to>
    <cdr:sp macro="" textlink="">
      <cdr:nvSpPr>
        <cdr:cNvPr id="115736" name="AutoShape 2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53063" y="3859363"/>
          <a:ext cx="250991" cy="188262"/>
        </a:xfrm>
        <a:prstGeom xmlns:a="http://schemas.openxmlformats.org/drawingml/2006/main" prst="wedgeRectCallout">
          <a:avLst>
            <a:gd name="adj1" fmla="val -441625"/>
            <a:gd name="adj2" fmla="val 199269"/>
          </a:avLst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9933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993300"/>
              </a:solidFill>
              <a:latin typeface="Times New Roman"/>
              <a:cs typeface="Times New Roman"/>
            </a:rPr>
            <a:t>6</a:t>
          </a:r>
        </a:p>
      </cdr:txBody>
    </cdr:sp>
  </cdr:relSizeAnchor>
  <cdr:relSizeAnchor xmlns:cdr="http://schemas.openxmlformats.org/drawingml/2006/chartDrawing">
    <cdr:from>
      <cdr:x>0.77525</cdr:x>
      <cdr:y>0.75375</cdr:y>
    </cdr:from>
    <cdr:to>
      <cdr:x>0.8035</cdr:x>
      <cdr:y>0.787</cdr:y>
    </cdr:to>
    <cdr:sp macro="" textlink="">
      <cdr:nvSpPr>
        <cdr:cNvPr id="115737" name="AutoShape 2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40576" y="4235887"/>
          <a:ext cx="260201" cy="186856"/>
        </a:xfrm>
        <a:prstGeom xmlns:a="http://schemas.openxmlformats.org/drawingml/2006/main" prst="wedgeRectCallout">
          <a:avLst>
            <a:gd name="adj1" fmla="val -110907"/>
            <a:gd name="adj2" fmla="val 99366"/>
          </a:avLst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FF00FF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FF00FF"/>
              </a:solidFill>
              <a:latin typeface="Times New Roman"/>
              <a:cs typeface="Times New Roman"/>
            </a:rPr>
            <a:t>8</a:t>
          </a:r>
        </a:p>
      </cdr:txBody>
    </cdr:sp>
  </cdr:relSizeAnchor>
  <cdr:relSizeAnchor xmlns:cdr="http://schemas.openxmlformats.org/drawingml/2006/chartDrawing">
    <cdr:from>
      <cdr:x>0.733</cdr:x>
      <cdr:y>0.72025</cdr:y>
    </cdr:from>
    <cdr:to>
      <cdr:x>0.763</cdr:x>
      <cdr:y>0.7545</cdr:y>
    </cdr:to>
    <cdr:sp macro="" textlink="">
      <cdr:nvSpPr>
        <cdr:cNvPr id="115738" name="AutoShape 26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51425" y="4047625"/>
          <a:ext cx="276320" cy="192476"/>
        </a:xfrm>
        <a:prstGeom xmlns:a="http://schemas.openxmlformats.org/drawingml/2006/main" prst="wedgeRectCallout">
          <a:avLst>
            <a:gd name="adj1" fmla="val -240694"/>
            <a:gd name="adj2" fmla="val 97120"/>
          </a:avLst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FF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00FF00"/>
              </a:solidFill>
              <a:latin typeface="Times New Roman"/>
              <a:cs typeface="Times New Roman"/>
            </a:rPr>
            <a:t>7</a:t>
          </a:r>
        </a:p>
      </cdr:txBody>
    </cdr:sp>
  </cdr:relSizeAnchor>
  <cdr:relSizeAnchor xmlns:cdr="http://schemas.openxmlformats.org/drawingml/2006/chartDrawing">
    <cdr:from>
      <cdr:x>0.47475</cdr:x>
      <cdr:y>0.2765</cdr:y>
    </cdr:from>
    <cdr:to>
      <cdr:x>0.504</cdr:x>
      <cdr:y>0.31</cdr:y>
    </cdr:to>
    <cdr:sp macro="" textlink="">
      <cdr:nvSpPr>
        <cdr:cNvPr id="115739" name="AutoShape 2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72768" y="1553861"/>
          <a:ext cx="269412" cy="188262"/>
        </a:xfrm>
        <a:prstGeom xmlns:a="http://schemas.openxmlformats.org/drawingml/2006/main" prst="wedgeRectCallout">
          <a:avLst>
            <a:gd name="adj1" fmla="val -15625"/>
            <a:gd name="adj2" fmla="val -197824"/>
          </a:avLst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8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tr-TR" sz="1200" b="1" i="0" strike="noStrike">
              <a:solidFill>
                <a:srgbClr val="008000"/>
              </a:solidFill>
              <a:latin typeface="Times New Roman"/>
              <a:cs typeface="Times New Roman"/>
            </a:rPr>
            <a:t>9</a:t>
          </a:r>
        </a:p>
      </cdr:txBody>
    </cdr:sp>
  </cdr:relSizeAnchor>
  <cdr:relSizeAnchor xmlns:cdr="http://schemas.openxmlformats.org/drawingml/2006/chartDrawing">
    <cdr:from>
      <cdr:x>0.64575</cdr:x>
      <cdr:y>0.368</cdr:y>
    </cdr:from>
    <cdr:to>
      <cdr:x>0.9865</cdr:x>
      <cdr:y>0.63525</cdr:y>
    </cdr:to>
    <cdr:sp macro="" textlink="">
      <cdr:nvSpPr>
        <cdr:cNvPr id="115740" name="Text Box 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47793" y="2068068"/>
          <a:ext cx="3138538" cy="15018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0" bIns="0" anchor="t" upright="1"/>
        <a:lstStyle xmlns:a="http://schemas.openxmlformats.org/drawingml/2006/main"/>
        <a:p xmlns:a="http://schemas.openxmlformats.org/drawingml/2006/main">
          <a:pPr algn="l" rtl="0">
            <a:lnSpc>
              <a:spcPts val="1300"/>
            </a:lnSpc>
            <a:defRPr sz="1000"/>
          </a:pPr>
          <a:r>
            <a:rPr lang="tr-TR" sz="1200" b="0" i="0" strike="noStrike">
              <a:solidFill>
                <a:srgbClr val="800080"/>
              </a:solidFill>
              <a:latin typeface="Times New Roman"/>
              <a:cs typeface="Times New Roman"/>
            </a:rPr>
            <a:t>5-MARMARA, EGE, DOĞU KARADENİZ, AKDENİZ YAKINI DAĞ</a:t>
          </a:r>
          <a:endParaRPr lang="tr-TR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l" rtl="0">
            <a:defRPr sz="1000"/>
          </a:pPr>
          <a:r>
            <a:rPr lang="tr-TR" sz="1200" b="0" i="0" strike="noStrike">
              <a:solidFill>
                <a:srgbClr val="993300"/>
              </a:solidFill>
              <a:latin typeface="Times New Roman"/>
              <a:cs typeface="Times New Roman"/>
            </a:rPr>
            <a:t>6-ERGENE, DOĞU AKDENİZ</a:t>
          </a:r>
          <a:endParaRPr lang="tr-TR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l" rtl="0">
            <a:defRPr sz="1000"/>
          </a:pPr>
          <a:r>
            <a:rPr lang="tr-TR" sz="1200" b="0" i="0" strike="noStrike">
              <a:solidFill>
                <a:srgbClr val="00FF00"/>
              </a:solidFill>
              <a:latin typeface="Times New Roman"/>
              <a:cs typeface="Times New Roman"/>
            </a:rPr>
            <a:t>7-BATI KARADENİZ (ZONGULDAK VARKEN)</a:t>
          </a:r>
          <a:endParaRPr lang="tr-TR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l" rtl="0">
            <a:lnSpc>
              <a:spcPts val="1300"/>
            </a:lnSpc>
            <a:defRPr sz="1000"/>
          </a:pPr>
          <a:r>
            <a:rPr lang="tr-TR" sz="1200" b="0" i="0" strike="noStrike">
              <a:solidFill>
                <a:srgbClr val="FF00FF"/>
              </a:solidFill>
              <a:latin typeface="Times New Roman"/>
              <a:cs typeface="Times New Roman"/>
            </a:rPr>
            <a:t>8-BATI AKDENİZ</a:t>
          </a:r>
          <a:endParaRPr lang="tr-TR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l" rtl="0">
            <a:lnSpc>
              <a:spcPts val="1300"/>
            </a:lnSpc>
            <a:defRPr sz="1000"/>
          </a:pPr>
          <a:r>
            <a:rPr lang="tr-TR" sz="1200" b="0" i="0" strike="noStrike">
              <a:solidFill>
                <a:srgbClr val="008000"/>
              </a:solidFill>
              <a:latin typeface="Times New Roman"/>
              <a:cs typeface="Times New Roman"/>
            </a:rPr>
            <a:t>9-DÜNYA-24 SAAT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7</xdr:row>
          <xdr:rowOff>180975</xdr:rowOff>
        </xdr:from>
        <xdr:to>
          <xdr:col>11</xdr:col>
          <xdr:colOff>0</xdr:colOff>
          <xdr:row>16</xdr:row>
          <xdr:rowOff>133350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66675</xdr:rowOff>
        </xdr:from>
        <xdr:to>
          <xdr:col>3</xdr:col>
          <xdr:colOff>123825</xdr:colOff>
          <xdr:row>2</xdr:row>
          <xdr:rowOff>180975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222DFD13-D32F-4DC9-AE4B-36333FA17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huseyinsefahizli@dsi.gov.t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3"/>
  <dimension ref="A1:BU208"/>
  <sheetViews>
    <sheetView topLeftCell="L1" zoomScale="85" workbookViewId="0">
      <selection activeCell="BL3" sqref="BL3"/>
    </sheetView>
  </sheetViews>
  <sheetFormatPr defaultColWidth="9" defaultRowHeight="12.75" x14ac:dyDescent="0.2"/>
  <cols>
    <col min="1" max="1" width="3.5" style="43" hidden="1" customWidth="1"/>
    <col min="2" max="2" width="3.75" style="43" hidden="1" customWidth="1"/>
    <col min="3" max="3" width="6.625" style="43" hidden="1" customWidth="1"/>
    <col min="4" max="4" width="5.75" style="43" hidden="1" customWidth="1"/>
    <col min="5" max="5" width="6.625" style="43" bestFit="1" customWidth="1"/>
    <col min="6" max="6" width="4.75" style="43" bestFit="1" customWidth="1"/>
    <col min="7" max="7" width="1.75" style="43" hidden="1" customWidth="1"/>
    <col min="8" max="8" width="4.375" style="43" hidden="1" customWidth="1"/>
    <col min="9" max="9" width="3.75" style="43" hidden="1" customWidth="1"/>
    <col min="10" max="11" width="6.625" style="43" hidden="1" customWidth="1"/>
    <col min="12" max="12" width="6.625" style="43" customWidth="1"/>
    <col min="13" max="13" width="4.875" style="43" bestFit="1" customWidth="1"/>
    <col min="14" max="14" width="1.75" style="43" hidden="1" customWidth="1"/>
    <col min="15" max="15" width="3.5" style="43" hidden="1" customWidth="1"/>
    <col min="16" max="16" width="3.75" style="43" hidden="1" customWidth="1"/>
    <col min="17" max="18" width="6.625" style="43" hidden="1" customWidth="1"/>
    <col min="19" max="19" width="6.625" style="43" customWidth="1"/>
    <col min="20" max="20" width="4.875" style="43" bestFit="1" customWidth="1"/>
    <col min="21" max="21" width="1.75" style="43" hidden="1" customWidth="1"/>
    <col min="22" max="22" width="3.5" style="43" hidden="1" customWidth="1"/>
    <col min="23" max="23" width="3.75" style="43" hidden="1" customWidth="1"/>
    <col min="24" max="25" width="6.625" style="43" hidden="1" customWidth="1"/>
    <col min="26" max="26" width="6.625" style="43" customWidth="1"/>
    <col min="27" max="27" width="4.875" style="43" bestFit="1" customWidth="1"/>
    <col min="28" max="28" width="1.75" style="43" hidden="1" customWidth="1"/>
    <col min="29" max="29" width="3.5" style="43" hidden="1" customWidth="1"/>
    <col min="30" max="30" width="3.75" style="43" hidden="1" customWidth="1"/>
    <col min="31" max="32" width="6.625" style="43" hidden="1" customWidth="1"/>
    <col min="33" max="33" width="6.625" style="43" customWidth="1"/>
    <col min="34" max="34" width="4.875" style="43" bestFit="1" customWidth="1"/>
    <col min="35" max="35" width="1.75" style="43" hidden="1" customWidth="1"/>
    <col min="36" max="36" width="3.5" style="43" hidden="1" customWidth="1"/>
    <col min="37" max="37" width="3.75" style="43" hidden="1" customWidth="1"/>
    <col min="38" max="39" width="6.625" style="43" hidden="1" customWidth="1"/>
    <col min="40" max="40" width="6.625" style="43" customWidth="1"/>
    <col min="41" max="41" width="4.875" style="43" bestFit="1" customWidth="1"/>
    <col min="42" max="42" width="1.75" style="43" hidden="1" customWidth="1"/>
    <col min="43" max="43" width="4.375" style="43" hidden="1" customWidth="1"/>
    <col min="44" max="44" width="3.75" style="43" hidden="1" customWidth="1"/>
    <col min="45" max="46" width="6.625" style="43" hidden="1" customWidth="1"/>
    <col min="47" max="47" width="6.625" style="43" customWidth="1"/>
    <col min="48" max="48" width="4.875" style="43" bestFit="1" customWidth="1"/>
    <col min="49" max="49" width="1.75" style="43" hidden="1" customWidth="1"/>
    <col min="50" max="50" width="4.375" style="43" hidden="1" customWidth="1"/>
    <col min="51" max="51" width="3.75" style="43" hidden="1" customWidth="1"/>
    <col min="52" max="53" width="6.625" style="43" hidden="1" customWidth="1"/>
    <col min="54" max="54" width="6.625" style="43" customWidth="1"/>
    <col min="55" max="55" width="4.875" style="43" bestFit="1" customWidth="1"/>
    <col min="56" max="56" width="1.75" style="43" hidden="1" customWidth="1"/>
    <col min="57" max="57" width="4.375" style="43" hidden="1" customWidth="1"/>
    <col min="58" max="58" width="3.75" style="43" hidden="1" customWidth="1"/>
    <col min="59" max="60" width="6.625" style="43" hidden="1" customWidth="1"/>
    <col min="61" max="61" width="6.625" style="43" bestFit="1" customWidth="1"/>
    <col min="62" max="62" width="4.875" style="43" bestFit="1" customWidth="1"/>
    <col min="63" max="63" width="1.75" style="43" hidden="1" customWidth="1"/>
    <col min="64" max="64" width="9.125" style="43" bestFit="1" customWidth="1"/>
    <col min="65" max="16384" width="9" style="43"/>
  </cols>
  <sheetData>
    <row r="1" spans="1:73" ht="16.5" customHeight="1" x14ac:dyDescent="0.2">
      <c r="A1" s="40" t="s">
        <v>51</v>
      </c>
      <c r="B1" s="40" t="s">
        <v>52</v>
      </c>
      <c r="C1" s="40" t="s">
        <v>53</v>
      </c>
      <c r="D1" s="41" t="s">
        <v>54</v>
      </c>
      <c r="E1" s="42" t="s">
        <v>53</v>
      </c>
      <c r="F1" s="42" t="s">
        <v>54</v>
      </c>
      <c r="H1" s="40" t="s">
        <v>51</v>
      </c>
      <c r="I1" s="40" t="s">
        <v>52</v>
      </c>
      <c r="J1" s="40" t="s">
        <v>55</v>
      </c>
      <c r="K1" s="41" t="s">
        <v>56</v>
      </c>
      <c r="L1" s="42" t="s">
        <v>55</v>
      </c>
      <c r="M1" s="42" t="s">
        <v>56</v>
      </c>
      <c r="O1" s="40" t="s">
        <v>51</v>
      </c>
      <c r="P1" s="40" t="s">
        <v>52</v>
      </c>
      <c r="Q1" s="40" t="s">
        <v>57</v>
      </c>
      <c r="R1" s="40" t="s">
        <v>58</v>
      </c>
      <c r="S1" s="40" t="s">
        <v>57</v>
      </c>
      <c r="T1" s="40" t="s">
        <v>58</v>
      </c>
      <c r="V1" s="40" t="s">
        <v>51</v>
      </c>
      <c r="W1" s="40" t="s">
        <v>52</v>
      </c>
      <c r="X1" s="40" t="s">
        <v>59</v>
      </c>
      <c r="Y1" s="40" t="s">
        <v>60</v>
      </c>
      <c r="Z1" s="40" t="s">
        <v>59</v>
      </c>
      <c r="AA1" s="40" t="s">
        <v>60</v>
      </c>
      <c r="AC1" s="40" t="s">
        <v>51</v>
      </c>
      <c r="AD1" s="40" t="s">
        <v>52</v>
      </c>
      <c r="AE1" s="40" t="s">
        <v>61</v>
      </c>
      <c r="AF1" s="40" t="s">
        <v>62</v>
      </c>
      <c r="AG1" s="40" t="s">
        <v>61</v>
      </c>
      <c r="AH1" s="40" t="s">
        <v>62</v>
      </c>
      <c r="AJ1" s="40" t="s">
        <v>51</v>
      </c>
      <c r="AK1" s="40" t="s">
        <v>52</v>
      </c>
      <c r="AL1" s="40" t="s">
        <v>63</v>
      </c>
      <c r="AM1" s="40" t="s">
        <v>64</v>
      </c>
      <c r="AN1" s="40" t="s">
        <v>63</v>
      </c>
      <c r="AO1" s="40" t="s">
        <v>64</v>
      </c>
      <c r="AQ1" s="40" t="s">
        <v>51</v>
      </c>
      <c r="AR1" s="40" t="s">
        <v>52</v>
      </c>
      <c r="AS1" s="40" t="s">
        <v>65</v>
      </c>
      <c r="AT1" s="40" t="s">
        <v>66</v>
      </c>
      <c r="AU1" s="40" t="s">
        <v>65</v>
      </c>
      <c r="AV1" s="40" t="s">
        <v>66</v>
      </c>
      <c r="AX1" s="40" t="s">
        <v>51</v>
      </c>
      <c r="AY1" s="40" t="s">
        <v>52</v>
      </c>
      <c r="AZ1" s="40" t="s">
        <v>67</v>
      </c>
      <c r="BA1" s="40" t="s">
        <v>68</v>
      </c>
      <c r="BB1" s="40" t="s">
        <v>67</v>
      </c>
      <c r="BC1" s="40" t="s">
        <v>68</v>
      </c>
      <c r="BE1" s="40" t="s">
        <v>51</v>
      </c>
      <c r="BF1" s="40" t="s">
        <v>52</v>
      </c>
      <c r="BG1" s="40" t="s">
        <v>69</v>
      </c>
      <c r="BH1" s="40" t="s">
        <v>70</v>
      </c>
      <c r="BI1" s="40" t="s">
        <v>69</v>
      </c>
      <c r="BJ1" s="40" t="s">
        <v>70</v>
      </c>
      <c r="BL1" s="69" t="s">
        <v>71</v>
      </c>
      <c r="BM1" s="69"/>
      <c r="BN1" s="69"/>
      <c r="BO1" s="69"/>
      <c r="BP1" s="69"/>
      <c r="BQ1" s="69"/>
      <c r="BR1" s="69"/>
      <c r="BS1" s="69"/>
      <c r="BT1" s="69"/>
      <c r="BU1" s="69"/>
    </row>
    <row r="2" spans="1:73" ht="14.25" x14ac:dyDescent="0.25">
      <c r="A2" s="44" t="s">
        <v>72</v>
      </c>
      <c r="B2" s="44" t="s">
        <v>73</v>
      </c>
      <c r="C2" s="45">
        <v>179.9999</v>
      </c>
      <c r="D2" s="46">
        <v>-1E-4</v>
      </c>
      <c r="E2" s="47">
        <f>ROUND(C2/10,4)</f>
        <v>18</v>
      </c>
      <c r="F2" s="48">
        <f>ROUND(D2,1)</f>
        <v>0</v>
      </c>
      <c r="H2" s="44" t="s">
        <v>74</v>
      </c>
      <c r="I2" s="44" t="s">
        <v>75</v>
      </c>
      <c r="J2" s="45">
        <v>179.9999</v>
      </c>
      <c r="K2" s="46">
        <v>0.81869967057699899</v>
      </c>
      <c r="L2" s="47">
        <f>ROUND(J2/10,4)</f>
        <v>18</v>
      </c>
      <c r="M2" s="48">
        <f>ROUND(K2,1)</f>
        <v>0.8</v>
      </c>
      <c r="O2" s="44" t="s">
        <v>76</v>
      </c>
      <c r="P2" s="44" t="s">
        <v>77</v>
      </c>
      <c r="Q2" s="45">
        <v>179.99816219274916</v>
      </c>
      <c r="R2" s="45">
        <v>2.9998999999999998</v>
      </c>
      <c r="S2" s="47">
        <f>ROUND(Q2/10,4)</f>
        <v>17.9998</v>
      </c>
      <c r="T2" s="48">
        <f>ROUND(R2,1)</f>
        <v>3</v>
      </c>
      <c r="V2" s="44" t="s">
        <v>78</v>
      </c>
      <c r="W2" s="44" t="s">
        <v>79</v>
      </c>
      <c r="X2" s="45">
        <v>179.9999</v>
      </c>
      <c r="Y2" s="45">
        <v>4.3856406678411659</v>
      </c>
      <c r="Z2" s="47">
        <f>ROUND(X2/10,4)</f>
        <v>18</v>
      </c>
      <c r="AA2" s="48">
        <f>ROUND(Y2,1)</f>
        <v>4.4000000000000004</v>
      </c>
      <c r="AC2" s="44" t="s">
        <v>80</v>
      </c>
      <c r="AD2" s="44" t="s">
        <v>81</v>
      </c>
      <c r="AE2" s="45">
        <v>179.9999</v>
      </c>
      <c r="AF2" s="45">
        <v>6.2228260722231132</v>
      </c>
      <c r="AG2" s="47">
        <f>ROUND(AE2/10,4)</f>
        <v>18</v>
      </c>
      <c r="AH2" s="48">
        <f>ROUND(AF2,1)</f>
        <v>6.2</v>
      </c>
      <c r="AJ2" s="44" t="s">
        <v>82</v>
      </c>
      <c r="AK2" s="44" t="s">
        <v>83</v>
      </c>
      <c r="AL2" s="45">
        <v>179.9999</v>
      </c>
      <c r="AM2" s="45">
        <v>10.699040571015251</v>
      </c>
      <c r="AN2" s="47">
        <f>ROUND(AL2/10,4)</f>
        <v>18</v>
      </c>
      <c r="AO2" s="48">
        <f>ROUND(AM2,1)</f>
        <v>10.7</v>
      </c>
      <c r="AQ2" s="44" t="s">
        <v>84</v>
      </c>
      <c r="AR2" s="44" t="s">
        <v>85</v>
      </c>
      <c r="AS2" s="45">
        <v>179.9999</v>
      </c>
      <c r="AT2" s="45">
        <v>15.307205425043213</v>
      </c>
      <c r="AU2" s="47">
        <f>ROUND(AS2/10,4)</f>
        <v>18</v>
      </c>
      <c r="AV2" s="48">
        <f>ROUND(AT2,1)</f>
        <v>15.3</v>
      </c>
      <c r="AX2" s="44" t="s">
        <v>86</v>
      </c>
      <c r="AY2" s="44" t="s">
        <v>87</v>
      </c>
      <c r="AZ2" s="45">
        <v>179.9999</v>
      </c>
      <c r="BA2" s="45">
        <v>20.013627985411063</v>
      </c>
      <c r="BB2" s="47">
        <f t="shared" ref="BB2:BB65" si="0">ROUND(AZ2/10,4)</f>
        <v>18</v>
      </c>
      <c r="BC2" s="48">
        <f t="shared" ref="BC2:BC65" si="1">ROUND(BA2,1)</f>
        <v>20</v>
      </c>
      <c r="BE2" s="44" t="s">
        <v>88</v>
      </c>
      <c r="BF2" s="44" t="s">
        <v>89</v>
      </c>
      <c r="BG2" s="45">
        <v>179.9999</v>
      </c>
      <c r="BH2" s="45">
        <v>30.722015207817059</v>
      </c>
      <c r="BI2" s="47">
        <f>ROUND(BG2/10,4)</f>
        <v>18</v>
      </c>
      <c r="BJ2" s="48">
        <f>ROUND(BH2,1)</f>
        <v>30.7</v>
      </c>
      <c r="BL2" s="49" t="s">
        <v>90</v>
      </c>
      <c r="BM2" s="50" t="s">
        <v>54</v>
      </c>
      <c r="BN2" s="50" t="s">
        <v>56</v>
      </c>
      <c r="BO2" s="50" t="s">
        <v>91</v>
      </c>
      <c r="BP2" s="50" t="s">
        <v>92</v>
      </c>
      <c r="BQ2" s="50" t="s">
        <v>93</v>
      </c>
      <c r="BR2" s="50" t="s">
        <v>94</v>
      </c>
      <c r="BS2" s="50" t="s">
        <v>95</v>
      </c>
      <c r="BT2" s="50" t="s">
        <v>96</v>
      </c>
      <c r="BU2" s="50" t="s">
        <v>97</v>
      </c>
    </row>
    <row r="3" spans="1:73" x14ac:dyDescent="0.2">
      <c r="A3" s="44" t="s">
        <v>98</v>
      </c>
      <c r="B3" s="44" t="s">
        <v>73</v>
      </c>
      <c r="C3" s="45">
        <v>161.1792084159155</v>
      </c>
      <c r="D3" s="46">
        <v>0.99990000000000001</v>
      </c>
      <c r="E3" s="47">
        <f>ROUND(C3/10,4)</f>
        <v>16.117899999999999</v>
      </c>
      <c r="F3" s="48">
        <f>ROUND(D3,1)</f>
        <v>1</v>
      </c>
      <c r="H3" s="44" t="s">
        <v>99</v>
      </c>
      <c r="I3" s="44" t="s">
        <v>75</v>
      </c>
      <c r="J3" s="45">
        <v>178.46502662135811</v>
      </c>
      <c r="K3" s="45">
        <v>0.99990000000000001</v>
      </c>
      <c r="L3" s="47">
        <f t="shared" ref="L3:L66" si="2">ROUND(J3/10,4)</f>
        <v>17.846499999999999</v>
      </c>
      <c r="M3" s="48">
        <f t="shared" ref="M3:M66" si="3">ROUND(K3,1)</f>
        <v>1</v>
      </c>
      <c r="O3" s="44" t="s">
        <v>100</v>
      </c>
      <c r="P3" s="44" t="s">
        <v>77</v>
      </c>
      <c r="Q3" s="45">
        <v>176.6135468081338</v>
      </c>
      <c r="R3" s="45">
        <v>3.9998999999999998</v>
      </c>
      <c r="S3" s="47">
        <f t="shared" ref="S3:S66" si="4">ROUND(Q3/10,4)</f>
        <v>17.6614</v>
      </c>
      <c r="T3" s="48">
        <f t="shared" ref="T3:T66" si="5">ROUND(R3,1)</f>
        <v>4</v>
      </c>
      <c r="V3" s="44" t="s">
        <v>101</v>
      </c>
      <c r="W3" s="44" t="s">
        <v>79</v>
      </c>
      <c r="X3" s="45">
        <v>178.10597215993644</v>
      </c>
      <c r="Y3" s="45">
        <v>4.9999000000000002</v>
      </c>
      <c r="Z3" s="47">
        <f t="shared" ref="Z3:Z66" si="6">ROUND(X3/10,4)</f>
        <v>17.810600000000001</v>
      </c>
      <c r="AA3" s="48">
        <f t="shared" ref="AA3:AA66" si="7">ROUND(Y3,1)</f>
        <v>5</v>
      </c>
      <c r="AC3" s="44" t="s">
        <v>102</v>
      </c>
      <c r="AD3" s="44" t="s">
        <v>81</v>
      </c>
      <c r="AE3" s="45">
        <v>178.38205756020221</v>
      </c>
      <c r="AF3" s="45">
        <v>6.9999000000000002</v>
      </c>
      <c r="AG3" s="47">
        <f t="shared" ref="AG3:AG66" si="8">ROUND(AE3/10,4)</f>
        <v>17.838200000000001</v>
      </c>
      <c r="AH3" s="48">
        <f t="shared" ref="AH3:AH66" si="9">ROUND(AF3,1)</f>
        <v>7</v>
      </c>
      <c r="AJ3" s="44" t="s">
        <v>103</v>
      </c>
      <c r="AK3" s="44" t="s">
        <v>83</v>
      </c>
      <c r="AL3" s="45">
        <v>179.54861085652288</v>
      </c>
      <c r="AM3" s="45">
        <v>10.9999</v>
      </c>
      <c r="AN3" s="47">
        <f t="shared" ref="AN3:AN66" si="10">ROUND(AL3/10,4)</f>
        <v>17.954899999999999</v>
      </c>
      <c r="AO3" s="48">
        <f t="shared" ref="AO3:AO66" si="11">ROUND(AM3,1)</f>
        <v>11</v>
      </c>
      <c r="AQ3" s="44" t="s">
        <v>104</v>
      </c>
      <c r="AR3" s="44" t="s">
        <v>85</v>
      </c>
      <c r="AS3" s="45">
        <v>179.25954295428932</v>
      </c>
      <c r="AT3" s="45">
        <v>15.9999</v>
      </c>
      <c r="AU3" s="47">
        <f t="shared" ref="AU3:AU66" si="12">ROUND(AS3/10,4)</f>
        <v>17.925999999999998</v>
      </c>
      <c r="AV3" s="48">
        <f t="shared" ref="AV3:AV66" si="13">ROUND(AT3,1)</f>
        <v>16</v>
      </c>
      <c r="AX3" s="44" t="s">
        <v>105</v>
      </c>
      <c r="AY3" s="44" t="s">
        <v>87</v>
      </c>
      <c r="AZ3" s="45">
        <v>178.9733719848156</v>
      </c>
      <c r="BA3" s="45">
        <v>20.9999</v>
      </c>
      <c r="BB3" s="47">
        <f t="shared" si="0"/>
        <v>17.897300000000001</v>
      </c>
      <c r="BC3" s="48">
        <f t="shared" si="1"/>
        <v>21</v>
      </c>
      <c r="BE3" s="44" t="s">
        <v>106</v>
      </c>
      <c r="BF3" s="44" t="s">
        <v>89</v>
      </c>
      <c r="BG3" s="45">
        <v>179.84845278826029</v>
      </c>
      <c r="BH3" s="45">
        <v>30.9999</v>
      </c>
      <c r="BI3" s="47">
        <f t="shared" ref="BI3:BI66" si="14">ROUND(BG3/10,4)</f>
        <v>17.9848</v>
      </c>
      <c r="BJ3" s="48">
        <f t="shared" ref="BJ3:BJ66" si="15">ROUND(BH3,1)</f>
        <v>31</v>
      </c>
      <c r="BL3" s="51" t="e">
        <f>+#REF!</f>
        <v>#REF!</v>
      </c>
      <c r="BM3" s="52" t="e">
        <f>LOOKUP(BL3,F2:F70,E2:E81)</f>
        <v>#REF!</v>
      </c>
      <c r="BN3" s="52" t="e">
        <f>LOOKUP(BL3,M2:M111,L2:L111)</f>
        <v>#REF!</v>
      </c>
      <c r="BO3" s="52" t="e">
        <f>LOOKUP(BL3,T2:T119,S2:S119)</f>
        <v>#REF!</v>
      </c>
      <c r="BP3" s="52" t="e">
        <f>LOOKUP(BL3,AA2:AA132,Z2:Z132)</f>
        <v>#REF!</v>
      </c>
      <c r="BQ3" s="52" t="e">
        <f>LOOKUP(BL3,AH2:AH160,AG2:AG160)</f>
        <v>#REF!</v>
      </c>
      <c r="BR3" s="52" t="e">
        <f>LOOKUP(BL3,AO2:AO180,AN2:AN180)</f>
        <v>#REF!</v>
      </c>
      <c r="BS3" s="52" t="e">
        <f>LOOKUP(BL3,AV2:AV198,AU2:AU198)</f>
        <v>#REF!</v>
      </c>
      <c r="BT3" s="52" t="e">
        <f>LOOKUP(BL3,BC2:BC208,BB2:BB208)</f>
        <v>#REF!</v>
      </c>
      <c r="BU3" s="52" t="e">
        <f>LOOKUP(BL3,BJ2:BJ166,BI2:BI166)</f>
        <v>#REF!</v>
      </c>
    </row>
    <row r="4" spans="1:73" x14ac:dyDescent="0.2">
      <c r="A4" s="44" t="s">
        <v>107</v>
      </c>
      <c r="B4" s="44" t="s">
        <v>73</v>
      </c>
      <c r="C4" s="45">
        <v>153.24729617223852</v>
      </c>
      <c r="D4" s="45">
        <v>1.9999</v>
      </c>
      <c r="E4" s="47">
        <f t="shared" ref="E4:E67" si="16">ROUND(C4/10,4)</f>
        <v>15.3247</v>
      </c>
      <c r="F4" s="48">
        <f t="shared" ref="F4:F67" si="17">ROUND(D4,1)</f>
        <v>2</v>
      </c>
      <c r="H4" s="44" t="s">
        <v>108</v>
      </c>
      <c r="I4" s="44" t="s">
        <v>75</v>
      </c>
      <c r="J4" s="45">
        <v>171.49959578413677</v>
      </c>
      <c r="K4" s="45">
        <v>1.9999</v>
      </c>
      <c r="L4" s="47">
        <f t="shared" si="2"/>
        <v>17.149999999999999</v>
      </c>
      <c r="M4" s="48">
        <f t="shared" si="3"/>
        <v>2</v>
      </c>
      <c r="O4" s="44" t="s">
        <v>109</v>
      </c>
      <c r="P4" s="44" t="s">
        <v>77</v>
      </c>
      <c r="Q4" s="45">
        <v>173.61751301792344</v>
      </c>
      <c r="R4" s="45">
        <v>4.9999000000000002</v>
      </c>
      <c r="S4" s="47">
        <f t="shared" si="4"/>
        <v>17.361799999999999</v>
      </c>
      <c r="T4" s="48">
        <f t="shared" si="5"/>
        <v>5</v>
      </c>
      <c r="V4" s="44" t="s">
        <v>110</v>
      </c>
      <c r="W4" s="44" t="s">
        <v>79</v>
      </c>
      <c r="X4" s="45">
        <v>175.35133876918542</v>
      </c>
      <c r="Y4" s="45">
        <v>5.9999000000000002</v>
      </c>
      <c r="Z4" s="47">
        <f t="shared" si="6"/>
        <v>17.5351</v>
      </c>
      <c r="AA4" s="48">
        <f t="shared" si="7"/>
        <v>6</v>
      </c>
      <c r="AC4" s="44" t="s">
        <v>111</v>
      </c>
      <c r="AD4" s="44" t="s">
        <v>81</v>
      </c>
      <c r="AE4" s="45">
        <v>176.30009034708746</v>
      </c>
      <c r="AF4" s="45">
        <v>7.9999000000000002</v>
      </c>
      <c r="AG4" s="47">
        <f t="shared" si="8"/>
        <v>17.63</v>
      </c>
      <c r="AH4" s="48">
        <f t="shared" si="9"/>
        <v>8</v>
      </c>
      <c r="AJ4" s="44" t="s">
        <v>112</v>
      </c>
      <c r="AK4" s="44" t="s">
        <v>83</v>
      </c>
      <c r="AL4" s="45">
        <v>178.04861085652286</v>
      </c>
      <c r="AM4" s="45">
        <v>11.9999</v>
      </c>
      <c r="AN4" s="47">
        <f t="shared" si="10"/>
        <v>17.8049</v>
      </c>
      <c r="AO4" s="48">
        <f t="shared" si="11"/>
        <v>12</v>
      </c>
      <c r="AQ4" s="44" t="s">
        <v>113</v>
      </c>
      <c r="AR4" s="44" t="s">
        <v>85</v>
      </c>
      <c r="AS4" s="45">
        <v>178.19073561483975</v>
      </c>
      <c r="AT4" s="45">
        <v>16.9999</v>
      </c>
      <c r="AU4" s="47">
        <f t="shared" si="12"/>
        <v>17.819099999999999</v>
      </c>
      <c r="AV4" s="48">
        <f t="shared" si="13"/>
        <v>17</v>
      </c>
      <c r="AX4" s="44" t="s">
        <v>114</v>
      </c>
      <c r="AY4" s="44" t="s">
        <v>87</v>
      </c>
      <c r="AZ4" s="45">
        <v>177.93255565828497</v>
      </c>
      <c r="BA4" s="45">
        <v>21.9999</v>
      </c>
      <c r="BB4" s="47">
        <f t="shared" si="0"/>
        <v>17.793299999999999</v>
      </c>
      <c r="BC4" s="48">
        <f t="shared" si="1"/>
        <v>22</v>
      </c>
      <c r="BE4" s="44" t="s">
        <v>115</v>
      </c>
      <c r="BF4" s="44" t="s">
        <v>89</v>
      </c>
      <c r="BG4" s="45">
        <v>179.31722833976582</v>
      </c>
      <c r="BH4" s="45">
        <v>31.9999</v>
      </c>
      <c r="BI4" s="47">
        <f t="shared" si="14"/>
        <v>17.931699999999999</v>
      </c>
      <c r="BJ4" s="48">
        <f t="shared" si="15"/>
        <v>32</v>
      </c>
      <c r="BM4" s="50">
        <v>1</v>
      </c>
      <c r="BN4" s="50">
        <v>2</v>
      </c>
      <c r="BO4" s="50">
        <v>3</v>
      </c>
      <c r="BP4" s="50">
        <v>4</v>
      </c>
      <c r="BQ4" s="50">
        <v>5</v>
      </c>
      <c r="BR4" s="50">
        <v>6</v>
      </c>
      <c r="BS4" s="50">
        <v>7</v>
      </c>
      <c r="BT4" s="50">
        <v>8</v>
      </c>
      <c r="BU4" s="50">
        <v>9</v>
      </c>
    </row>
    <row r="5" spans="1:73" x14ac:dyDescent="0.2">
      <c r="A5" s="44" t="s">
        <v>116</v>
      </c>
      <c r="B5" s="44" t="s">
        <v>73</v>
      </c>
      <c r="C5" s="45">
        <v>147.97017199800885</v>
      </c>
      <c r="D5" s="45">
        <v>2.9998999999999998</v>
      </c>
      <c r="E5" s="47">
        <f t="shared" si="16"/>
        <v>14.797000000000001</v>
      </c>
      <c r="F5" s="48">
        <f t="shared" si="17"/>
        <v>3</v>
      </c>
      <c r="H5" s="44" t="s">
        <v>117</v>
      </c>
      <c r="I5" s="44" t="s">
        <v>75</v>
      </c>
      <c r="J5" s="45">
        <v>165.87260876239</v>
      </c>
      <c r="K5" s="45">
        <v>2.9998999999999998</v>
      </c>
      <c r="L5" s="47">
        <f t="shared" si="2"/>
        <v>16.587299999999999</v>
      </c>
      <c r="M5" s="48">
        <f t="shared" si="3"/>
        <v>3</v>
      </c>
      <c r="O5" s="44" t="s">
        <v>118</v>
      </c>
      <c r="P5" s="44" t="s">
        <v>77</v>
      </c>
      <c r="Q5" s="45">
        <v>170.64315404356449</v>
      </c>
      <c r="R5" s="45">
        <v>5.9999000000000002</v>
      </c>
      <c r="S5" s="47">
        <f t="shared" si="4"/>
        <v>17.064299999999999</v>
      </c>
      <c r="T5" s="48">
        <f t="shared" si="5"/>
        <v>6</v>
      </c>
      <c r="V5" s="44" t="s">
        <v>119</v>
      </c>
      <c r="W5" s="44" t="s">
        <v>79</v>
      </c>
      <c r="X5" s="45">
        <v>172.87174693245072</v>
      </c>
      <c r="Y5" s="45">
        <v>6.9999000000000002</v>
      </c>
      <c r="Z5" s="47">
        <f t="shared" si="6"/>
        <v>17.287199999999999</v>
      </c>
      <c r="AA5" s="48">
        <f t="shared" si="7"/>
        <v>7</v>
      </c>
      <c r="AC5" s="44" t="s">
        <v>120</v>
      </c>
      <c r="AD5" s="44" t="s">
        <v>81</v>
      </c>
      <c r="AE5" s="45">
        <v>174.22828398599691</v>
      </c>
      <c r="AF5" s="45">
        <v>8.9999000000000002</v>
      </c>
      <c r="AG5" s="47">
        <f t="shared" si="8"/>
        <v>17.422799999999999</v>
      </c>
      <c r="AH5" s="48">
        <f t="shared" si="9"/>
        <v>9</v>
      </c>
      <c r="AJ5" s="44" t="s">
        <v>121</v>
      </c>
      <c r="AK5" s="44" t="s">
        <v>83</v>
      </c>
      <c r="AL5" s="45">
        <v>176.54861085652286</v>
      </c>
      <c r="AM5" s="45">
        <v>12.9999</v>
      </c>
      <c r="AN5" s="47">
        <f t="shared" si="10"/>
        <v>17.654900000000001</v>
      </c>
      <c r="AO5" s="48">
        <f t="shared" si="11"/>
        <v>13</v>
      </c>
      <c r="AQ5" s="44" t="s">
        <v>122</v>
      </c>
      <c r="AR5" s="44" t="s">
        <v>85</v>
      </c>
      <c r="AS5" s="45">
        <v>177.12192827539022</v>
      </c>
      <c r="AT5" s="45">
        <v>17.9999</v>
      </c>
      <c r="AU5" s="47">
        <f t="shared" si="12"/>
        <v>17.712199999999999</v>
      </c>
      <c r="AV5" s="48">
        <f t="shared" si="13"/>
        <v>18</v>
      </c>
      <c r="AX5" s="44" t="s">
        <v>123</v>
      </c>
      <c r="AY5" s="44" t="s">
        <v>87</v>
      </c>
      <c r="AZ5" s="45">
        <v>176.82368072597421</v>
      </c>
      <c r="BA5" s="45">
        <v>22.9999</v>
      </c>
      <c r="BB5" s="47">
        <f t="shared" si="0"/>
        <v>17.682400000000001</v>
      </c>
      <c r="BC5" s="48">
        <f t="shared" si="1"/>
        <v>23</v>
      </c>
      <c r="BE5" s="44" t="s">
        <v>124</v>
      </c>
      <c r="BF5" s="44" t="s">
        <v>89</v>
      </c>
      <c r="BG5" s="45">
        <v>178.81156796240734</v>
      </c>
      <c r="BH5" s="45">
        <v>32.999899999999997</v>
      </c>
      <c r="BI5" s="47">
        <f t="shared" si="14"/>
        <v>17.8812</v>
      </c>
      <c r="BJ5" s="48">
        <f t="shared" si="15"/>
        <v>33</v>
      </c>
      <c r="BM5" s="53" t="s">
        <v>125</v>
      </c>
      <c r="BN5" s="53"/>
      <c r="BO5" s="53"/>
      <c r="BP5" s="53"/>
      <c r="BQ5" s="53"/>
      <c r="BR5" s="53"/>
    </row>
    <row r="6" spans="1:73" x14ac:dyDescent="0.2">
      <c r="A6" s="44" t="s">
        <v>126</v>
      </c>
      <c r="B6" s="44" t="s">
        <v>73</v>
      </c>
      <c r="C6" s="45">
        <v>144.12115239016569</v>
      </c>
      <c r="D6" s="45">
        <v>3.9998999999999998</v>
      </c>
      <c r="E6" s="47">
        <f t="shared" si="16"/>
        <v>14.412100000000001</v>
      </c>
      <c r="F6" s="48">
        <f t="shared" si="17"/>
        <v>4</v>
      </c>
      <c r="H6" s="44" t="s">
        <v>127</v>
      </c>
      <c r="I6" s="44" t="s">
        <v>75</v>
      </c>
      <c r="J6" s="45">
        <v>161.67260876238998</v>
      </c>
      <c r="K6" s="45">
        <v>3.9998999999999998</v>
      </c>
      <c r="L6" s="47">
        <f t="shared" si="2"/>
        <v>16.167300000000001</v>
      </c>
      <c r="M6" s="48">
        <f t="shared" si="3"/>
        <v>4</v>
      </c>
      <c r="O6" s="44" t="s">
        <v>128</v>
      </c>
      <c r="P6" s="44" t="s">
        <v>77</v>
      </c>
      <c r="Q6" s="45">
        <v>167.76945163473314</v>
      </c>
      <c r="R6" s="45">
        <v>6.9999000000000002</v>
      </c>
      <c r="S6" s="47">
        <f t="shared" si="4"/>
        <v>16.776900000000001</v>
      </c>
      <c r="T6" s="48">
        <f t="shared" si="5"/>
        <v>7</v>
      </c>
      <c r="V6" s="44" t="s">
        <v>129</v>
      </c>
      <c r="W6" s="44" t="s">
        <v>79</v>
      </c>
      <c r="X6" s="45">
        <v>170.39215509571605</v>
      </c>
      <c r="Y6" s="45">
        <v>7.9999000000000002</v>
      </c>
      <c r="Z6" s="47">
        <f t="shared" si="6"/>
        <v>17.039200000000001</v>
      </c>
      <c r="AA6" s="48">
        <f t="shared" si="7"/>
        <v>8</v>
      </c>
      <c r="AC6" s="44" t="s">
        <v>130</v>
      </c>
      <c r="AD6" s="44" t="s">
        <v>81</v>
      </c>
      <c r="AE6" s="45">
        <v>172.28091556494428</v>
      </c>
      <c r="AF6" s="45">
        <v>9.9999000000000002</v>
      </c>
      <c r="AG6" s="47">
        <f t="shared" si="8"/>
        <v>17.228100000000001</v>
      </c>
      <c r="AH6" s="48">
        <f t="shared" si="9"/>
        <v>10</v>
      </c>
      <c r="AJ6" s="44" t="s">
        <v>131</v>
      </c>
      <c r="AK6" s="44" t="s">
        <v>83</v>
      </c>
      <c r="AL6" s="45">
        <v>175.04861085652286</v>
      </c>
      <c r="AM6" s="45">
        <v>13.9999</v>
      </c>
      <c r="AN6" s="47">
        <f t="shared" si="10"/>
        <v>17.504899999999999</v>
      </c>
      <c r="AO6" s="48">
        <f t="shared" si="11"/>
        <v>14</v>
      </c>
      <c r="AQ6" s="44" t="s">
        <v>132</v>
      </c>
      <c r="AR6" s="44" t="s">
        <v>85</v>
      </c>
      <c r="AS6" s="45">
        <v>176.05312093594068</v>
      </c>
      <c r="AT6" s="45">
        <v>18.9999</v>
      </c>
      <c r="AU6" s="47">
        <f t="shared" si="12"/>
        <v>17.6053</v>
      </c>
      <c r="AV6" s="48">
        <f t="shared" si="13"/>
        <v>19</v>
      </c>
      <c r="AX6" s="44" t="s">
        <v>133</v>
      </c>
      <c r="AY6" s="44" t="s">
        <v>87</v>
      </c>
      <c r="AZ6" s="45">
        <v>175.71419167487932</v>
      </c>
      <c r="BA6" s="45">
        <v>23.9999</v>
      </c>
      <c r="BB6" s="47">
        <f t="shared" si="0"/>
        <v>17.571400000000001</v>
      </c>
      <c r="BC6" s="48">
        <f t="shared" si="1"/>
        <v>24</v>
      </c>
      <c r="BE6" s="44" t="s">
        <v>134</v>
      </c>
      <c r="BF6" s="44" t="s">
        <v>89</v>
      </c>
      <c r="BG6" s="45">
        <v>178.30590758504886</v>
      </c>
      <c r="BH6" s="45">
        <v>33.999899999999997</v>
      </c>
      <c r="BI6" s="47">
        <f t="shared" si="14"/>
        <v>17.8306</v>
      </c>
      <c r="BJ6" s="48">
        <f t="shared" si="15"/>
        <v>34</v>
      </c>
    </row>
    <row r="7" spans="1:73" x14ac:dyDescent="0.2">
      <c r="A7" s="44" t="s">
        <v>135</v>
      </c>
      <c r="B7" s="44" t="s">
        <v>73</v>
      </c>
      <c r="C7" s="45">
        <v>140.35287307828651</v>
      </c>
      <c r="D7" s="45">
        <v>4.9999000000000002</v>
      </c>
      <c r="E7" s="47">
        <f t="shared" si="16"/>
        <v>14.035299999999999</v>
      </c>
      <c r="F7" s="48">
        <f t="shared" si="17"/>
        <v>5</v>
      </c>
      <c r="H7" s="44" t="s">
        <v>136</v>
      </c>
      <c r="I7" s="44" t="s">
        <v>75</v>
      </c>
      <c r="J7" s="45">
        <v>157.50124907466065</v>
      </c>
      <c r="K7" s="45">
        <v>4.9999000000000002</v>
      </c>
      <c r="L7" s="47">
        <f t="shared" si="2"/>
        <v>15.7501</v>
      </c>
      <c r="M7" s="48">
        <f t="shared" si="3"/>
        <v>5</v>
      </c>
      <c r="O7" s="44" t="s">
        <v>137</v>
      </c>
      <c r="P7" s="44" t="s">
        <v>77</v>
      </c>
      <c r="Q7" s="45">
        <v>165.04852140217503</v>
      </c>
      <c r="R7" s="45">
        <v>7.9999000000000002</v>
      </c>
      <c r="S7" s="47">
        <f t="shared" si="4"/>
        <v>16.504899999999999</v>
      </c>
      <c r="T7" s="48">
        <f t="shared" si="5"/>
        <v>8</v>
      </c>
      <c r="V7" s="44" t="s">
        <v>138</v>
      </c>
      <c r="W7" s="44" t="s">
        <v>79</v>
      </c>
      <c r="X7" s="45">
        <v>167.91256325898135</v>
      </c>
      <c r="Y7" s="45">
        <v>8.9999000000000002</v>
      </c>
      <c r="Z7" s="47">
        <f t="shared" si="6"/>
        <v>16.7913</v>
      </c>
      <c r="AA7" s="48">
        <f t="shared" si="7"/>
        <v>9</v>
      </c>
      <c r="AC7" s="44" t="s">
        <v>139</v>
      </c>
      <c r="AD7" s="44" t="s">
        <v>81</v>
      </c>
      <c r="AE7" s="45">
        <v>170.33354714389165</v>
      </c>
      <c r="AF7" s="45">
        <v>10.9999</v>
      </c>
      <c r="AG7" s="47">
        <f t="shared" si="8"/>
        <v>17.0334</v>
      </c>
      <c r="AH7" s="48">
        <f t="shared" si="9"/>
        <v>11</v>
      </c>
      <c r="AJ7" s="44" t="s">
        <v>140</v>
      </c>
      <c r="AK7" s="44" t="s">
        <v>83</v>
      </c>
      <c r="AL7" s="45">
        <v>173.54861085652286</v>
      </c>
      <c r="AM7" s="45">
        <v>14.9999</v>
      </c>
      <c r="AN7" s="47">
        <f t="shared" si="10"/>
        <v>17.354900000000001</v>
      </c>
      <c r="AO7" s="48">
        <f t="shared" si="11"/>
        <v>15</v>
      </c>
      <c r="AQ7" s="44" t="s">
        <v>141</v>
      </c>
      <c r="AR7" s="44" t="s">
        <v>85</v>
      </c>
      <c r="AS7" s="45">
        <v>174.98431359649112</v>
      </c>
      <c r="AT7" s="45">
        <v>19.9999</v>
      </c>
      <c r="AU7" s="47">
        <f t="shared" si="12"/>
        <v>17.4984</v>
      </c>
      <c r="AV7" s="48">
        <f t="shared" si="13"/>
        <v>20</v>
      </c>
      <c r="AX7" s="44" t="s">
        <v>142</v>
      </c>
      <c r="AY7" s="44" t="s">
        <v>87</v>
      </c>
      <c r="AZ7" s="45">
        <v>174.60470262378442</v>
      </c>
      <c r="BA7" s="45">
        <v>24.9999</v>
      </c>
      <c r="BB7" s="47">
        <f t="shared" si="0"/>
        <v>17.4605</v>
      </c>
      <c r="BC7" s="48">
        <f t="shared" si="1"/>
        <v>25</v>
      </c>
      <c r="BE7" s="44" t="s">
        <v>143</v>
      </c>
      <c r="BF7" s="44" t="s">
        <v>89</v>
      </c>
      <c r="BG7" s="45">
        <v>177.80024720769035</v>
      </c>
      <c r="BH7" s="45">
        <v>34.999899999999997</v>
      </c>
      <c r="BI7" s="47">
        <f t="shared" si="14"/>
        <v>17.78</v>
      </c>
      <c r="BJ7" s="48">
        <f t="shared" si="15"/>
        <v>35</v>
      </c>
      <c r="BM7" s="54" t="s">
        <v>144</v>
      </c>
    </row>
    <row r="8" spans="1:73" x14ac:dyDescent="0.2">
      <c r="A8" s="44" t="s">
        <v>145</v>
      </c>
      <c r="B8" s="44" t="s">
        <v>73</v>
      </c>
      <c r="C8" s="45">
        <v>136.63412307828651</v>
      </c>
      <c r="D8" s="45">
        <v>5.9999000000000002</v>
      </c>
      <c r="E8" s="47">
        <f t="shared" si="16"/>
        <v>13.663399999999999</v>
      </c>
      <c r="F8" s="48">
        <f t="shared" si="17"/>
        <v>6</v>
      </c>
      <c r="H8" s="44" t="s">
        <v>146</v>
      </c>
      <c r="I8" s="44" t="s">
        <v>75</v>
      </c>
      <c r="J8" s="45">
        <v>154.34740292081452</v>
      </c>
      <c r="K8" s="45">
        <v>5.9999000000000002</v>
      </c>
      <c r="L8" s="47">
        <f t="shared" si="2"/>
        <v>15.434699999999999</v>
      </c>
      <c r="M8" s="48">
        <f t="shared" si="3"/>
        <v>6</v>
      </c>
      <c r="O8" s="44" t="s">
        <v>147</v>
      </c>
      <c r="P8" s="44" t="s">
        <v>77</v>
      </c>
      <c r="Q8" s="45">
        <v>162.32759116961688</v>
      </c>
      <c r="R8" s="45">
        <v>8.9999000000000002</v>
      </c>
      <c r="S8" s="47">
        <f t="shared" si="4"/>
        <v>16.232800000000001</v>
      </c>
      <c r="T8" s="48">
        <f t="shared" si="5"/>
        <v>9</v>
      </c>
      <c r="V8" s="44" t="s">
        <v>148</v>
      </c>
      <c r="W8" s="44" t="s">
        <v>79</v>
      </c>
      <c r="X8" s="45">
        <v>165.43297142224665</v>
      </c>
      <c r="Y8" s="45">
        <v>9.9999000000000002</v>
      </c>
      <c r="Z8" s="47">
        <f t="shared" si="6"/>
        <v>16.543299999999999</v>
      </c>
      <c r="AA8" s="48">
        <f t="shared" si="7"/>
        <v>10</v>
      </c>
      <c r="AC8" s="44" t="s">
        <v>149</v>
      </c>
      <c r="AD8" s="44" t="s">
        <v>81</v>
      </c>
      <c r="AE8" s="45">
        <v>168.38617872283902</v>
      </c>
      <c r="AF8" s="45">
        <v>11.9999</v>
      </c>
      <c r="AG8" s="47">
        <f t="shared" si="8"/>
        <v>16.8386</v>
      </c>
      <c r="AH8" s="48">
        <f t="shared" si="9"/>
        <v>12</v>
      </c>
      <c r="AJ8" s="44" t="s">
        <v>150</v>
      </c>
      <c r="AK8" s="44" t="s">
        <v>83</v>
      </c>
      <c r="AL8" s="45">
        <v>172.12957427874812</v>
      </c>
      <c r="AM8" s="45">
        <v>15.9999</v>
      </c>
      <c r="AN8" s="47">
        <f t="shared" si="10"/>
        <v>17.213000000000001</v>
      </c>
      <c r="AO8" s="48">
        <f t="shared" si="11"/>
        <v>16</v>
      </c>
      <c r="AQ8" s="44" t="s">
        <v>151</v>
      </c>
      <c r="AR8" s="44" t="s">
        <v>85</v>
      </c>
      <c r="AS8" s="45">
        <v>173.91550625704159</v>
      </c>
      <c r="AT8" s="45">
        <v>20.9999</v>
      </c>
      <c r="AU8" s="47">
        <f t="shared" si="12"/>
        <v>17.3916</v>
      </c>
      <c r="AV8" s="48">
        <f t="shared" si="13"/>
        <v>21</v>
      </c>
      <c r="AX8" s="44" t="s">
        <v>152</v>
      </c>
      <c r="AY8" s="44" t="s">
        <v>87</v>
      </c>
      <c r="AZ8" s="45">
        <v>173.49521357268955</v>
      </c>
      <c r="BA8" s="45">
        <v>25.9999</v>
      </c>
      <c r="BB8" s="47">
        <f t="shared" si="0"/>
        <v>17.349499999999999</v>
      </c>
      <c r="BC8" s="48">
        <f t="shared" si="1"/>
        <v>26</v>
      </c>
      <c r="BE8" s="44" t="s">
        <v>153</v>
      </c>
      <c r="BF8" s="44" t="s">
        <v>89</v>
      </c>
      <c r="BG8" s="45">
        <v>177.29458683033187</v>
      </c>
      <c r="BH8" s="45">
        <v>35.999899999999997</v>
      </c>
      <c r="BI8" s="47">
        <f t="shared" si="14"/>
        <v>17.729500000000002</v>
      </c>
      <c r="BJ8" s="48">
        <f t="shared" si="15"/>
        <v>36</v>
      </c>
      <c r="BM8" s="54" t="s">
        <v>154</v>
      </c>
    </row>
    <row r="9" spans="1:73" x14ac:dyDescent="0.2">
      <c r="A9" s="44" t="s">
        <v>155</v>
      </c>
      <c r="B9" s="44" t="s">
        <v>73</v>
      </c>
      <c r="C9" s="45">
        <v>133.28416735614852</v>
      </c>
      <c r="D9" s="45">
        <v>6.9999000000000002</v>
      </c>
      <c r="E9" s="47">
        <f t="shared" si="16"/>
        <v>13.3284</v>
      </c>
      <c r="F9" s="48">
        <f t="shared" si="17"/>
        <v>7</v>
      </c>
      <c r="H9" s="44" t="s">
        <v>156</v>
      </c>
      <c r="I9" s="44" t="s">
        <v>75</v>
      </c>
      <c r="J9" s="45">
        <v>151.19355676696836</v>
      </c>
      <c r="K9" s="45">
        <v>6.9999000000000002</v>
      </c>
      <c r="L9" s="47">
        <f t="shared" si="2"/>
        <v>15.119400000000001</v>
      </c>
      <c r="M9" s="48">
        <f t="shared" si="3"/>
        <v>7</v>
      </c>
      <c r="O9" s="44" t="s">
        <v>157</v>
      </c>
      <c r="P9" s="44" t="s">
        <v>77</v>
      </c>
      <c r="Q9" s="45">
        <v>159.60876599820998</v>
      </c>
      <c r="R9" s="45">
        <v>9.9999000000000002</v>
      </c>
      <c r="S9" s="47">
        <f t="shared" si="4"/>
        <v>15.960900000000001</v>
      </c>
      <c r="T9" s="48">
        <f t="shared" si="5"/>
        <v>10</v>
      </c>
      <c r="V9" s="44" t="s">
        <v>158</v>
      </c>
      <c r="W9" s="44" t="s">
        <v>79</v>
      </c>
      <c r="X9" s="45">
        <v>163.01011665069257</v>
      </c>
      <c r="Y9" s="45">
        <v>10.9999</v>
      </c>
      <c r="Z9" s="47">
        <f t="shared" si="6"/>
        <v>16.300999999999998</v>
      </c>
      <c r="AA9" s="48">
        <f t="shared" si="7"/>
        <v>11</v>
      </c>
      <c r="AC9" s="44" t="s">
        <v>159</v>
      </c>
      <c r="AD9" s="44" t="s">
        <v>81</v>
      </c>
      <c r="AE9" s="45">
        <v>166.43881030178639</v>
      </c>
      <c r="AF9" s="45">
        <v>12.9999</v>
      </c>
      <c r="AG9" s="47">
        <f t="shared" si="8"/>
        <v>16.643899999999999</v>
      </c>
      <c r="AH9" s="48">
        <f t="shared" si="9"/>
        <v>13</v>
      </c>
      <c r="AJ9" s="44" t="s">
        <v>160</v>
      </c>
      <c r="AK9" s="44" t="s">
        <v>83</v>
      </c>
      <c r="AL9" s="45">
        <v>170.74982744330509</v>
      </c>
      <c r="AM9" s="45">
        <v>16.9999</v>
      </c>
      <c r="AN9" s="47">
        <f t="shared" si="10"/>
        <v>17.074999999999999</v>
      </c>
      <c r="AO9" s="48">
        <f t="shared" si="11"/>
        <v>17</v>
      </c>
      <c r="AQ9" s="44" t="s">
        <v>161</v>
      </c>
      <c r="AR9" s="44" t="s">
        <v>85</v>
      </c>
      <c r="AS9" s="45">
        <v>172.84669891759205</v>
      </c>
      <c r="AT9" s="45">
        <v>21.9999</v>
      </c>
      <c r="AU9" s="47">
        <f t="shared" si="12"/>
        <v>17.284700000000001</v>
      </c>
      <c r="AV9" s="48">
        <f t="shared" si="13"/>
        <v>22</v>
      </c>
      <c r="AX9" s="44" t="s">
        <v>162</v>
      </c>
      <c r="AY9" s="44" t="s">
        <v>87</v>
      </c>
      <c r="AZ9" s="45">
        <v>172.38572452159465</v>
      </c>
      <c r="BA9" s="45">
        <v>26.9999</v>
      </c>
      <c r="BB9" s="47">
        <f t="shared" si="0"/>
        <v>17.238600000000002</v>
      </c>
      <c r="BC9" s="48">
        <f t="shared" si="1"/>
        <v>27</v>
      </c>
      <c r="BE9" s="44" t="s">
        <v>163</v>
      </c>
      <c r="BF9" s="44" t="s">
        <v>89</v>
      </c>
      <c r="BG9" s="45">
        <v>176.78892645297339</v>
      </c>
      <c r="BH9" s="45">
        <v>36.999899999999997</v>
      </c>
      <c r="BI9" s="47">
        <f t="shared" si="14"/>
        <v>17.678899999999999</v>
      </c>
      <c r="BJ9" s="48">
        <f t="shared" si="15"/>
        <v>37</v>
      </c>
      <c r="BM9" s="54" t="s">
        <v>164</v>
      </c>
    </row>
    <row r="10" spans="1:73" x14ac:dyDescent="0.2">
      <c r="A10" s="44" t="s">
        <v>165</v>
      </c>
      <c r="B10" s="44" t="s">
        <v>73</v>
      </c>
      <c r="C10" s="45">
        <v>130.26455951301125</v>
      </c>
      <c r="D10" s="45">
        <v>7.9999000000000002</v>
      </c>
      <c r="E10" s="47">
        <f t="shared" si="16"/>
        <v>13.0265</v>
      </c>
      <c r="F10" s="48">
        <f t="shared" si="17"/>
        <v>8</v>
      </c>
      <c r="H10" s="44" t="s">
        <v>166</v>
      </c>
      <c r="I10" s="44" t="s">
        <v>75</v>
      </c>
      <c r="J10" s="45">
        <v>148.0397106131222</v>
      </c>
      <c r="K10" s="45">
        <v>7.9999000000000002</v>
      </c>
      <c r="L10" s="47">
        <f t="shared" si="2"/>
        <v>14.804</v>
      </c>
      <c r="M10" s="48">
        <f t="shared" si="3"/>
        <v>8</v>
      </c>
      <c r="O10" s="44" t="s">
        <v>167</v>
      </c>
      <c r="P10" s="44" t="s">
        <v>77</v>
      </c>
      <c r="Q10" s="45">
        <v>156.97799676744074</v>
      </c>
      <c r="R10" s="45">
        <v>10.9999</v>
      </c>
      <c r="S10" s="47">
        <f t="shared" si="4"/>
        <v>15.697800000000001</v>
      </c>
      <c r="T10" s="48">
        <f t="shared" si="5"/>
        <v>11</v>
      </c>
      <c r="V10" s="44" t="s">
        <v>168</v>
      </c>
      <c r="W10" s="44" t="s">
        <v>79</v>
      </c>
      <c r="X10" s="45">
        <v>160.8077356983116</v>
      </c>
      <c r="Y10" s="45">
        <v>11.9999</v>
      </c>
      <c r="Z10" s="47">
        <f t="shared" si="6"/>
        <v>16.0808</v>
      </c>
      <c r="AA10" s="48">
        <f t="shared" si="7"/>
        <v>12</v>
      </c>
      <c r="AC10" s="44" t="s">
        <v>169</v>
      </c>
      <c r="AD10" s="44" t="s">
        <v>81</v>
      </c>
      <c r="AE10" s="45">
        <v>164.48558426440735</v>
      </c>
      <c r="AF10" s="45">
        <v>13.9999</v>
      </c>
      <c r="AG10" s="47">
        <f t="shared" si="8"/>
        <v>16.448599999999999</v>
      </c>
      <c r="AH10" s="48">
        <f t="shared" si="9"/>
        <v>14</v>
      </c>
      <c r="AJ10" s="44" t="s">
        <v>170</v>
      </c>
      <c r="AK10" s="44" t="s">
        <v>83</v>
      </c>
      <c r="AL10" s="45">
        <v>169.37008060786204</v>
      </c>
      <c r="AM10" s="45">
        <v>17.9999</v>
      </c>
      <c r="AN10" s="47">
        <f t="shared" si="10"/>
        <v>16.937000000000001</v>
      </c>
      <c r="AO10" s="48">
        <f t="shared" si="11"/>
        <v>18</v>
      </c>
      <c r="AQ10" s="44" t="s">
        <v>171</v>
      </c>
      <c r="AR10" s="44" t="s">
        <v>85</v>
      </c>
      <c r="AS10" s="45">
        <v>171.76504858639922</v>
      </c>
      <c r="AT10" s="45">
        <v>22.9999</v>
      </c>
      <c r="AU10" s="47">
        <f t="shared" si="12"/>
        <v>17.176500000000001</v>
      </c>
      <c r="AV10" s="48">
        <f t="shared" si="13"/>
        <v>23</v>
      </c>
      <c r="AX10" s="44" t="s">
        <v>172</v>
      </c>
      <c r="AY10" s="44" t="s">
        <v>87</v>
      </c>
      <c r="AZ10" s="45">
        <v>171.35330206870722</v>
      </c>
      <c r="BA10" s="45">
        <v>27.9999</v>
      </c>
      <c r="BB10" s="47">
        <f t="shared" si="0"/>
        <v>17.135300000000001</v>
      </c>
      <c r="BC10" s="48">
        <f t="shared" si="1"/>
        <v>28</v>
      </c>
      <c r="BE10" s="44" t="s">
        <v>173</v>
      </c>
      <c r="BF10" s="44" t="s">
        <v>89</v>
      </c>
      <c r="BG10" s="45">
        <v>176.28326607561488</v>
      </c>
      <c r="BH10" s="45">
        <v>37.999899999999997</v>
      </c>
      <c r="BI10" s="47">
        <f t="shared" si="14"/>
        <v>17.628299999999999</v>
      </c>
      <c r="BJ10" s="48">
        <f t="shared" si="15"/>
        <v>38</v>
      </c>
      <c r="BM10" s="54" t="s">
        <v>174</v>
      </c>
    </row>
    <row r="11" spans="1:73" x14ac:dyDescent="0.2">
      <c r="A11" s="44" t="s">
        <v>175</v>
      </c>
      <c r="B11" s="44" t="s">
        <v>73</v>
      </c>
      <c r="C11" s="45">
        <v>127.24495166987401</v>
      </c>
      <c r="D11" s="45">
        <v>8.9999000000000002</v>
      </c>
      <c r="E11" s="47">
        <f t="shared" si="16"/>
        <v>12.724500000000001</v>
      </c>
      <c r="F11" s="48">
        <f t="shared" si="17"/>
        <v>9</v>
      </c>
      <c r="H11" s="44" t="s">
        <v>176</v>
      </c>
      <c r="I11" s="44" t="s">
        <v>75</v>
      </c>
      <c r="J11" s="45">
        <v>145.12010645379371</v>
      </c>
      <c r="K11" s="45">
        <v>8.9999000000000002</v>
      </c>
      <c r="L11" s="47">
        <f t="shared" si="2"/>
        <v>14.512</v>
      </c>
      <c r="M11" s="48">
        <f t="shared" si="3"/>
        <v>9</v>
      </c>
      <c r="O11" s="44" t="s">
        <v>177</v>
      </c>
      <c r="P11" s="44" t="s">
        <v>77</v>
      </c>
      <c r="Q11" s="45">
        <v>154.34722753667148</v>
      </c>
      <c r="R11" s="45">
        <v>11.9999</v>
      </c>
      <c r="S11" s="47">
        <f t="shared" si="4"/>
        <v>15.434699999999999</v>
      </c>
      <c r="T11" s="48">
        <f t="shared" si="5"/>
        <v>12</v>
      </c>
      <c r="V11" s="44" t="s">
        <v>178</v>
      </c>
      <c r="W11" s="44" t="s">
        <v>79</v>
      </c>
      <c r="X11" s="45">
        <v>158.60535474593067</v>
      </c>
      <c r="Y11" s="45">
        <v>12.9999</v>
      </c>
      <c r="Z11" s="47">
        <f t="shared" si="6"/>
        <v>15.8605</v>
      </c>
      <c r="AA11" s="48">
        <f t="shared" si="7"/>
        <v>13</v>
      </c>
      <c r="AC11" s="44" t="s">
        <v>179</v>
      </c>
      <c r="AD11" s="44" t="s">
        <v>81</v>
      </c>
      <c r="AE11" s="45">
        <v>162.53052808463207</v>
      </c>
      <c r="AF11" s="45">
        <v>14.9999</v>
      </c>
      <c r="AG11" s="47">
        <f t="shared" si="8"/>
        <v>16.2531</v>
      </c>
      <c r="AH11" s="48">
        <f t="shared" si="9"/>
        <v>15</v>
      </c>
      <c r="AJ11" s="44" t="s">
        <v>180</v>
      </c>
      <c r="AK11" s="44" t="s">
        <v>83</v>
      </c>
      <c r="AL11" s="45">
        <v>167.99033377241901</v>
      </c>
      <c r="AM11" s="45">
        <v>18.9999</v>
      </c>
      <c r="AN11" s="47">
        <f t="shared" si="10"/>
        <v>16.798999999999999</v>
      </c>
      <c r="AO11" s="48">
        <f t="shared" si="11"/>
        <v>19</v>
      </c>
      <c r="AQ11" s="44" t="s">
        <v>181</v>
      </c>
      <c r="AR11" s="44" t="s">
        <v>85</v>
      </c>
      <c r="AS11" s="45">
        <v>170.58990734346136</v>
      </c>
      <c r="AT11" s="45">
        <v>23.9999</v>
      </c>
      <c r="AU11" s="47">
        <f t="shared" si="12"/>
        <v>17.059000000000001</v>
      </c>
      <c r="AV11" s="48">
        <f t="shared" si="13"/>
        <v>24</v>
      </c>
      <c r="AX11" s="44" t="s">
        <v>182</v>
      </c>
      <c r="AY11" s="44" t="s">
        <v>87</v>
      </c>
      <c r="AZ11" s="45">
        <v>170.33928337711845</v>
      </c>
      <c r="BA11" s="45">
        <v>28.9999</v>
      </c>
      <c r="BB11" s="47">
        <f t="shared" si="0"/>
        <v>17.033899999999999</v>
      </c>
      <c r="BC11" s="48">
        <f t="shared" si="1"/>
        <v>29</v>
      </c>
      <c r="BE11" s="44" t="s">
        <v>183</v>
      </c>
      <c r="BF11" s="44" t="s">
        <v>89</v>
      </c>
      <c r="BG11" s="45">
        <v>175.77760569825639</v>
      </c>
      <c r="BH11" s="45">
        <v>38.999899999999997</v>
      </c>
      <c r="BI11" s="47">
        <f t="shared" si="14"/>
        <v>17.5778</v>
      </c>
      <c r="BJ11" s="48">
        <f t="shared" si="15"/>
        <v>39</v>
      </c>
      <c r="BM11" s="54" t="s">
        <v>184</v>
      </c>
    </row>
    <row r="12" spans="1:73" x14ac:dyDescent="0.2">
      <c r="A12" s="44" t="s">
        <v>185</v>
      </c>
      <c r="B12" s="44" t="s">
        <v>73</v>
      </c>
      <c r="C12" s="45">
        <v>124.27542083994521</v>
      </c>
      <c r="D12" s="45">
        <v>9.9999000000000002</v>
      </c>
      <c r="E12" s="47">
        <f t="shared" si="16"/>
        <v>12.4275</v>
      </c>
      <c r="F12" s="48">
        <f t="shared" si="17"/>
        <v>10</v>
      </c>
      <c r="H12" s="44" t="s">
        <v>186</v>
      </c>
      <c r="I12" s="44" t="s">
        <v>75</v>
      </c>
      <c r="J12" s="45">
        <v>142.33961864891569</v>
      </c>
      <c r="K12" s="45">
        <v>9.9999000000000002</v>
      </c>
      <c r="L12" s="47">
        <f t="shared" si="2"/>
        <v>14.234</v>
      </c>
      <c r="M12" s="48">
        <f t="shared" si="3"/>
        <v>10</v>
      </c>
      <c r="O12" s="44" t="s">
        <v>187</v>
      </c>
      <c r="P12" s="44" t="s">
        <v>77</v>
      </c>
      <c r="Q12" s="45">
        <v>151.71645830590225</v>
      </c>
      <c r="R12" s="45">
        <v>12.9999</v>
      </c>
      <c r="S12" s="47">
        <f t="shared" si="4"/>
        <v>15.1716</v>
      </c>
      <c r="T12" s="48">
        <f t="shared" si="5"/>
        <v>13</v>
      </c>
      <c r="V12" s="44" t="s">
        <v>188</v>
      </c>
      <c r="W12" s="44" t="s">
        <v>79</v>
      </c>
      <c r="X12" s="45">
        <v>156.40297379354973</v>
      </c>
      <c r="Y12" s="45">
        <v>13.9999</v>
      </c>
      <c r="Z12" s="47">
        <f t="shared" si="6"/>
        <v>15.6403</v>
      </c>
      <c r="AA12" s="48">
        <f t="shared" si="7"/>
        <v>14</v>
      </c>
      <c r="AC12" s="44" t="s">
        <v>189</v>
      </c>
      <c r="AD12" s="44" t="s">
        <v>81</v>
      </c>
      <c r="AE12" s="45">
        <v>160.57547190485678</v>
      </c>
      <c r="AF12" s="45">
        <v>15.9999</v>
      </c>
      <c r="AG12" s="47">
        <f t="shared" si="8"/>
        <v>16.057500000000001</v>
      </c>
      <c r="AH12" s="48">
        <f t="shared" si="9"/>
        <v>16</v>
      </c>
      <c r="AJ12" s="44" t="s">
        <v>190</v>
      </c>
      <c r="AK12" s="44" t="s">
        <v>83</v>
      </c>
      <c r="AL12" s="45">
        <v>166.61058693697598</v>
      </c>
      <c r="AM12" s="45">
        <v>19.9999</v>
      </c>
      <c r="AN12" s="47">
        <f t="shared" si="10"/>
        <v>16.661100000000001</v>
      </c>
      <c r="AO12" s="48">
        <f t="shared" si="11"/>
        <v>20</v>
      </c>
      <c r="AQ12" s="44" t="s">
        <v>191</v>
      </c>
      <c r="AR12" s="44" t="s">
        <v>85</v>
      </c>
      <c r="AS12" s="45">
        <v>169.41476610052351</v>
      </c>
      <c r="AT12" s="45">
        <v>24.9999</v>
      </c>
      <c r="AU12" s="47">
        <f t="shared" si="12"/>
        <v>16.941500000000001</v>
      </c>
      <c r="AV12" s="48">
        <f t="shared" si="13"/>
        <v>25</v>
      </c>
      <c r="AX12" s="44" t="s">
        <v>192</v>
      </c>
      <c r="AY12" s="44" t="s">
        <v>87</v>
      </c>
      <c r="AZ12" s="45">
        <v>169.32526468552965</v>
      </c>
      <c r="BA12" s="45">
        <v>29.9999</v>
      </c>
      <c r="BB12" s="47">
        <f t="shared" si="0"/>
        <v>16.932500000000001</v>
      </c>
      <c r="BC12" s="48">
        <f t="shared" si="1"/>
        <v>30</v>
      </c>
      <c r="BE12" s="44" t="s">
        <v>193</v>
      </c>
      <c r="BF12" s="44" t="s">
        <v>89</v>
      </c>
      <c r="BG12" s="45">
        <v>175.27194532089791</v>
      </c>
      <c r="BH12" s="45">
        <v>39.999899999999997</v>
      </c>
      <c r="BI12" s="47">
        <f t="shared" si="14"/>
        <v>17.527200000000001</v>
      </c>
      <c r="BJ12" s="48">
        <f t="shared" si="15"/>
        <v>40</v>
      </c>
      <c r="BM12" s="54" t="s">
        <v>194</v>
      </c>
    </row>
    <row r="13" spans="1:73" x14ac:dyDescent="0.2">
      <c r="A13" s="44" t="s">
        <v>195</v>
      </c>
      <c r="B13" s="44" t="s">
        <v>73</v>
      </c>
      <c r="C13" s="45">
        <v>121.51542083994522</v>
      </c>
      <c r="D13" s="45">
        <v>10.9999</v>
      </c>
      <c r="E13" s="47">
        <f t="shared" si="16"/>
        <v>12.1515</v>
      </c>
      <c r="F13" s="48">
        <f t="shared" si="17"/>
        <v>11</v>
      </c>
      <c r="H13" s="44" t="s">
        <v>196</v>
      </c>
      <c r="I13" s="44" t="s">
        <v>75</v>
      </c>
      <c r="J13" s="45">
        <v>139.55913084403764</v>
      </c>
      <c r="K13" s="45">
        <v>10.9999</v>
      </c>
      <c r="L13" s="47">
        <f t="shared" si="2"/>
        <v>13.9559</v>
      </c>
      <c r="M13" s="48">
        <f t="shared" si="3"/>
        <v>11</v>
      </c>
      <c r="O13" s="44" t="s">
        <v>197</v>
      </c>
      <c r="P13" s="44" t="s">
        <v>77</v>
      </c>
      <c r="Q13" s="45">
        <v>149.08568907513302</v>
      </c>
      <c r="R13" s="45">
        <v>13.9999</v>
      </c>
      <c r="S13" s="47">
        <f t="shared" si="4"/>
        <v>14.9086</v>
      </c>
      <c r="T13" s="48">
        <f t="shared" si="5"/>
        <v>14</v>
      </c>
      <c r="V13" s="44" t="s">
        <v>198</v>
      </c>
      <c r="W13" s="44" t="s">
        <v>79</v>
      </c>
      <c r="X13" s="45">
        <v>154.20059284116877</v>
      </c>
      <c r="Y13" s="45">
        <v>14.9999</v>
      </c>
      <c r="Z13" s="47">
        <f t="shared" si="6"/>
        <v>15.4201</v>
      </c>
      <c r="AA13" s="48">
        <f t="shared" si="7"/>
        <v>15</v>
      </c>
      <c r="AC13" s="44" t="s">
        <v>199</v>
      </c>
      <c r="AD13" s="44" t="s">
        <v>81</v>
      </c>
      <c r="AE13" s="45">
        <v>158.6204157250815</v>
      </c>
      <c r="AF13" s="45">
        <v>16.9999</v>
      </c>
      <c r="AG13" s="47">
        <f t="shared" si="8"/>
        <v>15.862</v>
      </c>
      <c r="AH13" s="48">
        <f t="shared" si="9"/>
        <v>17</v>
      </c>
      <c r="AJ13" s="44" t="s">
        <v>200</v>
      </c>
      <c r="AK13" s="44" t="s">
        <v>83</v>
      </c>
      <c r="AL13" s="45">
        <v>165.23084010153292</v>
      </c>
      <c r="AM13" s="45">
        <v>20.9999</v>
      </c>
      <c r="AN13" s="47">
        <f t="shared" si="10"/>
        <v>16.523099999999999</v>
      </c>
      <c r="AO13" s="48">
        <f t="shared" si="11"/>
        <v>21</v>
      </c>
      <c r="AQ13" s="44" t="s">
        <v>201</v>
      </c>
      <c r="AR13" s="44" t="s">
        <v>85</v>
      </c>
      <c r="AS13" s="45">
        <v>168.23962485758565</v>
      </c>
      <c r="AT13" s="45">
        <v>25.9999</v>
      </c>
      <c r="AU13" s="47">
        <f t="shared" si="12"/>
        <v>16.824000000000002</v>
      </c>
      <c r="AV13" s="48">
        <f t="shared" si="13"/>
        <v>26</v>
      </c>
      <c r="AX13" s="44" t="s">
        <v>202</v>
      </c>
      <c r="AY13" s="44" t="s">
        <v>87</v>
      </c>
      <c r="AZ13" s="45">
        <v>168.31124599394087</v>
      </c>
      <c r="BA13" s="45">
        <v>30.9999</v>
      </c>
      <c r="BB13" s="47">
        <f t="shared" si="0"/>
        <v>16.831099999999999</v>
      </c>
      <c r="BC13" s="48">
        <f t="shared" si="1"/>
        <v>31</v>
      </c>
      <c r="BE13" s="44" t="s">
        <v>203</v>
      </c>
      <c r="BF13" s="44" t="s">
        <v>89</v>
      </c>
      <c r="BG13" s="45">
        <v>174.7662849435394</v>
      </c>
      <c r="BH13" s="45">
        <v>40.999899999999997</v>
      </c>
      <c r="BI13" s="47">
        <f t="shared" si="14"/>
        <v>17.476600000000001</v>
      </c>
      <c r="BJ13" s="48">
        <f t="shared" si="15"/>
        <v>41</v>
      </c>
      <c r="BM13" s="54" t="s">
        <v>204</v>
      </c>
    </row>
    <row r="14" spans="1:73" x14ac:dyDescent="0.2">
      <c r="A14" s="44" t="s">
        <v>205</v>
      </c>
      <c r="B14" s="44" t="s">
        <v>73</v>
      </c>
      <c r="C14" s="45">
        <v>118.75542083994522</v>
      </c>
      <c r="D14" s="45">
        <v>11.9999</v>
      </c>
      <c r="E14" s="47">
        <f t="shared" si="16"/>
        <v>11.875500000000001</v>
      </c>
      <c r="F14" s="48">
        <f t="shared" si="17"/>
        <v>12</v>
      </c>
      <c r="H14" s="44" t="s">
        <v>206</v>
      </c>
      <c r="I14" s="44" t="s">
        <v>75</v>
      </c>
      <c r="J14" s="45">
        <v>136.92583316802049</v>
      </c>
      <c r="K14" s="45">
        <v>11.9999</v>
      </c>
      <c r="L14" s="47">
        <f t="shared" si="2"/>
        <v>13.692600000000001</v>
      </c>
      <c r="M14" s="48">
        <f t="shared" si="3"/>
        <v>12</v>
      </c>
      <c r="O14" s="44" t="s">
        <v>207</v>
      </c>
      <c r="P14" s="44" t="s">
        <v>77</v>
      </c>
      <c r="Q14" s="45">
        <v>146.45491984436379</v>
      </c>
      <c r="R14" s="45">
        <v>14.9999</v>
      </c>
      <c r="S14" s="47">
        <f t="shared" si="4"/>
        <v>14.6455</v>
      </c>
      <c r="T14" s="48">
        <f t="shared" si="5"/>
        <v>15</v>
      </c>
      <c r="V14" s="44" t="s">
        <v>208</v>
      </c>
      <c r="W14" s="44" t="s">
        <v>79</v>
      </c>
      <c r="X14" s="45">
        <v>152.06760805418136</v>
      </c>
      <c r="Y14" s="45">
        <v>15.9999</v>
      </c>
      <c r="Z14" s="47">
        <f t="shared" si="6"/>
        <v>15.206799999999999</v>
      </c>
      <c r="AA14" s="48">
        <f t="shared" si="7"/>
        <v>16</v>
      </c>
      <c r="AC14" s="44" t="s">
        <v>209</v>
      </c>
      <c r="AD14" s="44" t="s">
        <v>81</v>
      </c>
      <c r="AE14" s="45">
        <v>156.79881667509125</v>
      </c>
      <c r="AF14" s="45">
        <v>17.9999</v>
      </c>
      <c r="AG14" s="47">
        <f t="shared" si="8"/>
        <v>15.6799</v>
      </c>
      <c r="AH14" s="48">
        <f t="shared" si="9"/>
        <v>18</v>
      </c>
      <c r="AJ14" s="44" t="s">
        <v>210</v>
      </c>
      <c r="AK14" s="44" t="s">
        <v>83</v>
      </c>
      <c r="AL14" s="45">
        <v>163.85109326608989</v>
      </c>
      <c r="AM14" s="45">
        <v>21.9999</v>
      </c>
      <c r="AN14" s="47">
        <f t="shared" si="10"/>
        <v>16.385100000000001</v>
      </c>
      <c r="AO14" s="48">
        <f t="shared" si="11"/>
        <v>22</v>
      </c>
      <c r="AQ14" s="44" t="s">
        <v>211</v>
      </c>
      <c r="AR14" s="44" t="s">
        <v>85</v>
      </c>
      <c r="AS14" s="45">
        <v>167.0644836146478</v>
      </c>
      <c r="AT14" s="45">
        <v>26.9999</v>
      </c>
      <c r="AU14" s="47">
        <f t="shared" si="12"/>
        <v>16.706399999999999</v>
      </c>
      <c r="AV14" s="48">
        <f t="shared" si="13"/>
        <v>27</v>
      </c>
      <c r="AX14" s="44" t="s">
        <v>212</v>
      </c>
      <c r="AY14" s="44" t="s">
        <v>87</v>
      </c>
      <c r="AZ14" s="45">
        <v>167.2972273023521</v>
      </c>
      <c r="BA14" s="45">
        <v>31.9999</v>
      </c>
      <c r="BB14" s="47">
        <f t="shared" si="0"/>
        <v>16.729700000000001</v>
      </c>
      <c r="BC14" s="48">
        <f t="shared" si="1"/>
        <v>32</v>
      </c>
      <c r="BE14" s="44" t="s">
        <v>213</v>
      </c>
      <c r="BF14" s="44" t="s">
        <v>89</v>
      </c>
      <c r="BG14" s="45">
        <v>174.26062456618092</v>
      </c>
      <c r="BH14" s="45">
        <v>41.999899999999997</v>
      </c>
      <c r="BI14" s="47">
        <f t="shared" si="14"/>
        <v>17.426100000000002</v>
      </c>
      <c r="BJ14" s="48">
        <f t="shared" si="15"/>
        <v>42</v>
      </c>
      <c r="BM14" s="54" t="s">
        <v>214</v>
      </c>
      <c r="BN14" s="55" t="s">
        <v>215</v>
      </c>
    </row>
    <row r="15" spans="1:73" x14ac:dyDescent="0.2">
      <c r="A15" s="44" t="s">
        <v>216</v>
      </c>
      <c r="B15" s="44" t="s">
        <v>73</v>
      </c>
      <c r="C15" s="45">
        <v>115.99542083994523</v>
      </c>
      <c r="D15" s="45">
        <v>12.9999</v>
      </c>
      <c r="E15" s="47">
        <f t="shared" si="16"/>
        <v>11.599500000000001</v>
      </c>
      <c r="F15" s="48">
        <f t="shared" si="17"/>
        <v>13</v>
      </c>
      <c r="H15" s="44" t="s">
        <v>217</v>
      </c>
      <c r="I15" s="44" t="s">
        <v>75</v>
      </c>
      <c r="J15" s="45">
        <v>134.30083316802049</v>
      </c>
      <c r="K15" s="45">
        <v>12.9999</v>
      </c>
      <c r="L15" s="47">
        <f t="shared" si="2"/>
        <v>13.430099999999999</v>
      </c>
      <c r="M15" s="48">
        <f t="shared" si="3"/>
        <v>13</v>
      </c>
      <c r="O15" s="44" t="s">
        <v>218</v>
      </c>
      <c r="P15" s="44" t="s">
        <v>77</v>
      </c>
      <c r="Q15" s="45">
        <v>143.8634251942369</v>
      </c>
      <c r="R15" s="45">
        <v>15.9999</v>
      </c>
      <c r="S15" s="47">
        <f t="shared" si="4"/>
        <v>14.3863</v>
      </c>
      <c r="T15" s="48">
        <f t="shared" si="5"/>
        <v>16</v>
      </c>
      <c r="V15" s="44" t="s">
        <v>219</v>
      </c>
      <c r="W15" s="44" t="s">
        <v>79</v>
      </c>
      <c r="X15" s="45">
        <v>149.97577131948751</v>
      </c>
      <c r="Y15" s="45">
        <v>16.9999</v>
      </c>
      <c r="Z15" s="47">
        <f t="shared" si="6"/>
        <v>14.9976</v>
      </c>
      <c r="AA15" s="48">
        <f t="shared" si="7"/>
        <v>17</v>
      </c>
      <c r="AC15" s="44" t="s">
        <v>220</v>
      </c>
      <c r="AD15" s="44" t="s">
        <v>81</v>
      </c>
      <c r="AE15" s="45">
        <v>155.02890517066646</v>
      </c>
      <c r="AF15" s="45">
        <v>18.9999</v>
      </c>
      <c r="AG15" s="47">
        <f t="shared" si="8"/>
        <v>15.5029</v>
      </c>
      <c r="AH15" s="48">
        <f t="shared" si="9"/>
        <v>19</v>
      </c>
      <c r="AJ15" s="44" t="s">
        <v>221</v>
      </c>
      <c r="AK15" s="44" t="s">
        <v>83</v>
      </c>
      <c r="AL15" s="45">
        <v>162.42359515822761</v>
      </c>
      <c r="AM15" s="45">
        <v>22.9999</v>
      </c>
      <c r="AN15" s="47">
        <f t="shared" si="10"/>
        <v>16.2424</v>
      </c>
      <c r="AO15" s="48">
        <f t="shared" si="11"/>
        <v>23</v>
      </c>
      <c r="AQ15" s="44" t="s">
        <v>222</v>
      </c>
      <c r="AR15" s="44" t="s">
        <v>85</v>
      </c>
      <c r="AS15" s="45">
        <v>165.88934237170994</v>
      </c>
      <c r="AT15" s="45">
        <v>27.9999</v>
      </c>
      <c r="AU15" s="47">
        <f t="shared" si="12"/>
        <v>16.588899999999999</v>
      </c>
      <c r="AV15" s="48">
        <f t="shared" si="13"/>
        <v>28</v>
      </c>
      <c r="AX15" s="44" t="s">
        <v>223</v>
      </c>
      <c r="AY15" s="44" t="s">
        <v>87</v>
      </c>
      <c r="AZ15" s="45">
        <v>166.2832086107633</v>
      </c>
      <c r="BA15" s="45">
        <v>32.999899999999997</v>
      </c>
      <c r="BB15" s="47">
        <f t="shared" si="0"/>
        <v>16.628299999999999</v>
      </c>
      <c r="BC15" s="48">
        <f t="shared" si="1"/>
        <v>33</v>
      </c>
      <c r="BE15" s="44" t="s">
        <v>224</v>
      </c>
      <c r="BF15" s="44" t="s">
        <v>89</v>
      </c>
      <c r="BG15" s="45">
        <v>173.75496418882244</v>
      </c>
      <c r="BH15" s="45">
        <v>42.999899999999997</v>
      </c>
      <c r="BI15" s="47">
        <f t="shared" si="14"/>
        <v>17.375499999999999</v>
      </c>
      <c r="BJ15" s="48">
        <f t="shared" si="15"/>
        <v>43</v>
      </c>
    </row>
    <row r="16" spans="1:73" x14ac:dyDescent="0.2">
      <c r="A16" s="44" t="s">
        <v>225</v>
      </c>
      <c r="B16" s="44" t="s">
        <v>73</v>
      </c>
      <c r="C16" s="45">
        <v>113.4145796315522</v>
      </c>
      <c r="D16" s="45">
        <v>13.9999</v>
      </c>
      <c r="E16" s="47">
        <f t="shared" si="16"/>
        <v>11.3415</v>
      </c>
      <c r="F16" s="48">
        <f t="shared" si="17"/>
        <v>14</v>
      </c>
      <c r="H16" s="44" t="s">
        <v>226</v>
      </c>
      <c r="I16" s="44" t="s">
        <v>75</v>
      </c>
      <c r="J16" s="45">
        <v>131.67583316802049</v>
      </c>
      <c r="K16" s="45">
        <v>13.9999</v>
      </c>
      <c r="L16" s="47">
        <f t="shared" si="2"/>
        <v>13.1676</v>
      </c>
      <c r="M16" s="48">
        <f t="shared" si="3"/>
        <v>14</v>
      </c>
      <c r="O16" s="44" t="s">
        <v>227</v>
      </c>
      <c r="P16" s="44" t="s">
        <v>77</v>
      </c>
      <c r="Q16" s="45">
        <v>141.27518990011924</v>
      </c>
      <c r="R16" s="45">
        <v>16.9999</v>
      </c>
      <c r="S16" s="47">
        <f t="shared" si="4"/>
        <v>14.1275</v>
      </c>
      <c r="T16" s="48">
        <f t="shared" si="5"/>
        <v>17</v>
      </c>
      <c r="V16" s="44" t="s">
        <v>228</v>
      </c>
      <c r="W16" s="44" t="s">
        <v>79</v>
      </c>
      <c r="X16" s="45">
        <v>147.88393458479362</v>
      </c>
      <c r="Y16" s="45">
        <v>17.9999</v>
      </c>
      <c r="Z16" s="47">
        <f t="shared" si="6"/>
        <v>14.788399999999999</v>
      </c>
      <c r="AA16" s="48">
        <f t="shared" si="7"/>
        <v>18</v>
      </c>
      <c r="AC16" s="44" t="s">
        <v>229</v>
      </c>
      <c r="AD16" s="44" t="s">
        <v>81</v>
      </c>
      <c r="AE16" s="45">
        <v>153.25899366624171</v>
      </c>
      <c r="AF16" s="45">
        <v>19.9999</v>
      </c>
      <c r="AG16" s="47">
        <f t="shared" si="8"/>
        <v>15.325900000000001</v>
      </c>
      <c r="AH16" s="48">
        <f t="shared" si="9"/>
        <v>20</v>
      </c>
      <c r="AJ16" s="44" t="s">
        <v>230</v>
      </c>
      <c r="AK16" s="44" t="s">
        <v>83</v>
      </c>
      <c r="AL16" s="45">
        <v>160.94818532216203</v>
      </c>
      <c r="AM16" s="45">
        <v>23.9999</v>
      </c>
      <c r="AN16" s="47">
        <f t="shared" si="10"/>
        <v>16.094799999999999</v>
      </c>
      <c r="AO16" s="48">
        <f t="shared" si="11"/>
        <v>24</v>
      </c>
      <c r="AQ16" s="44" t="s">
        <v>231</v>
      </c>
      <c r="AR16" s="44" t="s">
        <v>85</v>
      </c>
      <c r="AS16" s="45">
        <v>164.71420112877209</v>
      </c>
      <c r="AT16" s="45">
        <v>28.9999</v>
      </c>
      <c r="AU16" s="47">
        <f t="shared" si="12"/>
        <v>16.471399999999999</v>
      </c>
      <c r="AV16" s="48">
        <f t="shared" si="13"/>
        <v>29</v>
      </c>
      <c r="AX16" s="44" t="s">
        <v>232</v>
      </c>
      <c r="AY16" s="44" t="s">
        <v>87</v>
      </c>
      <c r="AZ16" s="45">
        <v>165.26918991917452</v>
      </c>
      <c r="BA16" s="45">
        <v>33.999899999999997</v>
      </c>
      <c r="BB16" s="47">
        <f t="shared" si="0"/>
        <v>16.526900000000001</v>
      </c>
      <c r="BC16" s="48">
        <f t="shared" si="1"/>
        <v>34</v>
      </c>
      <c r="BE16" s="44" t="s">
        <v>233</v>
      </c>
      <c r="BF16" s="44" t="s">
        <v>89</v>
      </c>
      <c r="BG16" s="45">
        <v>173.28307257438215</v>
      </c>
      <c r="BH16" s="45">
        <v>43.999899999999997</v>
      </c>
      <c r="BI16" s="47">
        <f t="shared" si="14"/>
        <v>17.328299999999999</v>
      </c>
      <c r="BJ16" s="48">
        <f t="shared" si="15"/>
        <v>44</v>
      </c>
    </row>
    <row r="17" spans="1:62" x14ac:dyDescent="0.2">
      <c r="A17" s="44" t="s">
        <v>234</v>
      </c>
      <c r="B17" s="44" t="s">
        <v>73</v>
      </c>
      <c r="C17" s="45">
        <v>110.84854189570315</v>
      </c>
      <c r="D17" s="45">
        <v>14.9999</v>
      </c>
      <c r="E17" s="47">
        <f t="shared" si="16"/>
        <v>11.084899999999999</v>
      </c>
      <c r="F17" s="48">
        <f t="shared" si="17"/>
        <v>15</v>
      </c>
      <c r="H17" s="44" t="s">
        <v>235</v>
      </c>
      <c r="I17" s="44" t="s">
        <v>75</v>
      </c>
      <c r="J17" s="45">
        <v>129.40441496279604</v>
      </c>
      <c r="K17" s="45">
        <v>14.9999</v>
      </c>
      <c r="L17" s="47">
        <f t="shared" si="2"/>
        <v>12.9404</v>
      </c>
      <c r="M17" s="48">
        <f t="shared" si="3"/>
        <v>15</v>
      </c>
      <c r="O17" s="44" t="s">
        <v>236</v>
      </c>
      <c r="P17" s="44" t="s">
        <v>77</v>
      </c>
      <c r="Q17" s="45">
        <v>138.8089504903775</v>
      </c>
      <c r="R17" s="45">
        <v>17.9999</v>
      </c>
      <c r="S17" s="47">
        <f t="shared" si="4"/>
        <v>13.8809</v>
      </c>
      <c r="T17" s="48">
        <f t="shared" si="5"/>
        <v>18</v>
      </c>
      <c r="V17" s="44" t="s">
        <v>237</v>
      </c>
      <c r="W17" s="44" t="s">
        <v>79</v>
      </c>
      <c r="X17" s="45">
        <v>145.79209785009974</v>
      </c>
      <c r="Y17" s="45">
        <v>18.9999</v>
      </c>
      <c r="Z17" s="47">
        <f t="shared" si="6"/>
        <v>14.5792</v>
      </c>
      <c r="AA17" s="48">
        <f t="shared" si="7"/>
        <v>19</v>
      </c>
      <c r="AC17" s="44" t="s">
        <v>238</v>
      </c>
      <c r="AD17" s="44" t="s">
        <v>81</v>
      </c>
      <c r="AE17" s="45">
        <v>151.48908216181692</v>
      </c>
      <c r="AF17" s="45">
        <v>20.9999</v>
      </c>
      <c r="AG17" s="47">
        <f t="shared" si="8"/>
        <v>15.148899999999999</v>
      </c>
      <c r="AH17" s="48">
        <f t="shared" si="9"/>
        <v>21</v>
      </c>
      <c r="AJ17" s="44" t="s">
        <v>239</v>
      </c>
      <c r="AK17" s="44" t="s">
        <v>83</v>
      </c>
      <c r="AL17" s="45">
        <v>159.47277548609645</v>
      </c>
      <c r="AM17" s="45">
        <v>24.9999</v>
      </c>
      <c r="AN17" s="47">
        <f t="shared" si="10"/>
        <v>15.9473</v>
      </c>
      <c r="AO17" s="48">
        <f t="shared" si="11"/>
        <v>25</v>
      </c>
      <c r="AQ17" s="44" t="s">
        <v>240</v>
      </c>
      <c r="AR17" s="44" t="s">
        <v>85</v>
      </c>
      <c r="AS17" s="45">
        <v>163.49899258734408</v>
      </c>
      <c r="AT17" s="45">
        <v>29.9999</v>
      </c>
      <c r="AU17" s="47">
        <f t="shared" si="12"/>
        <v>16.349900000000002</v>
      </c>
      <c r="AV17" s="48">
        <f t="shared" si="13"/>
        <v>30</v>
      </c>
      <c r="AX17" s="44" t="s">
        <v>241</v>
      </c>
      <c r="AY17" s="44" t="s">
        <v>87</v>
      </c>
      <c r="AZ17" s="45">
        <v>164.25517122758575</v>
      </c>
      <c r="BA17" s="45">
        <v>34.999899999999997</v>
      </c>
      <c r="BB17" s="47">
        <f t="shared" si="0"/>
        <v>16.4255</v>
      </c>
      <c r="BC17" s="48">
        <f t="shared" si="1"/>
        <v>35</v>
      </c>
      <c r="BE17" s="44" t="s">
        <v>242</v>
      </c>
      <c r="BF17" s="44" t="s">
        <v>89</v>
      </c>
      <c r="BG17" s="45">
        <v>172.81547998178957</v>
      </c>
      <c r="BH17" s="45">
        <v>44.999899999999997</v>
      </c>
      <c r="BI17" s="47">
        <f t="shared" si="14"/>
        <v>17.281500000000001</v>
      </c>
      <c r="BJ17" s="48">
        <f t="shared" si="15"/>
        <v>45</v>
      </c>
    </row>
    <row r="18" spans="1:62" x14ac:dyDescent="0.2">
      <c r="A18" s="44" t="s">
        <v>243</v>
      </c>
      <c r="B18" s="44" t="s">
        <v>73</v>
      </c>
      <c r="C18" s="45">
        <v>108.28250415985411</v>
      </c>
      <c r="D18" s="45">
        <v>15.9999</v>
      </c>
      <c r="E18" s="47">
        <f t="shared" si="16"/>
        <v>10.8283</v>
      </c>
      <c r="F18" s="48">
        <f t="shared" si="17"/>
        <v>16</v>
      </c>
      <c r="H18" s="44" t="s">
        <v>244</v>
      </c>
      <c r="I18" s="44" t="s">
        <v>75</v>
      </c>
      <c r="J18" s="45">
        <v>127.21691496279605</v>
      </c>
      <c r="K18" s="45">
        <v>15.9999</v>
      </c>
      <c r="L18" s="47">
        <f t="shared" si="2"/>
        <v>12.7217</v>
      </c>
      <c r="M18" s="48">
        <f t="shared" si="3"/>
        <v>16</v>
      </c>
      <c r="O18" s="44" t="s">
        <v>245</v>
      </c>
      <c r="P18" s="44" t="s">
        <v>77</v>
      </c>
      <c r="Q18" s="45">
        <v>136.69783937926636</v>
      </c>
      <c r="R18" s="45">
        <v>18.9999</v>
      </c>
      <c r="S18" s="47">
        <f t="shared" si="4"/>
        <v>13.6698</v>
      </c>
      <c r="T18" s="48">
        <f t="shared" si="5"/>
        <v>19</v>
      </c>
      <c r="V18" s="44" t="s">
        <v>246</v>
      </c>
      <c r="W18" s="44" t="s">
        <v>79</v>
      </c>
      <c r="X18" s="45">
        <v>143.70026111540588</v>
      </c>
      <c r="Y18" s="45">
        <v>19.9999</v>
      </c>
      <c r="Z18" s="47">
        <f t="shared" si="6"/>
        <v>14.37</v>
      </c>
      <c r="AA18" s="48">
        <f t="shared" si="7"/>
        <v>20</v>
      </c>
      <c r="AC18" s="44" t="s">
        <v>247</v>
      </c>
      <c r="AD18" s="44" t="s">
        <v>81</v>
      </c>
      <c r="AE18" s="45">
        <v>149.71917065739214</v>
      </c>
      <c r="AF18" s="45">
        <v>21.9999</v>
      </c>
      <c r="AG18" s="47">
        <f t="shared" si="8"/>
        <v>14.9719</v>
      </c>
      <c r="AH18" s="48">
        <f t="shared" si="9"/>
        <v>22</v>
      </c>
      <c r="AJ18" s="44" t="s">
        <v>248</v>
      </c>
      <c r="AK18" s="44" t="s">
        <v>83</v>
      </c>
      <c r="AL18" s="45">
        <v>157.9973656500309</v>
      </c>
      <c r="AM18" s="45">
        <v>25.9999</v>
      </c>
      <c r="AN18" s="47">
        <f t="shared" si="10"/>
        <v>15.7997</v>
      </c>
      <c r="AO18" s="48">
        <f t="shared" si="11"/>
        <v>26</v>
      </c>
      <c r="AQ18" s="44" t="s">
        <v>249</v>
      </c>
      <c r="AR18" s="44" t="s">
        <v>85</v>
      </c>
      <c r="AS18" s="45">
        <v>162.22922514548361</v>
      </c>
      <c r="AT18" s="45">
        <v>30.9999</v>
      </c>
      <c r="AU18" s="47">
        <f t="shared" si="12"/>
        <v>16.222899999999999</v>
      </c>
      <c r="AV18" s="48">
        <f t="shared" si="13"/>
        <v>31</v>
      </c>
      <c r="AX18" s="44" t="s">
        <v>250</v>
      </c>
      <c r="AY18" s="44" t="s">
        <v>87</v>
      </c>
      <c r="AZ18" s="45">
        <v>163.10602176578274</v>
      </c>
      <c r="BA18" s="45">
        <v>35.999899999999997</v>
      </c>
      <c r="BB18" s="47">
        <f t="shared" si="0"/>
        <v>16.310600000000001</v>
      </c>
      <c r="BC18" s="48">
        <f t="shared" si="1"/>
        <v>36</v>
      </c>
      <c r="BE18" s="44" t="s">
        <v>251</v>
      </c>
      <c r="BF18" s="44" t="s">
        <v>89</v>
      </c>
      <c r="BG18" s="45">
        <v>172.34788738919696</v>
      </c>
      <c r="BH18" s="45">
        <v>45.999899999999997</v>
      </c>
      <c r="BI18" s="47">
        <f t="shared" si="14"/>
        <v>17.2348</v>
      </c>
      <c r="BJ18" s="48">
        <f t="shared" si="15"/>
        <v>46</v>
      </c>
    </row>
    <row r="19" spans="1:62" x14ac:dyDescent="0.2">
      <c r="A19" s="44" t="s">
        <v>252</v>
      </c>
      <c r="B19" s="44" t="s">
        <v>73</v>
      </c>
      <c r="C19" s="45">
        <v>105.79269144019131</v>
      </c>
      <c r="D19" s="45">
        <v>16.9999</v>
      </c>
      <c r="E19" s="47">
        <f t="shared" si="16"/>
        <v>10.5793</v>
      </c>
      <c r="F19" s="48">
        <f t="shared" si="17"/>
        <v>17</v>
      </c>
      <c r="H19" s="44" t="s">
        <v>253</v>
      </c>
      <c r="I19" s="44" t="s">
        <v>75</v>
      </c>
      <c r="J19" s="45">
        <v>125.02941496279605</v>
      </c>
      <c r="K19" s="45">
        <v>16.9999</v>
      </c>
      <c r="L19" s="47">
        <f t="shared" si="2"/>
        <v>12.5029</v>
      </c>
      <c r="M19" s="48">
        <f t="shared" si="3"/>
        <v>17</v>
      </c>
      <c r="O19" s="44" t="s">
        <v>254</v>
      </c>
      <c r="P19" s="44" t="s">
        <v>77</v>
      </c>
      <c r="Q19" s="45">
        <v>134.58672826815524</v>
      </c>
      <c r="R19" s="45">
        <v>19.9999</v>
      </c>
      <c r="S19" s="47">
        <f t="shared" si="4"/>
        <v>13.4587</v>
      </c>
      <c r="T19" s="48">
        <f t="shared" si="5"/>
        <v>20</v>
      </c>
      <c r="V19" s="44" t="s">
        <v>255</v>
      </c>
      <c r="W19" s="44" t="s">
        <v>79</v>
      </c>
      <c r="X19" s="45">
        <v>141.643349831808</v>
      </c>
      <c r="Y19" s="45">
        <v>20.9999</v>
      </c>
      <c r="Z19" s="47">
        <f t="shared" si="6"/>
        <v>14.164300000000001</v>
      </c>
      <c r="AA19" s="48">
        <f t="shared" si="7"/>
        <v>21</v>
      </c>
      <c r="AC19" s="44" t="s">
        <v>256</v>
      </c>
      <c r="AD19" s="44" t="s">
        <v>81</v>
      </c>
      <c r="AE19" s="45">
        <v>148.02238557052345</v>
      </c>
      <c r="AF19" s="45">
        <v>22.9999</v>
      </c>
      <c r="AG19" s="47">
        <f t="shared" si="8"/>
        <v>14.802199999999999</v>
      </c>
      <c r="AH19" s="48">
        <f t="shared" si="9"/>
        <v>23</v>
      </c>
      <c r="AJ19" s="44" t="s">
        <v>257</v>
      </c>
      <c r="AK19" s="44" t="s">
        <v>83</v>
      </c>
      <c r="AL19" s="45">
        <v>156.52195581396532</v>
      </c>
      <c r="AM19" s="45">
        <v>26.9999</v>
      </c>
      <c r="AN19" s="47">
        <f t="shared" si="10"/>
        <v>15.652200000000001</v>
      </c>
      <c r="AO19" s="48">
        <f t="shared" si="11"/>
        <v>27</v>
      </c>
      <c r="AQ19" s="44" t="s">
        <v>258</v>
      </c>
      <c r="AR19" s="44" t="s">
        <v>85</v>
      </c>
      <c r="AS19" s="45">
        <v>160.95945770362314</v>
      </c>
      <c r="AT19" s="45">
        <v>31.9999</v>
      </c>
      <c r="AU19" s="47">
        <f t="shared" si="12"/>
        <v>16.0959</v>
      </c>
      <c r="AV19" s="48">
        <f t="shared" si="13"/>
        <v>32</v>
      </c>
      <c r="AX19" s="44" t="s">
        <v>259</v>
      </c>
      <c r="AY19" s="44" t="s">
        <v>87</v>
      </c>
      <c r="AZ19" s="45">
        <v>161.90164220373896</v>
      </c>
      <c r="BA19" s="45">
        <v>36.999899999999997</v>
      </c>
      <c r="BB19" s="47">
        <f t="shared" si="0"/>
        <v>16.190200000000001</v>
      </c>
      <c r="BC19" s="48">
        <f t="shared" si="1"/>
        <v>37</v>
      </c>
      <c r="BE19" s="44" t="s">
        <v>260</v>
      </c>
      <c r="BF19" s="44" t="s">
        <v>89</v>
      </c>
      <c r="BG19" s="45">
        <v>171.88029479660437</v>
      </c>
      <c r="BH19" s="45">
        <v>46.999899999999997</v>
      </c>
      <c r="BI19" s="47">
        <f t="shared" si="14"/>
        <v>17.187999999999999</v>
      </c>
      <c r="BJ19" s="48">
        <f t="shared" si="15"/>
        <v>47</v>
      </c>
    </row>
    <row r="20" spans="1:62" x14ac:dyDescent="0.2">
      <c r="A20" s="44" t="s">
        <v>261</v>
      </c>
      <c r="B20" s="44" t="s">
        <v>73</v>
      </c>
      <c r="C20" s="45">
        <v>103.39297152421653</v>
      </c>
      <c r="D20" s="45">
        <v>17.9999</v>
      </c>
      <c r="E20" s="47">
        <f t="shared" si="16"/>
        <v>10.3393</v>
      </c>
      <c r="F20" s="48">
        <f t="shared" si="17"/>
        <v>18</v>
      </c>
      <c r="H20" s="44" t="s">
        <v>262</v>
      </c>
      <c r="I20" s="44" t="s">
        <v>75</v>
      </c>
      <c r="J20" s="45">
        <v>122.84191496279604</v>
      </c>
      <c r="K20" s="45">
        <v>17.9999</v>
      </c>
      <c r="L20" s="47">
        <f t="shared" si="2"/>
        <v>12.2842</v>
      </c>
      <c r="M20" s="48">
        <f t="shared" si="3"/>
        <v>18</v>
      </c>
      <c r="O20" s="44" t="s">
        <v>263</v>
      </c>
      <c r="P20" s="44" t="s">
        <v>77</v>
      </c>
      <c r="Q20" s="45">
        <v>132.47561715704416</v>
      </c>
      <c r="R20" s="45">
        <v>20.9999</v>
      </c>
      <c r="S20" s="47">
        <f t="shared" si="4"/>
        <v>13.2476</v>
      </c>
      <c r="T20" s="48">
        <f t="shared" si="5"/>
        <v>21</v>
      </c>
      <c r="V20" s="44" t="s">
        <v>264</v>
      </c>
      <c r="W20" s="44" t="s">
        <v>79</v>
      </c>
      <c r="X20" s="45">
        <v>139.67276159651385</v>
      </c>
      <c r="Y20" s="45">
        <v>21.9999</v>
      </c>
      <c r="Z20" s="47">
        <f t="shared" si="6"/>
        <v>13.9673</v>
      </c>
      <c r="AA20" s="48">
        <f t="shared" si="7"/>
        <v>22</v>
      </c>
      <c r="AC20" s="44" t="s">
        <v>265</v>
      </c>
      <c r="AD20" s="44" t="s">
        <v>81</v>
      </c>
      <c r="AE20" s="45">
        <v>146.37642283760422</v>
      </c>
      <c r="AF20" s="45">
        <v>23.9999</v>
      </c>
      <c r="AG20" s="47">
        <f t="shared" si="8"/>
        <v>14.637600000000001</v>
      </c>
      <c r="AH20" s="48">
        <f t="shared" si="9"/>
        <v>24</v>
      </c>
      <c r="AJ20" s="44" t="s">
        <v>266</v>
      </c>
      <c r="AK20" s="44" t="s">
        <v>83</v>
      </c>
      <c r="AL20" s="45">
        <v>155.04654597789974</v>
      </c>
      <c r="AM20" s="45">
        <v>27.9999</v>
      </c>
      <c r="AN20" s="47">
        <f t="shared" si="10"/>
        <v>15.5047</v>
      </c>
      <c r="AO20" s="48">
        <f t="shared" si="11"/>
        <v>28</v>
      </c>
      <c r="AQ20" s="44" t="s">
        <v>267</v>
      </c>
      <c r="AR20" s="44" t="s">
        <v>85</v>
      </c>
      <c r="AS20" s="45">
        <v>159.68969026176268</v>
      </c>
      <c r="AT20" s="45">
        <v>32.999899999999997</v>
      </c>
      <c r="AU20" s="47">
        <f t="shared" si="12"/>
        <v>15.968999999999999</v>
      </c>
      <c r="AV20" s="48">
        <f t="shared" si="13"/>
        <v>33</v>
      </c>
      <c r="AX20" s="44" t="s">
        <v>268</v>
      </c>
      <c r="AY20" s="44" t="s">
        <v>87</v>
      </c>
      <c r="AZ20" s="45">
        <v>160.69726264169515</v>
      </c>
      <c r="BA20" s="45">
        <v>37.999899999999997</v>
      </c>
      <c r="BB20" s="47">
        <f t="shared" si="0"/>
        <v>16.069700000000001</v>
      </c>
      <c r="BC20" s="48">
        <f t="shared" si="1"/>
        <v>38</v>
      </c>
      <c r="BE20" s="44" t="s">
        <v>269</v>
      </c>
      <c r="BF20" s="44" t="s">
        <v>89</v>
      </c>
      <c r="BG20" s="45">
        <v>171.41270220401179</v>
      </c>
      <c r="BH20" s="45">
        <v>47.999899999999997</v>
      </c>
      <c r="BI20" s="47">
        <f t="shared" si="14"/>
        <v>17.141300000000001</v>
      </c>
      <c r="BJ20" s="48">
        <f t="shared" si="15"/>
        <v>48</v>
      </c>
    </row>
    <row r="21" spans="1:62" x14ac:dyDescent="0.2">
      <c r="A21" s="44" t="s">
        <v>270</v>
      </c>
      <c r="B21" s="44" t="s">
        <v>73</v>
      </c>
      <c r="C21" s="45">
        <v>100.99325160824176</v>
      </c>
      <c r="D21" s="45">
        <v>18.9999</v>
      </c>
      <c r="E21" s="47">
        <f t="shared" si="16"/>
        <v>10.099299999999999</v>
      </c>
      <c r="F21" s="48">
        <f t="shared" si="17"/>
        <v>19</v>
      </c>
      <c r="H21" s="44" t="s">
        <v>271</v>
      </c>
      <c r="I21" s="44" t="s">
        <v>75</v>
      </c>
      <c r="J21" s="45">
        <v>120.65441496279605</v>
      </c>
      <c r="K21" s="45">
        <v>18.9999</v>
      </c>
      <c r="L21" s="47">
        <f t="shared" si="2"/>
        <v>12.0654</v>
      </c>
      <c r="M21" s="48">
        <f t="shared" si="3"/>
        <v>19</v>
      </c>
      <c r="O21" s="44" t="s">
        <v>272</v>
      </c>
      <c r="P21" s="44" t="s">
        <v>77</v>
      </c>
      <c r="Q21" s="45">
        <v>130.36111453033004</v>
      </c>
      <c r="R21" s="45">
        <v>21.9999</v>
      </c>
      <c r="S21" s="47">
        <f t="shared" si="4"/>
        <v>13.036099999999999</v>
      </c>
      <c r="T21" s="48">
        <f t="shared" si="5"/>
        <v>22</v>
      </c>
      <c r="V21" s="44" t="s">
        <v>273</v>
      </c>
      <c r="W21" s="44" t="s">
        <v>79</v>
      </c>
      <c r="X21" s="45">
        <v>137.70217336121974</v>
      </c>
      <c r="Y21" s="45">
        <v>22.9999</v>
      </c>
      <c r="Z21" s="47">
        <f t="shared" si="6"/>
        <v>13.770200000000001</v>
      </c>
      <c r="AA21" s="48">
        <f t="shared" si="7"/>
        <v>23</v>
      </c>
      <c r="AC21" s="44" t="s">
        <v>274</v>
      </c>
      <c r="AD21" s="44" t="s">
        <v>81</v>
      </c>
      <c r="AE21" s="45">
        <v>144.73046010468497</v>
      </c>
      <c r="AF21" s="45">
        <v>24.9999</v>
      </c>
      <c r="AG21" s="47">
        <f t="shared" si="8"/>
        <v>14.473000000000001</v>
      </c>
      <c r="AH21" s="48">
        <f t="shared" si="9"/>
        <v>25</v>
      </c>
      <c r="AJ21" s="44" t="s">
        <v>275</v>
      </c>
      <c r="AK21" s="44" t="s">
        <v>83</v>
      </c>
      <c r="AL21" s="45">
        <v>153.63942000416054</v>
      </c>
      <c r="AM21" s="45">
        <v>28.9999</v>
      </c>
      <c r="AN21" s="47">
        <f t="shared" si="10"/>
        <v>15.363899999999999</v>
      </c>
      <c r="AO21" s="48">
        <f t="shared" si="11"/>
        <v>29</v>
      </c>
      <c r="AQ21" s="44" t="s">
        <v>276</v>
      </c>
      <c r="AR21" s="44" t="s">
        <v>85</v>
      </c>
      <c r="AS21" s="45">
        <v>158.41992281990221</v>
      </c>
      <c r="AT21" s="45">
        <v>33.999899999999997</v>
      </c>
      <c r="AU21" s="47">
        <f t="shared" si="12"/>
        <v>15.842000000000001</v>
      </c>
      <c r="AV21" s="48">
        <f t="shared" si="13"/>
        <v>34</v>
      </c>
      <c r="AX21" s="44" t="s">
        <v>277</v>
      </c>
      <c r="AY21" s="44" t="s">
        <v>87</v>
      </c>
      <c r="AZ21" s="45">
        <v>159.49288307965136</v>
      </c>
      <c r="BA21" s="45">
        <v>38.999899999999997</v>
      </c>
      <c r="BB21" s="47">
        <f t="shared" si="0"/>
        <v>15.949299999999999</v>
      </c>
      <c r="BC21" s="48">
        <f t="shared" si="1"/>
        <v>39</v>
      </c>
      <c r="BE21" s="44" t="s">
        <v>278</v>
      </c>
      <c r="BF21" s="44" t="s">
        <v>89</v>
      </c>
      <c r="BG21" s="45">
        <v>170.94510961141918</v>
      </c>
      <c r="BH21" s="45">
        <v>48.999899999999997</v>
      </c>
      <c r="BI21" s="47">
        <f t="shared" si="14"/>
        <v>17.0945</v>
      </c>
      <c r="BJ21" s="48">
        <f t="shared" si="15"/>
        <v>49</v>
      </c>
    </row>
    <row r="22" spans="1:62" x14ac:dyDescent="0.2">
      <c r="A22" s="44" t="s">
        <v>279</v>
      </c>
      <c r="B22" s="44" t="s">
        <v>73</v>
      </c>
      <c r="C22" s="45">
        <v>98.691478954896141</v>
      </c>
      <c r="D22" s="45">
        <v>19.9999</v>
      </c>
      <c r="E22" s="47">
        <f t="shared" si="16"/>
        <v>9.8690999999999995</v>
      </c>
      <c r="F22" s="48">
        <f t="shared" si="17"/>
        <v>20</v>
      </c>
      <c r="H22" s="44" t="s">
        <v>280</v>
      </c>
      <c r="I22" s="44" t="s">
        <v>75</v>
      </c>
      <c r="J22" s="45">
        <v>118.43630693679033</v>
      </c>
      <c r="K22" s="45">
        <v>19.9999</v>
      </c>
      <c r="L22" s="47">
        <f t="shared" si="2"/>
        <v>11.8436</v>
      </c>
      <c r="M22" s="48">
        <f t="shared" si="3"/>
        <v>20</v>
      </c>
      <c r="O22" s="44" t="s">
        <v>281</v>
      </c>
      <c r="P22" s="44" t="s">
        <v>77</v>
      </c>
      <c r="Q22" s="45">
        <v>128.24532505664584</v>
      </c>
      <c r="R22" s="45">
        <v>22.9999</v>
      </c>
      <c r="S22" s="47">
        <f t="shared" si="4"/>
        <v>12.8245</v>
      </c>
      <c r="T22" s="48">
        <f t="shared" si="5"/>
        <v>23</v>
      </c>
      <c r="V22" s="44" t="s">
        <v>282</v>
      </c>
      <c r="W22" s="44" t="s">
        <v>79</v>
      </c>
      <c r="X22" s="45">
        <v>135.73158512592562</v>
      </c>
      <c r="Y22" s="45">
        <v>23.9999</v>
      </c>
      <c r="Z22" s="47">
        <f t="shared" si="6"/>
        <v>13.5732</v>
      </c>
      <c r="AA22" s="48">
        <f t="shared" si="7"/>
        <v>24</v>
      </c>
      <c r="AC22" s="44" t="s">
        <v>283</v>
      </c>
      <c r="AD22" s="44" t="s">
        <v>81</v>
      </c>
      <c r="AE22" s="45">
        <v>143.08449737176571</v>
      </c>
      <c r="AF22" s="45">
        <v>25.9999</v>
      </c>
      <c r="AG22" s="47">
        <f t="shared" si="8"/>
        <v>14.308400000000001</v>
      </c>
      <c r="AH22" s="48">
        <f t="shared" si="9"/>
        <v>26</v>
      </c>
      <c r="AJ22" s="44" t="s">
        <v>284</v>
      </c>
      <c r="AK22" s="44" t="s">
        <v>83</v>
      </c>
      <c r="AL22" s="45">
        <v>152.23516468501163</v>
      </c>
      <c r="AM22" s="45">
        <v>29.9999</v>
      </c>
      <c r="AN22" s="47">
        <f t="shared" si="10"/>
        <v>15.2235</v>
      </c>
      <c r="AO22" s="48">
        <f t="shared" si="11"/>
        <v>30</v>
      </c>
      <c r="AQ22" s="44" t="s">
        <v>285</v>
      </c>
      <c r="AR22" s="44" t="s">
        <v>85</v>
      </c>
      <c r="AS22" s="45">
        <v>157.15015537804175</v>
      </c>
      <c r="AT22" s="45">
        <v>34.999899999999997</v>
      </c>
      <c r="AU22" s="47">
        <f t="shared" si="12"/>
        <v>15.715</v>
      </c>
      <c r="AV22" s="48">
        <f t="shared" si="13"/>
        <v>35</v>
      </c>
      <c r="AX22" s="44" t="s">
        <v>286</v>
      </c>
      <c r="AY22" s="44" t="s">
        <v>87</v>
      </c>
      <c r="AZ22" s="45">
        <v>158.28850351760755</v>
      </c>
      <c r="BA22" s="45">
        <v>39.999899999999997</v>
      </c>
      <c r="BB22" s="47">
        <f t="shared" si="0"/>
        <v>15.828900000000001</v>
      </c>
      <c r="BC22" s="48">
        <f t="shared" si="1"/>
        <v>40</v>
      </c>
      <c r="BE22" s="44" t="s">
        <v>287</v>
      </c>
      <c r="BF22" s="44" t="s">
        <v>89</v>
      </c>
      <c r="BG22" s="45">
        <v>170.4775170188266</v>
      </c>
      <c r="BH22" s="45">
        <v>49.999899999999997</v>
      </c>
      <c r="BI22" s="47">
        <f t="shared" si="14"/>
        <v>17.047799999999999</v>
      </c>
      <c r="BJ22" s="48">
        <f t="shared" si="15"/>
        <v>50</v>
      </c>
    </row>
    <row r="23" spans="1:62" x14ac:dyDescent="0.2">
      <c r="A23" s="44" t="s">
        <v>288</v>
      </c>
      <c r="B23" s="44" t="s">
        <v>73</v>
      </c>
      <c r="C23" s="45">
        <v>96.518402031819207</v>
      </c>
      <c r="D23" s="45">
        <v>20.9999</v>
      </c>
      <c r="E23" s="47">
        <f t="shared" si="16"/>
        <v>9.6517999999999997</v>
      </c>
      <c r="F23" s="48">
        <f t="shared" si="17"/>
        <v>21</v>
      </c>
      <c r="H23" s="44" t="s">
        <v>289</v>
      </c>
      <c r="I23" s="44" t="s">
        <v>75</v>
      </c>
      <c r="J23" s="45">
        <v>116.1958006076764</v>
      </c>
      <c r="K23" s="45">
        <v>20.9999</v>
      </c>
      <c r="L23" s="47">
        <f t="shared" si="2"/>
        <v>11.6196</v>
      </c>
      <c r="M23" s="48">
        <f t="shared" si="3"/>
        <v>21</v>
      </c>
      <c r="O23" s="44" t="s">
        <v>290</v>
      </c>
      <c r="P23" s="44" t="s">
        <v>77</v>
      </c>
      <c r="Q23" s="45">
        <v>126.12953558296162</v>
      </c>
      <c r="R23" s="45">
        <v>23.9999</v>
      </c>
      <c r="S23" s="47">
        <f t="shared" si="4"/>
        <v>12.613</v>
      </c>
      <c r="T23" s="48">
        <f t="shared" si="5"/>
        <v>24</v>
      </c>
      <c r="V23" s="44" t="s">
        <v>291</v>
      </c>
      <c r="W23" s="44" t="s">
        <v>79</v>
      </c>
      <c r="X23" s="45">
        <v>133.7609968906315</v>
      </c>
      <c r="Y23" s="45">
        <v>24.9999</v>
      </c>
      <c r="Z23" s="47">
        <f t="shared" si="6"/>
        <v>13.376099999999999</v>
      </c>
      <c r="AA23" s="48">
        <f t="shared" si="7"/>
        <v>25</v>
      </c>
      <c r="AC23" s="44" t="s">
        <v>292</v>
      </c>
      <c r="AD23" s="44" t="s">
        <v>81</v>
      </c>
      <c r="AE23" s="45">
        <v>141.43853463884645</v>
      </c>
      <c r="AF23" s="45">
        <v>26.9999</v>
      </c>
      <c r="AG23" s="47">
        <f t="shared" si="8"/>
        <v>14.1439</v>
      </c>
      <c r="AH23" s="48">
        <f t="shared" si="9"/>
        <v>27</v>
      </c>
      <c r="AJ23" s="44" t="s">
        <v>293</v>
      </c>
      <c r="AK23" s="44" t="s">
        <v>83</v>
      </c>
      <c r="AL23" s="45">
        <v>150.83090936586268</v>
      </c>
      <c r="AM23" s="45">
        <v>30.9999</v>
      </c>
      <c r="AN23" s="47">
        <f t="shared" si="10"/>
        <v>15.0831</v>
      </c>
      <c r="AO23" s="48">
        <f t="shared" si="11"/>
        <v>31</v>
      </c>
      <c r="AQ23" s="44" t="s">
        <v>294</v>
      </c>
      <c r="AR23" s="44" t="s">
        <v>85</v>
      </c>
      <c r="AS23" s="45">
        <v>155.88038793618128</v>
      </c>
      <c r="AT23" s="45">
        <v>35.999899999999997</v>
      </c>
      <c r="AU23" s="47">
        <f t="shared" si="12"/>
        <v>15.587999999999999</v>
      </c>
      <c r="AV23" s="48">
        <f t="shared" si="13"/>
        <v>36</v>
      </c>
      <c r="AX23" s="44" t="s">
        <v>295</v>
      </c>
      <c r="AY23" s="44" t="s">
        <v>87</v>
      </c>
      <c r="AZ23" s="45">
        <v>157.15597200158135</v>
      </c>
      <c r="BA23" s="45">
        <v>40.999899999999997</v>
      </c>
      <c r="BB23" s="47">
        <f t="shared" si="0"/>
        <v>15.7156</v>
      </c>
      <c r="BC23" s="48">
        <f t="shared" si="1"/>
        <v>41</v>
      </c>
      <c r="BE23" s="44" t="s">
        <v>296</v>
      </c>
      <c r="BF23" s="44" t="s">
        <v>89</v>
      </c>
      <c r="BG23" s="45">
        <v>170.00992442623399</v>
      </c>
      <c r="BH23" s="45">
        <v>50.999899999999997</v>
      </c>
      <c r="BI23" s="47">
        <f t="shared" si="14"/>
        <v>17.001000000000001</v>
      </c>
      <c r="BJ23" s="48">
        <f t="shared" si="15"/>
        <v>51</v>
      </c>
    </row>
    <row r="24" spans="1:62" x14ac:dyDescent="0.2">
      <c r="A24" s="44" t="s">
        <v>297</v>
      </c>
      <c r="B24" s="44" t="s">
        <v>73</v>
      </c>
      <c r="C24" s="45">
        <v>94.345325108742287</v>
      </c>
      <c r="D24" s="45">
        <v>21.9999</v>
      </c>
      <c r="E24" s="47">
        <f t="shared" si="16"/>
        <v>9.4344999999999999</v>
      </c>
      <c r="F24" s="48">
        <f t="shared" si="17"/>
        <v>22</v>
      </c>
      <c r="H24" s="44" t="s">
        <v>298</v>
      </c>
      <c r="I24" s="44" t="s">
        <v>75</v>
      </c>
      <c r="J24" s="45">
        <v>113.95529427856248</v>
      </c>
      <c r="K24" s="45">
        <v>21.9999</v>
      </c>
      <c r="L24" s="47">
        <f t="shared" si="2"/>
        <v>11.3955</v>
      </c>
      <c r="M24" s="48">
        <f t="shared" si="3"/>
        <v>22</v>
      </c>
      <c r="O24" s="44" t="s">
        <v>299</v>
      </c>
      <c r="P24" s="44" t="s">
        <v>77</v>
      </c>
      <c r="Q24" s="45">
        <v>124.01374610927741</v>
      </c>
      <c r="R24" s="45">
        <v>24.9999</v>
      </c>
      <c r="S24" s="47">
        <f t="shared" si="4"/>
        <v>12.401400000000001</v>
      </c>
      <c r="T24" s="48">
        <f t="shared" si="5"/>
        <v>25</v>
      </c>
      <c r="V24" s="44" t="s">
        <v>300</v>
      </c>
      <c r="W24" s="44" t="s">
        <v>79</v>
      </c>
      <c r="X24" s="45">
        <v>131.79040865533739</v>
      </c>
      <c r="Y24" s="45">
        <v>25.9999</v>
      </c>
      <c r="Z24" s="47">
        <f t="shared" si="6"/>
        <v>13.179</v>
      </c>
      <c r="AA24" s="48">
        <f t="shared" si="7"/>
        <v>26</v>
      </c>
      <c r="AC24" s="44" t="s">
        <v>301</v>
      </c>
      <c r="AD24" s="44" t="s">
        <v>81</v>
      </c>
      <c r="AE24" s="45">
        <v>139.79257190592722</v>
      </c>
      <c r="AF24" s="45">
        <v>27.9999</v>
      </c>
      <c r="AG24" s="47">
        <f t="shared" si="8"/>
        <v>13.9793</v>
      </c>
      <c r="AH24" s="48">
        <f t="shared" si="9"/>
        <v>28</v>
      </c>
      <c r="AJ24" s="44" t="s">
        <v>302</v>
      </c>
      <c r="AK24" s="44" t="s">
        <v>83</v>
      </c>
      <c r="AL24" s="45">
        <v>149.42665404671374</v>
      </c>
      <c r="AM24" s="45">
        <v>31.9999</v>
      </c>
      <c r="AN24" s="47">
        <f t="shared" si="10"/>
        <v>14.9427</v>
      </c>
      <c r="AO24" s="48">
        <f t="shared" si="11"/>
        <v>32</v>
      </c>
      <c r="AQ24" s="44" t="s">
        <v>303</v>
      </c>
      <c r="AR24" s="44" t="s">
        <v>85</v>
      </c>
      <c r="AS24" s="45">
        <v>154.61062049432081</v>
      </c>
      <c r="AT24" s="45">
        <v>36.999899999999997</v>
      </c>
      <c r="AU24" s="47">
        <f t="shared" si="12"/>
        <v>15.4611</v>
      </c>
      <c r="AV24" s="48">
        <f t="shared" si="13"/>
        <v>37</v>
      </c>
      <c r="AX24" s="44" t="s">
        <v>304</v>
      </c>
      <c r="AY24" s="44" t="s">
        <v>87</v>
      </c>
      <c r="AZ24" s="45">
        <v>156.08817539141185</v>
      </c>
      <c r="BA24" s="45">
        <v>41.999899999999997</v>
      </c>
      <c r="BB24" s="47">
        <f t="shared" si="0"/>
        <v>15.6088</v>
      </c>
      <c r="BC24" s="48">
        <f t="shared" si="1"/>
        <v>42</v>
      </c>
      <c r="BE24" s="44" t="s">
        <v>305</v>
      </c>
      <c r="BF24" s="44" t="s">
        <v>89</v>
      </c>
      <c r="BG24" s="45">
        <v>169.54233183364141</v>
      </c>
      <c r="BH24" s="45">
        <v>51.999899999999997</v>
      </c>
      <c r="BI24" s="47">
        <f t="shared" si="14"/>
        <v>16.9542</v>
      </c>
      <c r="BJ24" s="48">
        <f t="shared" si="15"/>
        <v>52</v>
      </c>
    </row>
    <row r="25" spans="1:62" x14ac:dyDescent="0.2">
      <c r="A25" s="44" t="s">
        <v>306</v>
      </c>
      <c r="B25" s="44" t="s">
        <v>73</v>
      </c>
      <c r="C25" s="45">
        <v>92.172248185665381</v>
      </c>
      <c r="D25" s="45">
        <v>22.9999</v>
      </c>
      <c r="E25" s="47">
        <f t="shared" si="16"/>
        <v>9.2172000000000001</v>
      </c>
      <c r="F25" s="48">
        <f t="shared" si="17"/>
        <v>23</v>
      </c>
      <c r="H25" s="44" t="s">
        <v>307</v>
      </c>
      <c r="I25" s="44" t="s">
        <v>75</v>
      </c>
      <c r="J25" s="45">
        <v>111.71478794944855</v>
      </c>
      <c r="K25" s="45">
        <v>22.9999</v>
      </c>
      <c r="L25" s="47">
        <f t="shared" si="2"/>
        <v>11.1715</v>
      </c>
      <c r="M25" s="48">
        <f t="shared" si="3"/>
        <v>23</v>
      </c>
      <c r="O25" s="44" t="s">
        <v>308</v>
      </c>
      <c r="P25" s="44" t="s">
        <v>77</v>
      </c>
      <c r="Q25" s="45">
        <v>121.8979566355932</v>
      </c>
      <c r="R25" s="45">
        <v>25.9999</v>
      </c>
      <c r="S25" s="47">
        <f t="shared" si="4"/>
        <v>12.1898</v>
      </c>
      <c r="T25" s="48">
        <f t="shared" si="5"/>
        <v>26</v>
      </c>
      <c r="V25" s="44" t="s">
        <v>309</v>
      </c>
      <c r="W25" s="44" t="s">
        <v>79</v>
      </c>
      <c r="X25" s="45">
        <v>129.90537720982311</v>
      </c>
      <c r="Y25" s="45">
        <v>26.9999</v>
      </c>
      <c r="Z25" s="47">
        <f t="shared" si="6"/>
        <v>12.990500000000001</v>
      </c>
      <c r="AA25" s="48">
        <f t="shared" si="7"/>
        <v>27</v>
      </c>
      <c r="AC25" s="44" t="s">
        <v>310</v>
      </c>
      <c r="AD25" s="44" t="s">
        <v>81</v>
      </c>
      <c r="AE25" s="45">
        <v>138.14660917300796</v>
      </c>
      <c r="AF25" s="45">
        <v>28.9999</v>
      </c>
      <c r="AG25" s="47">
        <f t="shared" si="8"/>
        <v>13.8147</v>
      </c>
      <c r="AH25" s="48">
        <f t="shared" si="9"/>
        <v>29</v>
      </c>
      <c r="AJ25" s="44" t="s">
        <v>311</v>
      </c>
      <c r="AK25" s="44" t="s">
        <v>83</v>
      </c>
      <c r="AL25" s="45">
        <v>148.02239872756482</v>
      </c>
      <c r="AM25" s="45">
        <v>32.999899999999997</v>
      </c>
      <c r="AN25" s="47">
        <f t="shared" si="10"/>
        <v>14.802199999999999</v>
      </c>
      <c r="AO25" s="48">
        <f t="shared" si="11"/>
        <v>33</v>
      </c>
      <c r="AQ25" s="44" t="s">
        <v>312</v>
      </c>
      <c r="AR25" s="44" t="s">
        <v>85</v>
      </c>
      <c r="AS25" s="45">
        <v>153.35814980149405</v>
      </c>
      <c r="AT25" s="45">
        <v>37.999899999999997</v>
      </c>
      <c r="AU25" s="47">
        <f t="shared" si="12"/>
        <v>15.335800000000001</v>
      </c>
      <c r="AV25" s="48">
        <f t="shared" si="13"/>
        <v>38</v>
      </c>
      <c r="AX25" s="44" t="s">
        <v>313</v>
      </c>
      <c r="AY25" s="44" t="s">
        <v>87</v>
      </c>
      <c r="AZ25" s="45">
        <v>155.02037878124236</v>
      </c>
      <c r="BA25" s="45">
        <v>42.999899999999997</v>
      </c>
      <c r="BB25" s="47">
        <f t="shared" si="0"/>
        <v>15.502000000000001</v>
      </c>
      <c r="BC25" s="48">
        <f t="shared" si="1"/>
        <v>43</v>
      </c>
      <c r="BE25" s="44" t="s">
        <v>314</v>
      </c>
      <c r="BF25" s="44" t="s">
        <v>89</v>
      </c>
      <c r="BG25" s="45">
        <v>169.0673797078436</v>
      </c>
      <c r="BH25" s="45">
        <v>52.999899999999997</v>
      </c>
      <c r="BI25" s="47">
        <f t="shared" si="14"/>
        <v>16.906700000000001</v>
      </c>
      <c r="BJ25" s="48">
        <f t="shared" si="15"/>
        <v>53</v>
      </c>
    </row>
    <row r="26" spans="1:62" x14ac:dyDescent="0.2">
      <c r="A26" s="44" t="s">
        <v>315</v>
      </c>
      <c r="B26" s="44" t="s">
        <v>73</v>
      </c>
      <c r="C26" s="45">
        <v>89.927488900390131</v>
      </c>
      <c r="D26" s="45">
        <v>23.9999</v>
      </c>
      <c r="E26" s="47">
        <f t="shared" si="16"/>
        <v>8.9926999999999992</v>
      </c>
      <c r="F26" s="48">
        <f t="shared" si="17"/>
        <v>24</v>
      </c>
      <c r="H26" s="44" t="s">
        <v>316</v>
      </c>
      <c r="I26" s="44" t="s">
        <v>75</v>
      </c>
      <c r="J26" s="45">
        <v>109.47428162033462</v>
      </c>
      <c r="K26" s="45">
        <v>23.9999</v>
      </c>
      <c r="L26" s="47">
        <f t="shared" si="2"/>
        <v>10.9474</v>
      </c>
      <c r="M26" s="48">
        <f t="shared" si="3"/>
        <v>24</v>
      </c>
      <c r="O26" s="44" t="s">
        <v>317</v>
      </c>
      <c r="P26" s="44" t="s">
        <v>77</v>
      </c>
      <c r="Q26" s="45">
        <v>119.782167161909</v>
      </c>
      <c r="R26" s="45">
        <v>26.9999</v>
      </c>
      <c r="S26" s="47">
        <f t="shared" si="4"/>
        <v>11.978199999999999</v>
      </c>
      <c r="T26" s="48">
        <f t="shared" si="5"/>
        <v>27</v>
      </c>
      <c r="V26" s="44" t="s">
        <v>318</v>
      </c>
      <c r="W26" s="44" t="s">
        <v>79</v>
      </c>
      <c r="X26" s="45">
        <v>128.05192893396105</v>
      </c>
      <c r="Y26" s="45">
        <v>27.9999</v>
      </c>
      <c r="Z26" s="47">
        <f t="shared" si="6"/>
        <v>12.805199999999999</v>
      </c>
      <c r="AA26" s="48">
        <f t="shared" si="7"/>
        <v>28</v>
      </c>
      <c r="AC26" s="44" t="s">
        <v>319</v>
      </c>
      <c r="AD26" s="44" t="s">
        <v>81</v>
      </c>
      <c r="AE26" s="45">
        <v>136.50308151659092</v>
      </c>
      <c r="AF26" s="45">
        <v>29.9999</v>
      </c>
      <c r="AG26" s="47">
        <f t="shared" si="8"/>
        <v>13.6503</v>
      </c>
      <c r="AH26" s="48">
        <f t="shared" si="9"/>
        <v>30</v>
      </c>
      <c r="AJ26" s="44" t="s">
        <v>320</v>
      </c>
      <c r="AK26" s="44" t="s">
        <v>83</v>
      </c>
      <c r="AL26" s="45">
        <v>146.61814340841588</v>
      </c>
      <c r="AM26" s="45">
        <v>33.999899999999997</v>
      </c>
      <c r="AN26" s="47">
        <f t="shared" si="10"/>
        <v>14.661799999999999</v>
      </c>
      <c r="AO26" s="48">
        <f t="shared" si="11"/>
        <v>34</v>
      </c>
      <c r="AQ26" s="44" t="s">
        <v>321</v>
      </c>
      <c r="AR26" s="44" t="s">
        <v>85</v>
      </c>
      <c r="AS26" s="45">
        <v>152.14839370393307</v>
      </c>
      <c r="AT26" s="45">
        <v>38.999899999999997</v>
      </c>
      <c r="AU26" s="47">
        <f t="shared" si="12"/>
        <v>15.2148</v>
      </c>
      <c r="AV26" s="48">
        <f t="shared" si="13"/>
        <v>39</v>
      </c>
      <c r="AX26" s="44" t="s">
        <v>322</v>
      </c>
      <c r="AY26" s="44" t="s">
        <v>87</v>
      </c>
      <c r="AZ26" s="45">
        <v>153.95258217107286</v>
      </c>
      <c r="BA26" s="45">
        <v>43.999899999999997</v>
      </c>
      <c r="BB26" s="47">
        <f t="shared" si="0"/>
        <v>15.395300000000001</v>
      </c>
      <c r="BC26" s="48">
        <f t="shared" si="1"/>
        <v>44</v>
      </c>
      <c r="BE26" s="44" t="s">
        <v>323</v>
      </c>
      <c r="BF26" s="44" t="s">
        <v>89</v>
      </c>
      <c r="BG26" s="45">
        <v>168.58624763237191</v>
      </c>
      <c r="BH26" s="45">
        <v>53.999899999999997</v>
      </c>
      <c r="BI26" s="47">
        <f t="shared" si="14"/>
        <v>16.858599999999999</v>
      </c>
      <c r="BJ26" s="48">
        <f t="shared" si="15"/>
        <v>54</v>
      </c>
    </row>
    <row r="27" spans="1:62" x14ac:dyDescent="0.2">
      <c r="A27" s="44" t="s">
        <v>324</v>
      </c>
      <c r="B27" s="44" t="s">
        <v>73</v>
      </c>
      <c r="C27" s="45">
        <v>87.610181208082452</v>
      </c>
      <c r="D27" s="45">
        <v>24.9999</v>
      </c>
      <c r="E27" s="47">
        <f t="shared" si="16"/>
        <v>8.7609999999999992</v>
      </c>
      <c r="F27" s="48">
        <f t="shared" si="17"/>
        <v>25</v>
      </c>
      <c r="H27" s="44" t="s">
        <v>325</v>
      </c>
      <c r="I27" s="44" t="s">
        <v>75</v>
      </c>
      <c r="J27" s="45">
        <v>107.35946873282465</v>
      </c>
      <c r="K27" s="45">
        <v>24.9999</v>
      </c>
      <c r="L27" s="47">
        <f t="shared" si="2"/>
        <v>10.735900000000001</v>
      </c>
      <c r="M27" s="48">
        <f t="shared" si="3"/>
        <v>25</v>
      </c>
      <c r="O27" s="44" t="s">
        <v>326</v>
      </c>
      <c r="P27" s="44" t="s">
        <v>77</v>
      </c>
      <c r="Q27" s="45">
        <v>117.66637768822478</v>
      </c>
      <c r="R27" s="45">
        <v>27.9999</v>
      </c>
      <c r="S27" s="47">
        <f t="shared" si="4"/>
        <v>11.7666</v>
      </c>
      <c r="T27" s="48">
        <f t="shared" si="5"/>
        <v>28</v>
      </c>
      <c r="V27" s="44" t="s">
        <v>327</v>
      </c>
      <c r="W27" s="44" t="s">
        <v>79</v>
      </c>
      <c r="X27" s="45">
        <v>126.19848065809899</v>
      </c>
      <c r="Y27" s="45">
        <v>28.9999</v>
      </c>
      <c r="Z27" s="47">
        <f t="shared" si="6"/>
        <v>12.6198</v>
      </c>
      <c r="AA27" s="48">
        <f t="shared" si="7"/>
        <v>29</v>
      </c>
      <c r="AC27" s="44" t="s">
        <v>328</v>
      </c>
      <c r="AD27" s="44" t="s">
        <v>81</v>
      </c>
      <c r="AE27" s="45">
        <v>134.86582661463015</v>
      </c>
      <c r="AF27" s="45">
        <v>30.9999</v>
      </c>
      <c r="AG27" s="47">
        <f t="shared" si="8"/>
        <v>13.486599999999999</v>
      </c>
      <c r="AH27" s="48">
        <f t="shared" si="9"/>
        <v>31</v>
      </c>
      <c r="AJ27" s="44" t="s">
        <v>329</v>
      </c>
      <c r="AK27" s="44" t="s">
        <v>83</v>
      </c>
      <c r="AL27" s="45">
        <v>145.22888148159893</v>
      </c>
      <c r="AM27" s="45">
        <v>34.999899999999997</v>
      </c>
      <c r="AN27" s="47">
        <f t="shared" si="10"/>
        <v>14.5229</v>
      </c>
      <c r="AO27" s="48">
        <f t="shared" si="11"/>
        <v>35</v>
      </c>
      <c r="AQ27" s="44" t="s">
        <v>330</v>
      </c>
      <c r="AR27" s="44" t="s">
        <v>85</v>
      </c>
      <c r="AS27" s="45">
        <v>150.93863760637211</v>
      </c>
      <c r="AT27" s="45">
        <v>39.999899999999997</v>
      </c>
      <c r="AU27" s="47">
        <f t="shared" si="12"/>
        <v>15.0939</v>
      </c>
      <c r="AV27" s="48">
        <f t="shared" si="13"/>
        <v>40</v>
      </c>
      <c r="AX27" s="44" t="s">
        <v>331</v>
      </c>
      <c r="AY27" s="44" t="s">
        <v>87</v>
      </c>
      <c r="AZ27" s="45">
        <v>152.88363718013056</v>
      </c>
      <c r="BA27" s="45">
        <v>44.999899999999997</v>
      </c>
      <c r="BB27" s="47">
        <f t="shared" si="0"/>
        <v>15.288399999999999</v>
      </c>
      <c r="BC27" s="48">
        <f t="shared" si="1"/>
        <v>45</v>
      </c>
      <c r="BE27" s="44" t="s">
        <v>332</v>
      </c>
      <c r="BF27" s="44" t="s">
        <v>89</v>
      </c>
      <c r="BG27" s="45">
        <v>168.10511555690022</v>
      </c>
      <c r="BH27" s="45">
        <v>54.999899999999997</v>
      </c>
      <c r="BI27" s="47">
        <f t="shared" si="14"/>
        <v>16.810500000000001</v>
      </c>
      <c r="BJ27" s="48">
        <f t="shared" si="15"/>
        <v>55</v>
      </c>
    </row>
    <row r="28" spans="1:62" x14ac:dyDescent="0.2">
      <c r="A28" s="44" t="s">
        <v>333</v>
      </c>
      <c r="B28" s="44" t="s">
        <v>73</v>
      </c>
      <c r="C28" s="45">
        <v>85.292873515774744</v>
      </c>
      <c r="D28" s="45">
        <v>25.9999</v>
      </c>
      <c r="E28" s="47">
        <f t="shared" si="16"/>
        <v>8.5292999999999992</v>
      </c>
      <c r="F28" s="48">
        <f t="shared" si="17"/>
        <v>26</v>
      </c>
      <c r="H28" s="44" t="s">
        <v>334</v>
      </c>
      <c r="I28" s="44" t="s">
        <v>75</v>
      </c>
      <c r="J28" s="45">
        <v>105.42398486185691</v>
      </c>
      <c r="K28" s="45">
        <v>25.9999</v>
      </c>
      <c r="L28" s="47">
        <f t="shared" si="2"/>
        <v>10.542400000000001</v>
      </c>
      <c r="M28" s="48">
        <f t="shared" si="3"/>
        <v>26</v>
      </c>
      <c r="O28" s="44" t="s">
        <v>335</v>
      </c>
      <c r="P28" s="44" t="s">
        <v>77</v>
      </c>
      <c r="Q28" s="45">
        <v>115.62369274872998</v>
      </c>
      <c r="R28" s="45">
        <v>28.9999</v>
      </c>
      <c r="S28" s="47">
        <f t="shared" si="4"/>
        <v>11.5624</v>
      </c>
      <c r="T28" s="48">
        <f t="shared" si="5"/>
        <v>29</v>
      </c>
      <c r="V28" s="44" t="s">
        <v>336</v>
      </c>
      <c r="W28" s="44" t="s">
        <v>79</v>
      </c>
      <c r="X28" s="45">
        <v>124.34503238223691</v>
      </c>
      <c r="Y28" s="45">
        <v>29.9999</v>
      </c>
      <c r="Z28" s="47">
        <f t="shared" si="6"/>
        <v>12.4345</v>
      </c>
      <c r="AA28" s="48">
        <f t="shared" si="7"/>
        <v>30</v>
      </c>
      <c r="AC28" s="44" t="s">
        <v>337</v>
      </c>
      <c r="AD28" s="44" t="s">
        <v>81</v>
      </c>
      <c r="AE28" s="45">
        <v>133.22857171266938</v>
      </c>
      <c r="AF28" s="45">
        <v>31.9999</v>
      </c>
      <c r="AG28" s="47">
        <f t="shared" si="8"/>
        <v>13.322900000000001</v>
      </c>
      <c r="AH28" s="48">
        <f t="shared" si="9"/>
        <v>32</v>
      </c>
      <c r="AJ28" s="44" t="s">
        <v>338</v>
      </c>
      <c r="AK28" s="44" t="s">
        <v>83</v>
      </c>
      <c r="AL28" s="45">
        <v>143.85152299103291</v>
      </c>
      <c r="AM28" s="45">
        <v>35.999899999999997</v>
      </c>
      <c r="AN28" s="47">
        <f t="shared" si="10"/>
        <v>14.385199999999999</v>
      </c>
      <c r="AO28" s="48">
        <f t="shared" si="11"/>
        <v>36</v>
      </c>
      <c r="AQ28" s="44" t="s">
        <v>339</v>
      </c>
      <c r="AR28" s="44" t="s">
        <v>85</v>
      </c>
      <c r="AS28" s="45">
        <v>149.72888150881113</v>
      </c>
      <c r="AT28" s="45">
        <v>40.999899999999997</v>
      </c>
      <c r="AU28" s="47">
        <f t="shared" si="12"/>
        <v>14.972899999999999</v>
      </c>
      <c r="AV28" s="48">
        <f t="shared" si="13"/>
        <v>41</v>
      </c>
      <c r="AX28" s="44" t="s">
        <v>340</v>
      </c>
      <c r="AY28" s="44" t="s">
        <v>87</v>
      </c>
      <c r="AZ28" s="45">
        <v>151.79705709355048</v>
      </c>
      <c r="BA28" s="45">
        <v>45.999899999999997</v>
      </c>
      <c r="BB28" s="47">
        <f t="shared" si="0"/>
        <v>15.1797</v>
      </c>
      <c r="BC28" s="48">
        <f t="shared" si="1"/>
        <v>46</v>
      </c>
      <c r="BE28" s="44" t="s">
        <v>341</v>
      </c>
      <c r="BF28" s="44" t="s">
        <v>89</v>
      </c>
      <c r="BG28" s="45">
        <v>167.62398348142852</v>
      </c>
      <c r="BH28" s="45">
        <v>55.999899999999997</v>
      </c>
      <c r="BI28" s="47">
        <f t="shared" si="14"/>
        <v>16.7624</v>
      </c>
      <c r="BJ28" s="48">
        <f t="shared" si="15"/>
        <v>56</v>
      </c>
    </row>
    <row r="29" spans="1:62" x14ac:dyDescent="0.2">
      <c r="A29" s="44" t="s">
        <v>342</v>
      </c>
      <c r="B29" s="44" t="s">
        <v>73</v>
      </c>
      <c r="C29" s="45">
        <v>82.975565823467036</v>
      </c>
      <c r="D29" s="45">
        <v>26.9999</v>
      </c>
      <c r="E29" s="47">
        <f t="shared" si="16"/>
        <v>8.2975999999999992</v>
      </c>
      <c r="F29" s="48">
        <f t="shared" si="17"/>
        <v>27</v>
      </c>
      <c r="H29" s="44" t="s">
        <v>343</v>
      </c>
      <c r="I29" s="44" t="s">
        <v>75</v>
      </c>
      <c r="J29" s="45">
        <v>103.48850099088918</v>
      </c>
      <c r="K29" s="45">
        <v>26.9999</v>
      </c>
      <c r="L29" s="47">
        <f t="shared" si="2"/>
        <v>10.3489</v>
      </c>
      <c r="M29" s="48">
        <f t="shared" si="3"/>
        <v>27</v>
      </c>
      <c r="O29" s="44" t="s">
        <v>344</v>
      </c>
      <c r="P29" s="44" t="s">
        <v>77</v>
      </c>
      <c r="Q29" s="45">
        <v>113.77753890257614</v>
      </c>
      <c r="R29" s="45">
        <v>29.9999</v>
      </c>
      <c r="S29" s="47">
        <f t="shared" si="4"/>
        <v>11.377800000000001</v>
      </c>
      <c r="T29" s="48">
        <f t="shared" si="5"/>
        <v>30</v>
      </c>
      <c r="V29" s="44" t="s">
        <v>345</v>
      </c>
      <c r="W29" s="44" t="s">
        <v>79</v>
      </c>
      <c r="X29" s="45">
        <v>122.49158410637484</v>
      </c>
      <c r="Y29" s="45">
        <v>30.9999</v>
      </c>
      <c r="Z29" s="47">
        <f t="shared" si="6"/>
        <v>12.2492</v>
      </c>
      <c r="AA29" s="48">
        <f t="shared" si="7"/>
        <v>31</v>
      </c>
      <c r="AC29" s="44" t="s">
        <v>346</v>
      </c>
      <c r="AD29" s="44" t="s">
        <v>81</v>
      </c>
      <c r="AE29" s="45">
        <v>131.59131681070858</v>
      </c>
      <c r="AF29" s="45">
        <v>32.999899999999997</v>
      </c>
      <c r="AG29" s="47">
        <f t="shared" si="8"/>
        <v>13.1591</v>
      </c>
      <c r="AH29" s="48">
        <f t="shared" si="9"/>
        <v>33</v>
      </c>
      <c r="AJ29" s="44" t="s">
        <v>347</v>
      </c>
      <c r="AK29" s="44" t="s">
        <v>83</v>
      </c>
      <c r="AL29" s="45">
        <v>142.47416450046686</v>
      </c>
      <c r="AM29" s="45">
        <v>36.999899999999997</v>
      </c>
      <c r="AN29" s="47">
        <f t="shared" si="10"/>
        <v>14.247400000000001</v>
      </c>
      <c r="AO29" s="48">
        <f t="shared" si="11"/>
        <v>37</v>
      </c>
      <c r="AQ29" s="44" t="s">
        <v>348</v>
      </c>
      <c r="AR29" s="44" t="s">
        <v>85</v>
      </c>
      <c r="AS29" s="45">
        <v>148.51912541125017</v>
      </c>
      <c r="AT29" s="45">
        <v>41.999899999999997</v>
      </c>
      <c r="AU29" s="47">
        <f t="shared" si="12"/>
        <v>14.851900000000001</v>
      </c>
      <c r="AV29" s="48">
        <f t="shared" si="13"/>
        <v>42</v>
      </c>
      <c r="AX29" s="44" t="s">
        <v>349</v>
      </c>
      <c r="AY29" s="44" t="s">
        <v>87</v>
      </c>
      <c r="AZ29" s="45">
        <v>150.71047700697039</v>
      </c>
      <c r="BA29" s="45">
        <v>46.999899999999997</v>
      </c>
      <c r="BB29" s="47">
        <f t="shared" si="0"/>
        <v>15.071</v>
      </c>
      <c r="BC29" s="48">
        <f t="shared" si="1"/>
        <v>47</v>
      </c>
      <c r="BE29" s="44" t="s">
        <v>350</v>
      </c>
      <c r="BF29" s="44" t="s">
        <v>89</v>
      </c>
      <c r="BG29" s="45">
        <v>167.1428514059568</v>
      </c>
      <c r="BH29" s="45">
        <v>56.999899999999997</v>
      </c>
      <c r="BI29" s="47">
        <f t="shared" si="14"/>
        <v>16.714300000000001</v>
      </c>
      <c r="BJ29" s="48">
        <f t="shared" si="15"/>
        <v>57</v>
      </c>
    </row>
    <row r="30" spans="1:62" x14ac:dyDescent="0.2">
      <c r="A30" s="44" t="s">
        <v>351</v>
      </c>
      <c r="B30" s="44" t="s">
        <v>73</v>
      </c>
      <c r="C30" s="45">
        <v>80.866629151160183</v>
      </c>
      <c r="D30" s="45">
        <v>27.9999</v>
      </c>
      <c r="E30" s="47">
        <f t="shared" si="16"/>
        <v>8.0867000000000004</v>
      </c>
      <c r="F30" s="48">
        <f t="shared" si="17"/>
        <v>28</v>
      </c>
      <c r="H30" s="44" t="s">
        <v>352</v>
      </c>
      <c r="I30" s="44" t="s">
        <v>75</v>
      </c>
      <c r="J30" s="45">
        <v>101.55301711992144</v>
      </c>
      <c r="K30" s="45">
        <v>27.9999</v>
      </c>
      <c r="L30" s="47">
        <f t="shared" si="2"/>
        <v>10.1553</v>
      </c>
      <c r="M30" s="48">
        <f t="shared" si="3"/>
        <v>28</v>
      </c>
      <c r="O30" s="44" t="s">
        <v>353</v>
      </c>
      <c r="P30" s="44" t="s">
        <v>77</v>
      </c>
      <c r="Q30" s="45">
        <v>111.9313850564223</v>
      </c>
      <c r="R30" s="45">
        <v>30.9999</v>
      </c>
      <c r="S30" s="47">
        <f t="shared" si="4"/>
        <v>11.193099999999999</v>
      </c>
      <c r="T30" s="48">
        <f t="shared" si="5"/>
        <v>31</v>
      </c>
      <c r="V30" s="44" t="s">
        <v>354</v>
      </c>
      <c r="W30" s="44" t="s">
        <v>79</v>
      </c>
      <c r="X30" s="45">
        <v>120.63813583051277</v>
      </c>
      <c r="Y30" s="45">
        <v>31.9999</v>
      </c>
      <c r="Z30" s="47">
        <f t="shared" si="6"/>
        <v>12.063800000000001</v>
      </c>
      <c r="AA30" s="48">
        <f t="shared" si="7"/>
        <v>32</v>
      </c>
      <c r="AC30" s="44" t="s">
        <v>355</v>
      </c>
      <c r="AD30" s="44" t="s">
        <v>81</v>
      </c>
      <c r="AE30" s="45">
        <v>129.9540619087478</v>
      </c>
      <c r="AF30" s="45">
        <v>33.999899999999997</v>
      </c>
      <c r="AG30" s="47">
        <f t="shared" si="8"/>
        <v>12.9954</v>
      </c>
      <c r="AH30" s="48">
        <f t="shared" si="9"/>
        <v>34</v>
      </c>
      <c r="AJ30" s="44" t="s">
        <v>356</v>
      </c>
      <c r="AK30" s="44" t="s">
        <v>83</v>
      </c>
      <c r="AL30" s="45">
        <v>141.09680600990083</v>
      </c>
      <c r="AM30" s="45">
        <v>37.999899999999997</v>
      </c>
      <c r="AN30" s="47">
        <f t="shared" si="10"/>
        <v>14.1097</v>
      </c>
      <c r="AO30" s="48">
        <f t="shared" si="11"/>
        <v>38</v>
      </c>
      <c r="AQ30" s="44" t="s">
        <v>357</v>
      </c>
      <c r="AR30" s="44" t="s">
        <v>85</v>
      </c>
      <c r="AS30" s="45">
        <v>147.30936931368919</v>
      </c>
      <c r="AT30" s="45">
        <v>42.999899999999997</v>
      </c>
      <c r="AU30" s="47">
        <f t="shared" si="12"/>
        <v>14.7309</v>
      </c>
      <c r="AV30" s="48">
        <f t="shared" si="13"/>
        <v>43</v>
      </c>
      <c r="AX30" s="44" t="s">
        <v>358</v>
      </c>
      <c r="AY30" s="44" t="s">
        <v>87</v>
      </c>
      <c r="AZ30" s="45">
        <v>149.62389692039031</v>
      </c>
      <c r="BA30" s="45">
        <v>47.999899999999997</v>
      </c>
      <c r="BB30" s="47">
        <f t="shared" si="0"/>
        <v>14.962400000000001</v>
      </c>
      <c r="BC30" s="48">
        <f t="shared" si="1"/>
        <v>48</v>
      </c>
      <c r="BE30" s="44" t="s">
        <v>359</v>
      </c>
      <c r="BF30" s="44" t="s">
        <v>89</v>
      </c>
      <c r="BG30" s="45">
        <v>166.66171933048511</v>
      </c>
      <c r="BH30" s="45">
        <v>57.999899999999997</v>
      </c>
      <c r="BI30" s="47">
        <f t="shared" si="14"/>
        <v>16.6662</v>
      </c>
      <c r="BJ30" s="48">
        <f t="shared" si="15"/>
        <v>58</v>
      </c>
    </row>
    <row r="31" spans="1:62" x14ac:dyDescent="0.2">
      <c r="A31" s="44" t="s">
        <v>360</v>
      </c>
      <c r="B31" s="44" t="s">
        <v>73</v>
      </c>
      <c r="C31" s="45">
        <v>78.920200579731613</v>
      </c>
      <c r="D31" s="45">
        <v>28.9999</v>
      </c>
      <c r="E31" s="47">
        <f t="shared" si="16"/>
        <v>7.8920000000000003</v>
      </c>
      <c r="F31" s="48">
        <f t="shared" si="17"/>
        <v>29</v>
      </c>
      <c r="H31" s="44" t="s">
        <v>361</v>
      </c>
      <c r="I31" s="44" t="s">
        <v>75</v>
      </c>
      <c r="J31" s="45">
        <v>99.679269229600791</v>
      </c>
      <c r="K31" s="45">
        <v>28.9999</v>
      </c>
      <c r="L31" s="47">
        <f t="shared" si="2"/>
        <v>9.9679000000000002</v>
      </c>
      <c r="M31" s="48">
        <f t="shared" si="3"/>
        <v>29</v>
      </c>
      <c r="O31" s="44" t="s">
        <v>362</v>
      </c>
      <c r="P31" s="44" t="s">
        <v>77</v>
      </c>
      <c r="Q31" s="45">
        <v>110.08523121026846</v>
      </c>
      <c r="R31" s="45">
        <v>31.9999</v>
      </c>
      <c r="S31" s="47">
        <f t="shared" si="4"/>
        <v>11.0085</v>
      </c>
      <c r="T31" s="48">
        <f t="shared" si="5"/>
        <v>32</v>
      </c>
      <c r="V31" s="44" t="s">
        <v>363</v>
      </c>
      <c r="W31" s="44" t="s">
        <v>79</v>
      </c>
      <c r="X31" s="45">
        <v>118.84443236735774</v>
      </c>
      <c r="Y31" s="45">
        <v>32.999899999999997</v>
      </c>
      <c r="Z31" s="47">
        <f t="shared" si="6"/>
        <v>11.884399999999999</v>
      </c>
      <c r="AA31" s="48">
        <f t="shared" si="7"/>
        <v>33</v>
      </c>
      <c r="AC31" s="44" t="s">
        <v>364</v>
      </c>
      <c r="AD31" s="44" t="s">
        <v>81</v>
      </c>
      <c r="AE31" s="45">
        <v>128.42669420470315</v>
      </c>
      <c r="AF31" s="45">
        <v>34.999899999999997</v>
      </c>
      <c r="AG31" s="47">
        <f t="shared" si="8"/>
        <v>12.842700000000001</v>
      </c>
      <c r="AH31" s="48">
        <f t="shared" si="9"/>
        <v>35</v>
      </c>
      <c r="AJ31" s="44" t="s">
        <v>365</v>
      </c>
      <c r="AK31" s="44" t="s">
        <v>83</v>
      </c>
      <c r="AL31" s="45">
        <v>139.71944751933481</v>
      </c>
      <c r="AM31" s="45">
        <v>38.999899999999997</v>
      </c>
      <c r="AN31" s="47">
        <f t="shared" si="10"/>
        <v>13.9719</v>
      </c>
      <c r="AO31" s="48">
        <f t="shared" si="11"/>
        <v>39</v>
      </c>
      <c r="AQ31" s="44" t="s">
        <v>366</v>
      </c>
      <c r="AR31" s="44" t="s">
        <v>85</v>
      </c>
      <c r="AS31" s="45">
        <v>146.0996132161282</v>
      </c>
      <c r="AT31" s="45">
        <v>43.999899999999997</v>
      </c>
      <c r="AU31" s="47">
        <f t="shared" si="12"/>
        <v>14.61</v>
      </c>
      <c r="AV31" s="48">
        <f t="shared" si="13"/>
        <v>44</v>
      </c>
      <c r="AX31" s="44" t="s">
        <v>367</v>
      </c>
      <c r="AY31" s="44" t="s">
        <v>87</v>
      </c>
      <c r="AZ31" s="45">
        <v>148.53731683381022</v>
      </c>
      <c r="BA31" s="45">
        <v>48.999899999999997</v>
      </c>
      <c r="BB31" s="47">
        <f t="shared" si="0"/>
        <v>14.8537</v>
      </c>
      <c r="BC31" s="48">
        <f t="shared" si="1"/>
        <v>49</v>
      </c>
      <c r="BE31" s="44" t="s">
        <v>368</v>
      </c>
      <c r="BF31" s="44" t="s">
        <v>89</v>
      </c>
      <c r="BG31" s="45">
        <v>166.18058725501342</v>
      </c>
      <c r="BH31" s="45">
        <v>58.999899999999997</v>
      </c>
      <c r="BI31" s="47">
        <f t="shared" si="14"/>
        <v>16.618099999999998</v>
      </c>
      <c r="BJ31" s="48">
        <f t="shared" si="15"/>
        <v>59</v>
      </c>
    </row>
    <row r="32" spans="1:62" x14ac:dyDescent="0.2">
      <c r="A32" s="44" t="s">
        <v>369</v>
      </c>
      <c r="B32" s="44" t="s">
        <v>73</v>
      </c>
      <c r="C32" s="45">
        <v>76.973772008303058</v>
      </c>
      <c r="D32" s="45">
        <v>29.9999</v>
      </c>
      <c r="E32" s="47">
        <f t="shared" si="16"/>
        <v>7.6974</v>
      </c>
      <c r="F32" s="48">
        <f t="shared" si="17"/>
        <v>30</v>
      </c>
      <c r="H32" s="44" t="s">
        <v>370</v>
      </c>
      <c r="I32" s="44" t="s">
        <v>75</v>
      </c>
      <c r="J32" s="45">
        <v>97.916111334863942</v>
      </c>
      <c r="K32" s="45">
        <v>29.9999</v>
      </c>
      <c r="L32" s="47">
        <f t="shared" si="2"/>
        <v>9.7916000000000007</v>
      </c>
      <c r="M32" s="48">
        <f t="shared" si="3"/>
        <v>30</v>
      </c>
      <c r="O32" s="44" t="s">
        <v>371</v>
      </c>
      <c r="P32" s="44" t="s">
        <v>77</v>
      </c>
      <c r="Q32" s="45">
        <v>108.23907736411462</v>
      </c>
      <c r="R32" s="45">
        <v>32.999899999999997</v>
      </c>
      <c r="S32" s="47">
        <f t="shared" si="4"/>
        <v>10.8239</v>
      </c>
      <c r="T32" s="48">
        <f t="shared" si="5"/>
        <v>33</v>
      </c>
      <c r="V32" s="44" t="s">
        <v>372</v>
      </c>
      <c r="W32" s="44" t="s">
        <v>79</v>
      </c>
      <c r="X32" s="45">
        <v>117.13674005966543</v>
      </c>
      <c r="Y32" s="45">
        <v>33.999899999999997</v>
      </c>
      <c r="Z32" s="47">
        <f t="shared" si="6"/>
        <v>11.713699999999999</v>
      </c>
      <c r="AA32" s="48">
        <f t="shared" si="7"/>
        <v>34</v>
      </c>
      <c r="AC32" s="44" t="s">
        <v>373</v>
      </c>
      <c r="AD32" s="44" t="s">
        <v>81</v>
      </c>
      <c r="AE32" s="45">
        <v>126.95895226921928</v>
      </c>
      <c r="AF32" s="45">
        <v>35.999899999999997</v>
      </c>
      <c r="AG32" s="47">
        <f t="shared" si="8"/>
        <v>12.6959</v>
      </c>
      <c r="AH32" s="48">
        <f t="shared" si="9"/>
        <v>36</v>
      </c>
      <c r="AJ32" s="44" t="s">
        <v>374</v>
      </c>
      <c r="AK32" s="44" t="s">
        <v>83</v>
      </c>
      <c r="AL32" s="45">
        <v>138.37486259272282</v>
      </c>
      <c r="AM32" s="45">
        <v>39.999899999999997</v>
      </c>
      <c r="AN32" s="47">
        <f t="shared" si="10"/>
        <v>13.8375</v>
      </c>
      <c r="AO32" s="48">
        <f t="shared" si="11"/>
        <v>40</v>
      </c>
      <c r="AQ32" s="44" t="s">
        <v>375</v>
      </c>
      <c r="AR32" s="44" t="s">
        <v>85</v>
      </c>
      <c r="AS32" s="45">
        <v>144.88985711856725</v>
      </c>
      <c r="AT32" s="45">
        <v>44.999899999999997</v>
      </c>
      <c r="AU32" s="47">
        <f t="shared" si="12"/>
        <v>14.489000000000001</v>
      </c>
      <c r="AV32" s="48">
        <f t="shared" si="13"/>
        <v>45</v>
      </c>
      <c r="AX32" s="44" t="s">
        <v>376</v>
      </c>
      <c r="AY32" s="44" t="s">
        <v>87</v>
      </c>
      <c r="AZ32" s="45">
        <v>147.45073674723011</v>
      </c>
      <c r="BA32" s="45">
        <v>49.999899999999997</v>
      </c>
      <c r="BB32" s="47">
        <f t="shared" si="0"/>
        <v>14.745100000000001</v>
      </c>
      <c r="BC32" s="48">
        <f t="shared" si="1"/>
        <v>50</v>
      </c>
      <c r="BE32" s="44" t="s">
        <v>377</v>
      </c>
      <c r="BF32" s="44" t="s">
        <v>89</v>
      </c>
      <c r="BG32" s="45">
        <v>165.69945517954173</v>
      </c>
      <c r="BH32" s="45">
        <v>59.999899999999997</v>
      </c>
      <c r="BI32" s="47">
        <f t="shared" si="14"/>
        <v>16.569900000000001</v>
      </c>
      <c r="BJ32" s="48">
        <f t="shared" si="15"/>
        <v>60</v>
      </c>
    </row>
    <row r="33" spans="1:62" x14ac:dyDescent="0.2">
      <c r="A33" s="44" t="s">
        <v>378</v>
      </c>
      <c r="B33" s="44" t="s">
        <v>73</v>
      </c>
      <c r="C33" s="45">
        <v>75.02734343687446</v>
      </c>
      <c r="D33" s="45">
        <v>30.9999</v>
      </c>
      <c r="E33" s="47">
        <f t="shared" si="16"/>
        <v>7.5026999999999999</v>
      </c>
      <c r="F33" s="48">
        <f t="shared" si="17"/>
        <v>31</v>
      </c>
      <c r="H33" s="44" t="s">
        <v>379</v>
      </c>
      <c r="I33" s="44" t="s">
        <v>75</v>
      </c>
      <c r="J33" s="45">
        <v>96.152953440127106</v>
      </c>
      <c r="K33" s="45">
        <v>30.9999</v>
      </c>
      <c r="L33" s="47">
        <f t="shared" si="2"/>
        <v>9.6152999999999995</v>
      </c>
      <c r="M33" s="48">
        <f t="shared" si="3"/>
        <v>31</v>
      </c>
      <c r="O33" s="44" t="s">
        <v>380</v>
      </c>
      <c r="P33" s="44" t="s">
        <v>77</v>
      </c>
      <c r="Q33" s="45">
        <v>106.39292351796077</v>
      </c>
      <c r="R33" s="45">
        <v>33.999899999999997</v>
      </c>
      <c r="S33" s="47">
        <f t="shared" si="4"/>
        <v>10.6393</v>
      </c>
      <c r="T33" s="48">
        <f t="shared" si="5"/>
        <v>34</v>
      </c>
      <c r="V33" s="44" t="s">
        <v>381</v>
      </c>
      <c r="W33" s="44" t="s">
        <v>79</v>
      </c>
      <c r="X33" s="45">
        <v>115.42904775197312</v>
      </c>
      <c r="Y33" s="45">
        <v>34.999899999999997</v>
      </c>
      <c r="Z33" s="47">
        <f t="shared" si="6"/>
        <v>11.542899999999999</v>
      </c>
      <c r="AA33" s="48">
        <f t="shared" si="7"/>
        <v>35</v>
      </c>
      <c r="AC33" s="44" t="s">
        <v>382</v>
      </c>
      <c r="AD33" s="44" t="s">
        <v>81</v>
      </c>
      <c r="AE33" s="45">
        <v>125.4912103337354</v>
      </c>
      <c r="AF33" s="45">
        <v>36.999899999999997</v>
      </c>
      <c r="AG33" s="47">
        <f t="shared" si="8"/>
        <v>12.549099999999999</v>
      </c>
      <c r="AH33" s="48">
        <f t="shared" si="9"/>
        <v>37</v>
      </c>
      <c r="AJ33" s="44" t="s">
        <v>383</v>
      </c>
      <c r="AK33" s="44" t="s">
        <v>83</v>
      </c>
      <c r="AL33" s="45">
        <v>137.04152925938948</v>
      </c>
      <c r="AM33" s="45">
        <v>40.999899999999997</v>
      </c>
      <c r="AN33" s="47">
        <f t="shared" si="10"/>
        <v>13.7042</v>
      </c>
      <c r="AO33" s="48">
        <f t="shared" si="11"/>
        <v>41</v>
      </c>
      <c r="AQ33" s="44" t="s">
        <v>384</v>
      </c>
      <c r="AR33" s="44" t="s">
        <v>85</v>
      </c>
      <c r="AS33" s="45">
        <v>143.64235431064728</v>
      </c>
      <c r="AT33" s="45">
        <v>45.999899999999997</v>
      </c>
      <c r="AU33" s="47">
        <f t="shared" si="12"/>
        <v>14.3642</v>
      </c>
      <c r="AV33" s="48">
        <f t="shared" si="13"/>
        <v>46</v>
      </c>
      <c r="AX33" s="44" t="s">
        <v>385</v>
      </c>
      <c r="AY33" s="44" t="s">
        <v>87</v>
      </c>
      <c r="AZ33" s="45">
        <v>146.36415666065002</v>
      </c>
      <c r="BA33" s="45">
        <v>50.999899999999997</v>
      </c>
      <c r="BB33" s="47">
        <f t="shared" si="0"/>
        <v>14.6364</v>
      </c>
      <c r="BC33" s="48">
        <f t="shared" si="1"/>
        <v>51</v>
      </c>
      <c r="BE33" s="44" t="s">
        <v>386</v>
      </c>
      <c r="BF33" s="44" t="s">
        <v>89</v>
      </c>
      <c r="BG33" s="45">
        <v>165.21832310407001</v>
      </c>
      <c r="BH33" s="45">
        <v>60.999899999999997</v>
      </c>
      <c r="BI33" s="47">
        <f t="shared" si="14"/>
        <v>16.521799999999999</v>
      </c>
      <c r="BJ33" s="48">
        <f t="shared" si="15"/>
        <v>61</v>
      </c>
    </row>
    <row r="34" spans="1:62" x14ac:dyDescent="0.2">
      <c r="A34" s="44" t="s">
        <v>387</v>
      </c>
      <c r="B34" s="44" t="s">
        <v>73</v>
      </c>
      <c r="C34" s="45">
        <v>72.999899999999997</v>
      </c>
      <c r="D34" s="45">
        <v>32.012181268079928</v>
      </c>
      <c r="E34" s="47">
        <f t="shared" si="16"/>
        <v>7.3</v>
      </c>
      <c r="F34" s="48">
        <f t="shared" si="17"/>
        <v>32</v>
      </c>
      <c r="H34" s="44" t="s">
        <v>388</v>
      </c>
      <c r="I34" s="44" t="s">
        <v>75</v>
      </c>
      <c r="J34" s="45">
        <v>94.389795545390257</v>
      </c>
      <c r="K34" s="45">
        <v>31.9999</v>
      </c>
      <c r="L34" s="47">
        <f t="shared" si="2"/>
        <v>9.4390000000000001</v>
      </c>
      <c r="M34" s="48">
        <f t="shared" si="3"/>
        <v>32</v>
      </c>
      <c r="O34" s="44" t="s">
        <v>389</v>
      </c>
      <c r="P34" s="44" t="s">
        <v>77</v>
      </c>
      <c r="Q34" s="45">
        <v>104.54676967180693</v>
      </c>
      <c r="R34" s="45">
        <v>34.999899999999997</v>
      </c>
      <c r="S34" s="47">
        <f t="shared" si="4"/>
        <v>10.454700000000001</v>
      </c>
      <c r="T34" s="48">
        <f t="shared" si="5"/>
        <v>35</v>
      </c>
      <c r="V34" s="44" t="s">
        <v>390</v>
      </c>
      <c r="W34" s="44" t="s">
        <v>79</v>
      </c>
      <c r="X34" s="45">
        <v>113.7213554442808</v>
      </c>
      <c r="Y34" s="45">
        <v>35.999899999999997</v>
      </c>
      <c r="Z34" s="47">
        <f t="shared" si="6"/>
        <v>11.3721</v>
      </c>
      <c r="AA34" s="48">
        <f t="shared" si="7"/>
        <v>36</v>
      </c>
      <c r="AC34" s="44" t="s">
        <v>391</v>
      </c>
      <c r="AD34" s="44" t="s">
        <v>81</v>
      </c>
      <c r="AE34" s="45">
        <v>124.02346839825154</v>
      </c>
      <c r="AF34" s="45">
        <v>37.999899999999997</v>
      </c>
      <c r="AG34" s="47">
        <f t="shared" si="8"/>
        <v>12.4023</v>
      </c>
      <c r="AH34" s="48">
        <f t="shared" si="9"/>
        <v>38</v>
      </c>
      <c r="AJ34" s="44" t="s">
        <v>392</v>
      </c>
      <c r="AK34" s="44" t="s">
        <v>83</v>
      </c>
      <c r="AL34" s="45">
        <v>135.70819592605613</v>
      </c>
      <c r="AM34" s="45">
        <v>41.999899999999997</v>
      </c>
      <c r="AN34" s="47">
        <f t="shared" si="10"/>
        <v>13.5708</v>
      </c>
      <c r="AO34" s="48">
        <f t="shared" si="11"/>
        <v>42</v>
      </c>
      <c r="AQ34" s="44" t="s">
        <v>393</v>
      </c>
      <c r="AR34" s="44" t="s">
        <v>85</v>
      </c>
      <c r="AS34" s="45">
        <v>142.36156613330738</v>
      </c>
      <c r="AT34" s="45">
        <v>46.999899999999997</v>
      </c>
      <c r="AU34" s="47">
        <f t="shared" si="12"/>
        <v>14.2362</v>
      </c>
      <c r="AV34" s="48">
        <f t="shared" si="13"/>
        <v>47</v>
      </c>
      <c r="AX34" s="44" t="s">
        <v>394</v>
      </c>
      <c r="AY34" s="44" t="s">
        <v>87</v>
      </c>
      <c r="AZ34" s="45">
        <v>145.27757657406994</v>
      </c>
      <c r="BA34" s="45">
        <v>51.999899999999997</v>
      </c>
      <c r="BB34" s="47">
        <f t="shared" si="0"/>
        <v>14.527799999999999</v>
      </c>
      <c r="BC34" s="48">
        <f t="shared" si="1"/>
        <v>52</v>
      </c>
      <c r="BE34" s="44" t="s">
        <v>395</v>
      </c>
      <c r="BF34" s="44" t="s">
        <v>89</v>
      </c>
      <c r="BG34" s="45">
        <v>164.76251679450328</v>
      </c>
      <c r="BH34" s="45">
        <v>61.999899999999997</v>
      </c>
      <c r="BI34" s="47">
        <f t="shared" si="14"/>
        <v>16.476299999999998</v>
      </c>
      <c r="BJ34" s="48">
        <f t="shared" si="15"/>
        <v>62</v>
      </c>
    </row>
    <row r="35" spans="1:62" x14ac:dyDescent="0.2">
      <c r="A35" s="44" t="s">
        <v>396</v>
      </c>
      <c r="B35" s="44" t="s">
        <v>73</v>
      </c>
      <c r="C35" s="45">
        <v>70.909611520820306</v>
      </c>
      <c r="D35" s="45">
        <v>32.999899999999997</v>
      </c>
      <c r="E35" s="47">
        <f t="shared" si="16"/>
        <v>7.0910000000000002</v>
      </c>
      <c r="F35" s="48">
        <f t="shared" si="17"/>
        <v>33</v>
      </c>
      <c r="H35" s="44" t="s">
        <v>397</v>
      </c>
      <c r="I35" s="44" t="s">
        <v>75</v>
      </c>
      <c r="J35" s="45">
        <v>92.626637650653407</v>
      </c>
      <c r="K35" s="45">
        <v>32.999899999999997</v>
      </c>
      <c r="L35" s="47">
        <f t="shared" si="2"/>
        <v>9.2627000000000006</v>
      </c>
      <c r="M35" s="48">
        <f t="shared" si="3"/>
        <v>33</v>
      </c>
      <c r="O35" s="44" t="s">
        <v>398</v>
      </c>
      <c r="P35" s="44" t="s">
        <v>77</v>
      </c>
      <c r="Q35" s="45">
        <v>102.72367607084425</v>
      </c>
      <c r="R35" s="45">
        <v>35.999899999999997</v>
      </c>
      <c r="S35" s="47">
        <f t="shared" si="4"/>
        <v>10.272399999999999</v>
      </c>
      <c r="T35" s="48">
        <f t="shared" si="5"/>
        <v>36</v>
      </c>
      <c r="V35" s="44" t="s">
        <v>399</v>
      </c>
      <c r="W35" s="44" t="s">
        <v>79</v>
      </c>
      <c r="X35" s="45">
        <v>112.0284622252762</v>
      </c>
      <c r="Y35" s="45">
        <v>36.999899999999997</v>
      </c>
      <c r="Z35" s="47">
        <f t="shared" si="6"/>
        <v>11.2028</v>
      </c>
      <c r="AA35" s="48">
        <f t="shared" si="7"/>
        <v>37</v>
      </c>
      <c r="AC35" s="44" t="s">
        <v>400</v>
      </c>
      <c r="AD35" s="44" t="s">
        <v>81</v>
      </c>
      <c r="AE35" s="45">
        <v>122.55572646276765</v>
      </c>
      <c r="AF35" s="45">
        <v>38.999899999999997</v>
      </c>
      <c r="AG35" s="47">
        <f t="shared" si="8"/>
        <v>12.255599999999999</v>
      </c>
      <c r="AH35" s="48">
        <f t="shared" si="9"/>
        <v>39</v>
      </c>
      <c r="AJ35" s="44" t="s">
        <v>401</v>
      </c>
      <c r="AK35" s="44" t="s">
        <v>83</v>
      </c>
      <c r="AL35" s="45">
        <v>134.37486259272282</v>
      </c>
      <c r="AM35" s="45">
        <v>42.999899999999997</v>
      </c>
      <c r="AN35" s="47">
        <f t="shared" si="10"/>
        <v>13.4375</v>
      </c>
      <c r="AO35" s="48">
        <f t="shared" si="11"/>
        <v>43</v>
      </c>
      <c r="AQ35" s="44" t="s">
        <v>402</v>
      </c>
      <c r="AR35" s="44" t="s">
        <v>85</v>
      </c>
      <c r="AS35" s="45">
        <v>141.08077795596748</v>
      </c>
      <c r="AT35" s="45">
        <v>47.999899999999997</v>
      </c>
      <c r="AU35" s="47">
        <f t="shared" si="12"/>
        <v>14.1081</v>
      </c>
      <c r="AV35" s="48">
        <f t="shared" si="13"/>
        <v>48</v>
      </c>
      <c r="AX35" s="44" t="s">
        <v>403</v>
      </c>
      <c r="AY35" s="44" t="s">
        <v>87</v>
      </c>
      <c r="AZ35" s="45">
        <v>144.19099648748985</v>
      </c>
      <c r="BA35" s="45">
        <v>52.999899999999997</v>
      </c>
      <c r="BB35" s="47">
        <f t="shared" si="0"/>
        <v>14.4191</v>
      </c>
      <c r="BC35" s="48">
        <f t="shared" si="1"/>
        <v>53</v>
      </c>
      <c r="BE35" s="44" t="s">
        <v>404</v>
      </c>
      <c r="BF35" s="44" t="s">
        <v>89</v>
      </c>
      <c r="BG35" s="45">
        <v>164.3492675831468</v>
      </c>
      <c r="BH35" s="45">
        <v>62.999899999999997</v>
      </c>
      <c r="BI35" s="47">
        <f t="shared" si="14"/>
        <v>16.434899999999999</v>
      </c>
      <c r="BJ35" s="48">
        <f t="shared" si="15"/>
        <v>63</v>
      </c>
    </row>
    <row r="36" spans="1:62" x14ac:dyDescent="0.2">
      <c r="A36" s="44" t="s">
        <v>405</v>
      </c>
      <c r="B36" s="44" t="s">
        <v>73</v>
      </c>
      <c r="C36" s="45">
        <v>68.843256917352633</v>
      </c>
      <c r="D36" s="45">
        <v>33.999899999999997</v>
      </c>
      <c r="E36" s="47">
        <f t="shared" si="16"/>
        <v>6.8842999999999996</v>
      </c>
      <c r="F36" s="48">
        <f t="shared" si="17"/>
        <v>34</v>
      </c>
      <c r="H36" s="44" t="s">
        <v>406</v>
      </c>
      <c r="I36" s="44" t="s">
        <v>75</v>
      </c>
      <c r="J36" s="45">
        <v>90.863479755916572</v>
      </c>
      <c r="K36" s="45">
        <v>33.999899999999997</v>
      </c>
      <c r="L36" s="47">
        <f t="shared" si="2"/>
        <v>9.0862999999999996</v>
      </c>
      <c r="M36" s="48">
        <f t="shared" si="3"/>
        <v>34</v>
      </c>
      <c r="O36" s="44" t="s">
        <v>407</v>
      </c>
      <c r="P36" s="44" t="s">
        <v>77</v>
      </c>
      <c r="Q36" s="45">
        <v>101.05334640051458</v>
      </c>
      <c r="R36" s="45">
        <v>36.999899999999997</v>
      </c>
      <c r="S36" s="47">
        <f t="shared" si="4"/>
        <v>10.1053</v>
      </c>
      <c r="T36" s="48">
        <f t="shared" si="5"/>
        <v>37</v>
      </c>
      <c r="V36" s="44" t="s">
        <v>408</v>
      </c>
      <c r="W36" s="44" t="s">
        <v>79</v>
      </c>
      <c r="X36" s="45">
        <v>110.3378147432618</v>
      </c>
      <c r="Y36" s="45">
        <v>37.999899999999997</v>
      </c>
      <c r="Z36" s="47">
        <f t="shared" si="6"/>
        <v>11.033799999999999</v>
      </c>
      <c r="AA36" s="48">
        <f t="shared" si="7"/>
        <v>38</v>
      </c>
      <c r="AC36" s="44" t="s">
        <v>409</v>
      </c>
      <c r="AD36" s="44" t="s">
        <v>81</v>
      </c>
      <c r="AE36" s="45">
        <v>121.08883075004232</v>
      </c>
      <c r="AF36" s="45">
        <v>39.999899999999997</v>
      </c>
      <c r="AG36" s="47">
        <f t="shared" si="8"/>
        <v>12.1089</v>
      </c>
      <c r="AH36" s="48">
        <f t="shared" si="9"/>
        <v>40</v>
      </c>
      <c r="AJ36" s="44" t="s">
        <v>410</v>
      </c>
      <c r="AK36" s="44" t="s">
        <v>83</v>
      </c>
      <c r="AL36" s="45">
        <v>133.04152925938948</v>
      </c>
      <c r="AM36" s="45">
        <v>43.999899999999997</v>
      </c>
      <c r="AN36" s="47">
        <f t="shared" si="10"/>
        <v>13.3042</v>
      </c>
      <c r="AO36" s="48">
        <f t="shared" si="11"/>
        <v>44</v>
      </c>
      <c r="AQ36" s="44" t="s">
        <v>411</v>
      </c>
      <c r="AR36" s="44" t="s">
        <v>85</v>
      </c>
      <c r="AS36" s="45">
        <v>139.79998977862758</v>
      </c>
      <c r="AT36" s="45">
        <v>48.999899999999997</v>
      </c>
      <c r="AU36" s="47">
        <f t="shared" si="12"/>
        <v>13.98</v>
      </c>
      <c r="AV36" s="48">
        <f t="shared" si="13"/>
        <v>49</v>
      </c>
      <c r="AX36" s="44" t="s">
        <v>412</v>
      </c>
      <c r="AY36" s="44" t="s">
        <v>87</v>
      </c>
      <c r="AZ36" s="45">
        <v>143.12278626035587</v>
      </c>
      <c r="BA36" s="45">
        <v>53.999899999999997</v>
      </c>
      <c r="BB36" s="47">
        <f t="shared" si="0"/>
        <v>14.3123</v>
      </c>
      <c r="BC36" s="48">
        <f t="shared" si="1"/>
        <v>54</v>
      </c>
      <c r="BE36" s="44" t="s">
        <v>413</v>
      </c>
      <c r="BF36" s="44" t="s">
        <v>89</v>
      </c>
      <c r="BG36" s="45">
        <v>163.93601837179034</v>
      </c>
      <c r="BH36" s="45">
        <v>63.999899999999997</v>
      </c>
      <c r="BI36" s="47">
        <f t="shared" si="14"/>
        <v>16.393599999999999</v>
      </c>
      <c r="BJ36" s="48">
        <f t="shared" si="15"/>
        <v>64</v>
      </c>
    </row>
    <row r="37" spans="1:62" x14ac:dyDescent="0.2">
      <c r="A37" s="44" t="s">
        <v>414</v>
      </c>
      <c r="B37" s="44" t="s">
        <v>73</v>
      </c>
      <c r="C37" s="45">
        <v>66.798614060209772</v>
      </c>
      <c r="D37" s="45">
        <v>34.999899999999997</v>
      </c>
      <c r="E37" s="47">
        <f t="shared" si="16"/>
        <v>6.6798999999999999</v>
      </c>
      <c r="F37" s="48">
        <f t="shared" si="17"/>
        <v>35</v>
      </c>
      <c r="H37" s="44" t="s">
        <v>415</v>
      </c>
      <c r="I37" s="44" t="s">
        <v>75</v>
      </c>
      <c r="J37" s="45">
        <v>89.100321861179722</v>
      </c>
      <c r="K37" s="45">
        <v>34.999899999999997</v>
      </c>
      <c r="L37" s="47">
        <f t="shared" si="2"/>
        <v>8.91</v>
      </c>
      <c r="M37" s="48">
        <f t="shared" si="3"/>
        <v>35</v>
      </c>
      <c r="O37" s="44" t="s">
        <v>416</v>
      </c>
      <c r="P37" s="44" t="s">
        <v>77</v>
      </c>
      <c r="Q37" s="45">
        <v>99.38301673018492</v>
      </c>
      <c r="R37" s="45">
        <v>37.999899999999997</v>
      </c>
      <c r="S37" s="47">
        <f t="shared" si="4"/>
        <v>9.9382999999999999</v>
      </c>
      <c r="T37" s="48">
        <f t="shared" si="5"/>
        <v>38</v>
      </c>
      <c r="V37" s="44" t="s">
        <v>417</v>
      </c>
      <c r="W37" s="44" t="s">
        <v>79</v>
      </c>
      <c r="X37" s="45">
        <v>108.64716726124742</v>
      </c>
      <c r="Y37" s="45">
        <v>38.999899999999997</v>
      </c>
      <c r="Z37" s="47">
        <f t="shared" si="6"/>
        <v>10.864699999999999</v>
      </c>
      <c r="AA37" s="48">
        <f t="shared" si="7"/>
        <v>39</v>
      </c>
      <c r="AC37" s="44" t="s">
        <v>418</v>
      </c>
      <c r="AD37" s="44" t="s">
        <v>81</v>
      </c>
      <c r="AE37" s="45">
        <v>119.66827000237876</v>
      </c>
      <c r="AF37" s="45">
        <v>40.999899999999997</v>
      </c>
      <c r="AG37" s="47">
        <f t="shared" si="8"/>
        <v>11.966799999999999</v>
      </c>
      <c r="AH37" s="48">
        <f t="shared" si="9"/>
        <v>41</v>
      </c>
      <c r="AJ37" s="44" t="s">
        <v>419</v>
      </c>
      <c r="AK37" s="44" t="s">
        <v>83</v>
      </c>
      <c r="AL37" s="45">
        <v>131.70819592605616</v>
      </c>
      <c r="AM37" s="45">
        <v>44.999899999999997</v>
      </c>
      <c r="AN37" s="47">
        <f t="shared" si="10"/>
        <v>13.1708</v>
      </c>
      <c r="AO37" s="48">
        <f t="shared" si="11"/>
        <v>45</v>
      </c>
      <c r="AQ37" s="44" t="s">
        <v>420</v>
      </c>
      <c r="AR37" s="44" t="s">
        <v>85</v>
      </c>
      <c r="AS37" s="45">
        <v>138.51920160128768</v>
      </c>
      <c r="AT37" s="45">
        <v>49.999899999999997</v>
      </c>
      <c r="AU37" s="47">
        <f t="shared" si="12"/>
        <v>13.851900000000001</v>
      </c>
      <c r="AV37" s="48">
        <f t="shared" si="13"/>
        <v>50</v>
      </c>
      <c r="AX37" s="44" t="s">
        <v>421</v>
      </c>
      <c r="AY37" s="44" t="s">
        <v>87</v>
      </c>
      <c r="AZ37" s="45">
        <v>142.09351796767294</v>
      </c>
      <c r="BA37" s="45">
        <v>54.999899999999997</v>
      </c>
      <c r="BB37" s="47">
        <f t="shared" si="0"/>
        <v>14.2094</v>
      </c>
      <c r="BC37" s="48">
        <f t="shared" si="1"/>
        <v>55</v>
      </c>
      <c r="BE37" s="44" t="s">
        <v>422</v>
      </c>
      <c r="BF37" s="44" t="s">
        <v>89</v>
      </c>
      <c r="BG37" s="45">
        <v>163.52276916043388</v>
      </c>
      <c r="BH37" s="45">
        <v>64.999899999999997</v>
      </c>
      <c r="BI37" s="47">
        <f t="shared" si="14"/>
        <v>16.3523</v>
      </c>
      <c r="BJ37" s="48">
        <f t="shared" si="15"/>
        <v>65</v>
      </c>
    </row>
    <row r="38" spans="1:62" x14ac:dyDescent="0.2">
      <c r="A38" s="44" t="s">
        <v>423</v>
      </c>
      <c r="B38" s="44" t="s">
        <v>73</v>
      </c>
      <c r="C38" s="45">
        <v>64.753971203066911</v>
      </c>
      <c r="D38" s="45">
        <v>35.999899999999997</v>
      </c>
      <c r="E38" s="47">
        <f t="shared" si="16"/>
        <v>6.4753999999999996</v>
      </c>
      <c r="F38" s="48">
        <f t="shared" si="17"/>
        <v>36</v>
      </c>
      <c r="H38" s="44" t="s">
        <v>424</v>
      </c>
      <c r="I38" s="44" t="s">
        <v>75</v>
      </c>
      <c r="J38" s="45">
        <v>87.337163966442887</v>
      </c>
      <c r="K38" s="45">
        <v>35.999899999999997</v>
      </c>
      <c r="L38" s="47">
        <f t="shared" si="2"/>
        <v>8.7337000000000007</v>
      </c>
      <c r="M38" s="48">
        <f t="shared" si="3"/>
        <v>36</v>
      </c>
      <c r="O38" s="44" t="s">
        <v>425</v>
      </c>
      <c r="P38" s="44" t="s">
        <v>77</v>
      </c>
      <c r="Q38" s="45">
        <v>97.712687059855242</v>
      </c>
      <c r="R38" s="45">
        <v>38.999899999999997</v>
      </c>
      <c r="S38" s="47">
        <f t="shared" si="4"/>
        <v>9.7713000000000001</v>
      </c>
      <c r="T38" s="48">
        <f t="shared" si="5"/>
        <v>39</v>
      </c>
      <c r="V38" s="44" t="s">
        <v>426</v>
      </c>
      <c r="W38" s="44" t="s">
        <v>79</v>
      </c>
      <c r="X38" s="45">
        <v>106.95651977923303</v>
      </c>
      <c r="Y38" s="45">
        <v>39.999899999999997</v>
      </c>
      <c r="Z38" s="47">
        <f t="shared" si="6"/>
        <v>10.6957</v>
      </c>
      <c r="AA38" s="48">
        <f t="shared" si="7"/>
        <v>40</v>
      </c>
      <c r="AC38" s="44" t="s">
        <v>427</v>
      </c>
      <c r="AD38" s="44" t="s">
        <v>81</v>
      </c>
      <c r="AE38" s="45">
        <v>118.24770925471523</v>
      </c>
      <c r="AF38" s="45">
        <v>41.999899999999997</v>
      </c>
      <c r="AG38" s="47">
        <f t="shared" si="8"/>
        <v>11.8248</v>
      </c>
      <c r="AH38" s="48">
        <f t="shared" si="9"/>
        <v>42</v>
      </c>
      <c r="AJ38" s="44" t="s">
        <v>428</v>
      </c>
      <c r="AK38" s="44" t="s">
        <v>83</v>
      </c>
      <c r="AL38" s="45">
        <v>130.37486259272282</v>
      </c>
      <c r="AM38" s="45">
        <v>45.999899999999997</v>
      </c>
      <c r="AN38" s="47">
        <f t="shared" si="10"/>
        <v>13.0375</v>
      </c>
      <c r="AO38" s="48">
        <f t="shared" si="11"/>
        <v>46</v>
      </c>
      <c r="AQ38" s="44" t="s">
        <v>429</v>
      </c>
      <c r="AR38" s="44" t="s">
        <v>85</v>
      </c>
      <c r="AS38" s="45">
        <v>137.23841342394778</v>
      </c>
      <c r="AT38" s="45">
        <v>50.999899999999997</v>
      </c>
      <c r="AU38" s="47">
        <f t="shared" si="12"/>
        <v>13.723800000000001</v>
      </c>
      <c r="AV38" s="48">
        <f t="shared" si="13"/>
        <v>51</v>
      </c>
      <c r="AX38" s="44" t="s">
        <v>430</v>
      </c>
      <c r="AY38" s="44" t="s">
        <v>87</v>
      </c>
      <c r="AZ38" s="45">
        <v>141.06424967499001</v>
      </c>
      <c r="BA38" s="45">
        <v>55.999899999999997</v>
      </c>
      <c r="BB38" s="47">
        <f t="shared" si="0"/>
        <v>14.106400000000001</v>
      </c>
      <c r="BC38" s="48">
        <f t="shared" si="1"/>
        <v>56</v>
      </c>
      <c r="BE38" s="44" t="s">
        <v>431</v>
      </c>
      <c r="BF38" s="44" t="s">
        <v>89</v>
      </c>
      <c r="BG38" s="45">
        <v>163.10951994907742</v>
      </c>
      <c r="BH38" s="45">
        <v>65.999899999999997</v>
      </c>
      <c r="BI38" s="47">
        <f t="shared" si="14"/>
        <v>16.311</v>
      </c>
      <c r="BJ38" s="48">
        <f t="shared" si="15"/>
        <v>66</v>
      </c>
    </row>
    <row r="39" spans="1:62" x14ac:dyDescent="0.2">
      <c r="A39" s="44" t="s">
        <v>432</v>
      </c>
      <c r="B39" s="44" t="s">
        <v>73</v>
      </c>
      <c r="C39" s="45">
        <v>62.709328345924078</v>
      </c>
      <c r="D39" s="45">
        <v>36.999899999999997</v>
      </c>
      <c r="E39" s="47">
        <f t="shared" si="16"/>
        <v>6.2709000000000001</v>
      </c>
      <c r="F39" s="48">
        <f t="shared" si="17"/>
        <v>37</v>
      </c>
      <c r="H39" s="44" t="s">
        <v>433</v>
      </c>
      <c r="I39" s="44" t="s">
        <v>75</v>
      </c>
      <c r="J39" s="45">
        <v>85.574006071706052</v>
      </c>
      <c r="K39" s="45">
        <v>36.999899999999997</v>
      </c>
      <c r="L39" s="47">
        <f t="shared" si="2"/>
        <v>8.5573999999999995</v>
      </c>
      <c r="M39" s="48">
        <f t="shared" si="3"/>
        <v>37</v>
      </c>
      <c r="O39" s="44" t="s">
        <v>434</v>
      </c>
      <c r="P39" s="44" t="s">
        <v>77</v>
      </c>
      <c r="Q39" s="45">
        <v>96.042357389525563</v>
      </c>
      <c r="R39" s="45">
        <v>39.999899999999997</v>
      </c>
      <c r="S39" s="47">
        <f t="shared" si="4"/>
        <v>9.6042000000000005</v>
      </c>
      <c r="T39" s="48">
        <f t="shared" si="5"/>
        <v>40</v>
      </c>
      <c r="V39" s="44" t="s">
        <v>435</v>
      </c>
      <c r="W39" s="44" t="s">
        <v>79</v>
      </c>
      <c r="X39" s="45">
        <v>105.26587229721864</v>
      </c>
      <c r="Y39" s="45">
        <v>40.999899999999997</v>
      </c>
      <c r="Z39" s="47">
        <f t="shared" si="6"/>
        <v>10.5266</v>
      </c>
      <c r="AA39" s="48">
        <f t="shared" si="7"/>
        <v>41</v>
      </c>
      <c r="AC39" s="44" t="s">
        <v>436</v>
      </c>
      <c r="AD39" s="44" t="s">
        <v>81</v>
      </c>
      <c r="AE39" s="45">
        <v>116.82714850705167</v>
      </c>
      <c r="AF39" s="45">
        <v>42.999899999999997</v>
      </c>
      <c r="AG39" s="47">
        <f t="shared" si="8"/>
        <v>11.682700000000001</v>
      </c>
      <c r="AH39" s="48">
        <f t="shared" si="9"/>
        <v>43</v>
      </c>
      <c r="AJ39" s="44" t="s">
        <v>437</v>
      </c>
      <c r="AK39" s="44" t="s">
        <v>83</v>
      </c>
      <c r="AL39" s="45">
        <v>129.04152925938951</v>
      </c>
      <c r="AM39" s="45">
        <v>46.999899999999997</v>
      </c>
      <c r="AN39" s="47">
        <f t="shared" si="10"/>
        <v>12.904199999999999</v>
      </c>
      <c r="AO39" s="48">
        <f t="shared" si="11"/>
        <v>47</v>
      </c>
      <c r="AQ39" s="44" t="s">
        <v>438</v>
      </c>
      <c r="AR39" s="44" t="s">
        <v>85</v>
      </c>
      <c r="AS39" s="45">
        <v>135.95762524660788</v>
      </c>
      <c r="AT39" s="45">
        <v>51.999899999999997</v>
      </c>
      <c r="AU39" s="47">
        <f t="shared" si="12"/>
        <v>13.595800000000001</v>
      </c>
      <c r="AV39" s="48">
        <f t="shared" si="13"/>
        <v>52</v>
      </c>
      <c r="AX39" s="44" t="s">
        <v>439</v>
      </c>
      <c r="AY39" s="44" t="s">
        <v>87</v>
      </c>
      <c r="AZ39" s="45">
        <v>140.03498138230708</v>
      </c>
      <c r="BA39" s="45">
        <v>56.999899999999997</v>
      </c>
      <c r="BB39" s="47">
        <f t="shared" si="0"/>
        <v>14.003500000000001</v>
      </c>
      <c r="BC39" s="48">
        <f t="shared" si="1"/>
        <v>57</v>
      </c>
      <c r="BE39" s="44" t="s">
        <v>440</v>
      </c>
      <c r="BF39" s="44" t="s">
        <v>89</v>
      </c>
      <c r="BG39" s="45">
        <v>162.69627073772094</v>
      </c>
      <c r="BH39" s="45">
        <v>66.999899999999997</v>
      </c>
      <c r="BI39" s="47">
        <f t="shared" si="14"/>
        <v>16.269600000000001</v>
      </c>
      <c r="BJ39" s="48">
        <f t="shared" si="15"/>
        <v>67</v>
      </c>
    </row>
    <row r="40" spans="1:62" x14ac:dyDescent="0.2">
      <c r="A40" s="44" t="s">
        <v>441</v>
      </c>
      <c r="B40" s="44" t="s">
        <v>73</v>
      </c>
      <c r="C40" s="45">
        <v>60.784970619337102</v>
      </c>
      <c r="D40" s="45">
        <v>37.999899999999997</v>
      </c>
      <c r="E40" s="47">
        <f t="shared" si="16"/>
        <v>6.0785</v>
      </c>
      <c r="F40" s="48">
        <f t="shared" si="17"/>
        <v>38</v>
      </c>
      <c r="H40" s="44" t="s">
        <v>442</v>
      </c>
      <c r="I40" s="44" t="s">
        <v>75</v>
      </c>
      <c r="J40" s="45">
        <v>83.810848176969216</v>
      </c>
      <c r="K40" s="45">
        <v>37.999899999999997</v>
      </c>
      <c r="L40" s="47">
        <f t="shared" si="2"/>
        <v>8.3811</v>
      </c>
      <c r="M40" s="48">
        <f t="shared" si="3"/>
        <v>38</v>
      </c>
      <c r="O40" s="44" t="s">
        <v>443</v>
      </c>
      <c r="P40" s="44" t="s">
        <v>77</v>
      </c>
      <c r="Q40" s="45">
        <v>94.372027719195898</v>
      </c>
      <c r="R40" s="45">
        <v>40.999899999999997</v>
      </c>
      <c r="S40" s="47">
        <f t="shared" si="4"/>
        <v>9.4372000000000007</v>
      </c>
      <c r="T40" s="48">
        <f t="shared" si="5"/>
        <v>41</v>
      </c>
      <c r="V40" s="44" t="s">
        <v>444</v>
      </c>
      <c r="W40" s="44" t="s">
        <v>79</v>
      </c>
      <c r="X40" s="45">
        <v>103.57522481520425</v>
      </c>
      <c r="Y40" s="45">
        <v>41.999899999999997</v>
      </c>
      <c r="Z40" s="47">
        <f t="shared" si="6"/>
        <v>10.3575</v>
      </c>
      <c r="AA40" s="48">
        <f t="shared" si="7"/>
        <v>42</v>
      </c>
      <c r="AC40" s="44" t="s">
        <v>445</v>
      </c>
      <c r="AD40" s="44" t="s">
        <v>81</v>
      </c>
      <c r="AE40" s="45">
        <v>115.40658775938813</v>
      </c>
      <c r="AF40" s="45">
        <v>43.999899999999997</v>
      </c>
      <c r="AG40" s="47">
        <f t="shared" si="8"/>
        <v>11.540699999999999</v>
      </c>
      <c r="AH40" s="48">
        <f t="shared" si="9"/>
        <v>44</v>
      </c>
      <c r="AJ40" s="44" t="s">
        <v>446</v>
      </c>
      <c r="AK40" s="44" t="s">
        <v>83</v>
      </c>
      <c r="AL40" s="45">
        <v>127.76836149976232</v>
      </c>
      <c r="AM40" s="45">
        <v>47.999899999999997</v>
      </c>
      <c r="AN40" s="47">
        <f t="shared" si="10"/>
        <v>12.7768</v>
      </c>
      <c r="AO40" s="48">
        <f t="shared" si="11"/>
        <v>48</v>
      </c>
      <c r="AQ40" s="44" t="s">
        <v>447</v>
      </c>
      <c r="AR40" s="44" t="s">
        <v>85</v>
      </c>
      <c r="AS40" s="45">
        <v>134.67683706926798</v>
      </c>
      <c r="AT40" s="45">
        <v>52.999899999999997</v>
      </c>
      <c r="AU40" s="47">
        <f t="shared" si="12"/>
        <v>13.467700000000001</v>
      </c>
      <c r="AV40" s="48">
        <f t="shared" si="13"/>
        <v>53</v>
      </c>
      <c r="AX40" s="44" t="s">
        <v>448</v>
      </c>
      <c r="AY40" s="44" t="s">
        <v>87</v>
      </c>
      <c r="AZ40" s="45">
        <v>139.00571308962415</v>
      </c>
      <c r="BA40" s="45">
        <v>57.999899999999997</v>
      </c>
      <c r="BB40" s="47">
        <f t="shared" si="0"/>
        <v>13.900600000000001</v>
      </c>
      <c r="BC40" s="48">
        <f t="shared" si="1"/>
        <v>58</v>
      </c>
      <c r="BE40" s="44" t="s">
        <v>449</v>
      </c>
      <c r="BF40" s="44" t="s">
        <v>89</v>
      </c>
      <c r="BG40" s="45">
        <v>162.28302152636448</v>
      </c>
      <c r="BH40" s="45">
        <v>67.999899999999997</v>
      </c>
      <c r="BI40" s="47">
        <f t="shared" si="14"/>
        <v>16.228300000000001</v>
      </c>
      <c r="BJ40" s="48">
        <f t="shared" si="15"/>
        <v>68</v>
      </c>
    </row>
    <row r="41" spans="1:62" x14ac:dyDescent="0.2">
      <c r="A41" s="44" t="s">
        <v>450</v>
      </c>
      <c r="B41" s="44" t="s">
        <v>73</v>
      </c>
      <c r="C41" s="45">
        <v>59.002361923684916</v>
      </c>
      <c r="D41" s="45">
        <v>38.999899999999997</v>
      </c>
      <c r="E41" s="47">
        <f t="shared" si="16"/>
        <v>5.9001999999999999</v>
      </c>
      <c r="F41" s="48">
        <f t="shared" si="17"/>
        <v>39</v>
      </c>
      <c r="H41" s="44" t="s">
        <v>451</v>
      </c>
      <c r="I41" s="44" t="s">
        <v>75</v>
      </c>
      <c r="J41" s="45">
        <v>82.122333386045611</v>
      </c>
      <c r="K41" s="45">
        <v>38.999899999999997</v>
      </c>
      <c r="L41" s="47">
        <f t="shared" si="2"/>
        <v>8.2121999999999993</v>
      </c>
      <c r="M41" s="48">
        <f t="shared" si="3"/>
        <v>39</v>
      </c>
      <c r="O41" s="44" t="s">
        <v>452</v>
      </c>
      <c r="P41" s="44" t="s">
        <v>77</v>
      </c>
      <c r="Q41" s="45">
        <v>92.70169804886622</v>
      </c>
      <c r="R41" s="45">
        <v>41.999899999999997</v>
      </c>
      <c r="S41" s="47">
        <f t="shared" si="4"/>
        <v>9.2702000000000009</v>
      </c>
      <c r="T41" s="48">
        <f t="shared" si="5"/>
        <v>42</v>
      </c>
      <c r="V41" s="44" t="s">
        <v>453</v>
      </c>
      <c r="W41" s="44" t="s">
        <v>79</v>
      </c>
      <c r="X41" s="45">
        <v>101.88457733318987</v>
      </c>
      <c r="Y41" s="45">
        <v>42.999899999999997</v>
      </c>
      <c r="Z41" s="47">
        <f t="shared" si="6"/>
        <v>10.188499999999999</v>
      </c>
      <c r="AA41" s="48">
        <f t="shared" si="7"/>
        <v>43</v>
      </c>
      <c r="AC41" s="44" t="s">
        <v>454</v>
      </c>
      <c r="AD41" s="44" t="s">
        <v>81</v>
      </c>
      <c r="AE41" s="45">
        <v>113.99372631966057</v>
      </c>
      <c r="AF41" s="45">
        <v>44.999899999999997</v>
      </c>
      <c r="AG41" s="47">
        <f t="shared" si="8"/>
        <v>11.3994</v>
      </c>
      <c r="AH41" s="48">
        <f t="shared" si="9"/>
        <v>45</v>
      </c>
      <c r="AJ41" s="44" t="s">
        <v>455</v>
      </c>
      <c r="AK41" s="44" t="s">
        <v>83</v>
      </c>
      <c r="AL41" s="45">
        <v>126.50632941420082</v>
      </c>
      <c r="AM41" s="45">
        <v>48.999899999999997</v>
      </c>
      <c r="AN41" s="47">
        <f t="shared" si="10"/>
        <v>12.650600000000001</v>
      </c>
      <c r="AO41" s="48">
        <f t="shared" si="11"/>
        <v>49</v>
      </c>
      <c r="AQ41" s="44" t="s">
        <v>456</v>
      </c>
      <c r="AR41" s="44" t="s">
        <v>85</v>
      </c>
      <c r="AS41" s="45">
        <v>133.51735248643126</v>
      </c>
      <c r="AT41" s="45">
        <v>53.999899999999997</v>
      </c>
      <c r="AU41" s="47">
        <f t="shared" si="12"/>
        <v>13.351699999999999</v>
      </c>
      <c r="AV41" s="48">
        <f t="shared" si="13"/>
        <v>54</v>
      </c>
      <c r="AX41" s="44" t="s">
        <v>457</v>
      </c>
      <c r="AY41" s="44" t="s">
        <v>87</v>
      </c>
      <c r="AZ41" s="45">
        <v>137.97644479694122</v>
      </c>
      <c r="BA41" s="45">
        <v>58.999899999999997</v>
      </c>
      <c r="BB41" s="47">
        <f t="shared" si="0"/>
        <v>13.797599999999999</v>
      </c>
      <c r="BC41" s="48">
        <f t="shared" si="1"/>
        <v>59</v>
      </c>
      <c r="BE41" s="44" t="s">
        <v>458</v>
      </c>
      <c r="BF41" s="44" t="s">
        <v>89</v>
      </c>
      <c r="BG41" s="45">
        <v>161.86977231500802</v>
      </c>
      <c r="BH41" s="45">
        <v>68.999899999999997</v>
      </c>
      <c r="BI41" s="47">
        <f t="shared" si="14"/>
        <v>16.187000000000001</v>
      </c>
      <c r="BJ41" s="48">
        <f t="shared" si="15"/>
        <v>69</v>
      </c>
    </row>
    <row r="42" spans="1:62" x14ac:dyDescent="0.2">
      <c r="A42" s="44" t="s">
        <v>459</v>
      </c>
      <c r="B42" s="44" t="s">
        <v>73</v>
      </c>
      <c r="C42" s="45">
        <v>57.219753228032758</v>
      </c>
      <c r="D42" s="45">
        <v>39.999899999999997</v>
      </c>
      <c r="E42" s="47">
        <f t="shared" si="16"/>
        <v>5.7220000000000004</v>
      </c>
      <c r="F42" s="48">
        <f t="shared" si="17"/>
        <v>40</v>
      </c>
      <c r="H42" s="44" t="s">
        <v>460</v>
      </c>
      <c r="I42" s="44" t="s">
        <v>75</v>
      </c>
      <c r="J42" s="45">
        <v>80.536967532387081</v>
      </c>
      <c r="K42" s="45">
        <v>39.999899999999997</v>
      </c>
      <c r="L42" s="47">
        <f t="shared" si="2"/>
        <v>8.0536999999999992</v>
      </c>
      <c r="M42" s="48">
        <f t="shared" si="3"/>
        <v>40</v>
      </c>
      <c r="O42" s="44" t="s">
        <v>461</v>
      </c>
      <c r="P42" s="44" t="s">
        <v>77</v>
      </c>
      <c r="Q42" s="45">
        <v>91.031368378536555</v>
      </c>
      <c r="R42" s="45">
        <v>42.999899999999997</v>
      </c>
      <c r="S42" s="47">
        <f t="shared" si="4"/>
        <v>9.1030999999999995</v>
      </c>
      <c r="T42" s="48">
        <f t="shared" si="5"/>
        <v>43</v>
      </c>
      <c r="V42" s="44" t="s">
        <v>462</v>
      </c>
      <c r="W42" s="44" t="s">
        <v>79</v>
      </c>
      <c r="X42" s="45">
        <v>100.22409648108233</v>
      </c>
      <c r="Y42" s="45">
        <v>43.999899999999997</v>
      </c>
      <c r="Z42" s="47">
        <f t="shared" si="6"/>
        <v>10.022399999999999</v>
      </c>
      <c r="AA42" s="48">
        <f t="shared" si="7"/>
        <v>44</v>
      </c>
      <c r="AC42" s="44" t="s">
        <v>463</v>
      </c>
      <c r="AD42" s="44" t="s">
        <v>81</v>
      </c>
      <c r="AE42" s="45">
        <v>112.62143194736619</v>
      </c>
      <c r="AF42" s="45">
        <v>45.999899999999997</v>
      </c>
      <c r="AG42" s="47">
        <f t="shared" si="8"/>
        <v>11.2621</v>
      </c>
      <c r="AH42" s="48">
        <f t="shared" si="9"/>
        <v>46</v>
      </c>
      <c r="AJ42" s="44" t="s">
        <v>464</v>
      </c>
      <c r="AK42" s="44" t="s">
        <v>83</v>
      </c>
      <c r="AL42" s="45">
        <v>125.24429732863932</v>
      </c>
      <c r="AM42" s="45">
        <v>49.999899999999997</v>
      </c>
      <c r="AN42" s="47">
        <f t="shared" si="10"/>
        <v>12.5244</v>
      </c>
      <c r="AO42" s="48">
        <f t="shared" si="11"/>
        <v>50</v>
      </c>
      <c r="AQ42" s="44" t="s">
        <v>465</v>
      </c>
      <c r="AR42" s="44" t="s">
        <v>85</v>
      </c>
      <c r="AS42" s="45">
        <v>132.37923093946995</v>
      </c>
      <c r="AT42" s="45">
        <v>54.999899999999997</v>
      </c>
      <c r="AU42" s="47">
        <f t="shared" si="12"/>
        <v>13.2379</v>
      </c>
      <c r="AV42" s="48">
        <f t="shared" si="13"/>
        <v>55</v>
      </c>
      <c r="AX42" s="44" t="s">
        <v>466</v>
      </c>
      <c r="AY42" s="44" t="s">
        <v>87</v>
      </c>
      <c r="AZ42" s="45">
        <v>136.94717650425829</v>
      </c>
      <c r="BA42" s="45">
        <v>59.999899999999997</v>
      </c>
      <c r="BB42" s="47">
        <f t="shared" si="0"/>
        <v>13.694699999999999</v>
      </c>
      <c r="BC42" s="48">
        <f t="shared" si="1"/>
        <v>60</v>
      </c>
      <c r="BE42" s="44" t="s">
        <v>467</v>
      </c>
      <c r="BF42" s="44" t="s">
        <v>89</v>
      </c>
      <c r="BG42" s="45">
        <v>161.45652310365156</v>
      </c>
      <c r="BH42" s="45">
        <v>69.999899999999997</v>
      </c>
      <c r="BI42" s="47">
        <f t="shared" si="14"/>
        <v>16.145700000000001</v>
      </c>
      <c r="BJ42" s="48">
        <f t="shared" si="15"/>
        <v>70</v>
      </c>
    </row>
    <row r="43" spans="1:62" x14ac:dyDescent="0.2">
      <c r="A43" s="44" t="s">
        <v>468</v>
      </c>
      <c r="B43" s="44" t="s">
        <v>73</v>
      </c>
      <c r="C43" s="45">
        <v>55.437144532380572</v>
      </c>
      <c r="D43" s="45">
        <v>40.999899999999997</v>
      </c>
      <c r="E43" s="47">
        <f t="shared" si="16"/>
        <v>5.5437000000000003</v>
      </c>
      <c r="F43" s="48">
        <f t="shared" si="17"/>
        <v>41</v>
      </c>
      <c r="H43" s="44" t="s">
        <v>469</v>
      </c>
      <c r="I43" s="44" t="s">
        <v>75</v>
      </c>
      <c r="J43" s="45">
        <v>78.951601678728537</v>
      </c>
      <c r="K43" s="45">
        <v>40.999899999999997</v>
      </c>
      <c r="L43" s="47">
        <f t="shared" si="2"/>
        <v>7.8952</v>
      </c>
      <c r="M43" s="48">
        <f t="shared" si="3"/>
        <v>41</v>
      </c>
      <c r="O43" s="44" t="s">
        <v>470</v>
      </c>
      <c r="P43" s="44" t="s">
        <v>77</v>
      </c>
      <c r="Q43" s="45">
        <v>89.391101079101574</v>
      </c>
      <c r="R43" s="45">
        <v>43.999899999999997</v>
      </c>
      <c r="S43" s="47">
        <f t="shared" si="4"/>
        <v>8.9390999999999998</v>
      </c>
      <c r="T43" s="48">
        <f t="shared" si="5"/>
        <v>44</v>
      </c>
      <c r="V43" s="44" t="s">
        <v>471</v>
      </c>
      <c r="W43" s="44" t="s">
        <v>79</v>
      </c>
      <c r="X43" s="45">
        <v>98.635861186964689</v>
      </c>
      <c r="Y43" s="45">
        <v>44.999899999999997</v>
      </c>
      <c r="Z43" s="47">
        <f t="shared" si="6"/>
        <v>9.8635999999999999</v>
      </c>
      <c r="AA43" s="48">
        <f t="shared" si="7"/>
        <v>45</v>
      </c>
      <c r="AC43" s="44" t="s">
        <v>472</v>
      </c>
      <c r="AD43" s="44" t="s">
        <v>81</v>
      </c>
      <c r="AE43" s="45">
        <v>111.24913757507181</v>
      </c>
      <c r="AF43" s="45">
        <v>46.999899999999997</v>
      </c>
      <c r="AG43" s="47">
        <f t="shared" si="8"/>
        <v>11.1249</v>
      </c>
      <c r="AH43" s="48">
        <f t="shared" si="9"/>
        <v>47</v>
      </c>
      <c r="AJ43" s="44" t="s">
        <v>473</v>
      </c>
      <c r="AK43" s="44" t="s">
        <v>83</v>
      </c>
      <c r="AL43" s="45">
        <v>123.98226524307783</v>
      </c>
      <c r="AM43" s="45">
        <v>50.999899999999997</v>
      </c>
      <c r="AN43" s="47">
        <f t="shared" si="10"/>
        <v>12.398199999999999</v>
      </c>
      <c r="AO43" s="48">
        <f t="shared" si="11"/>
        <v>51</v>
      </c>
      <c r="AQ43" s="44" t="s">
        <v>474</v>
      </c>
      <c r="AR43" s="44" t="s">
        <v>85</v>
      </c>
      <c r="AS43" s="45">
        <v>131.2411093925086</v>
      </c>
      <c r="AT43" s="45">
        <v>55.999899999999997</v>
      </c>
      <c r="AU43" s="47">
        <f t="shared" si="12"/>
        <v>13.1241</v>
      </c>
      <c r="AV43" s="48">
        <f t="shared" si="13"/>
        <v>56</v>
      </c>
      <c r="AX43" s="44" t="s">
        <v>475</v>
      </c>
      <c r="AY43" s="44" t="s">
        <v>87</v>
      </c>
      <c r="AZ43" s="45">
        <v>135.91790821157539</v>
      </c>
      <c r="BA43" s="45">
        <v>60.999899999999997</v>
      </c>
      <c r="BB43" s="47">
        <f t="shared" si="0"/>
        <v>13.591799999999999</v>
      </c>
      <c r="BC43" s="48">
        <f t="shared" si="1"/>
        <v>61</v>
      </c>
      <c r="BE43" s="44" t="s">
        <v>476</v>
      </c>
      <c r="BF43" s="44" t="s">
        <v>89</v>
      </c>
      <c r="BG43" s="45">
        <v>161.04327389229508</v>
      </c>
      <c r="BH43" s="45">
        <v>70.999899999999997</v>
      </c>
      <c r="BI43" s="47">
        <f t="shared" si="14"/>
        <v>16.104299999999999</v>
      </c>
      <c r="BJ43" s="48">
        <f t="shared" si="15"/>
        <v>71</v>
      </c>
    </row>
    <row r="44" spans="1:62" x14ac:dyDescent="0.2">
      <c r="A44" s="44" t="s">
        <v>477</v>
      </c>
      <c r="B44" s="44" t="s">
        <v>73</v>
      </c>
      <c r="C44" s="45">
        <v>53.652360295345247</v>
      </c>
      <c r="D44" s="45">
        <v>41.999899999999997</v>
      </c>
      <c r="E44" s="47">
        <f t="shared" si="16"/>
        <v>5.3651999999999997</v>
      </c>
      <c r="F44" s="48">
        <f t="shared" si="17"/>
        <v>42</v>
      </c>
      <c r="H44" s="44" t="s">
        <v>478</v>
      </c>
      <c r="I44" s="44" t="s">
        <v>75</v>
      </c>
      <c r="J44" s="45">
        <v>77.366235825069992</v>
      </c>
      <c r="K44" s="45">
        <v>41.999899999999997</v>
      </c>
      <c r="L44" s="47">
        <f t="shared" si="2"/>
        <v>7.7366000000000001</v>
      </c>
      <c r="M44" s="48">
        <f t="shared" si="3"/>
        <v>42</v>
      </c>
      <c r="O44" s="44" t="s">
        <v>479</v>
      </c>
      <c r="P44" s="44" t="s">
        <v>77</v>
      </c>
      <c r="Q44" s="45">
        <v>87.751101079101559</v>
      </c>
      <c r="R44" s="45">
        <v>44.999899999999997</v>
      </c>
      <c r="S44" s="47">
        <f t="shared" si="4"/>
        <v>8.7751000000000001</v>
      </c>
      <c r="T44" s="48">
        <f t="shared" si="5"/>
        <v>45</v>
      </c>
      <c r="V44" s="44" t="s">
        <v>480</v>
      </c>
      <c r="W44" s="44" t="s">
        <v>79</v>
      </c>
      <c r="X44" s="45">
        <v>97.047625892847037</v>
      </c>
      <c r="Y44" s="45">
        <v>45.999899999999997</v>
      </c>
      <c r="Z44" s="47">
        <f t="shared" si="6"/>
        <v>9.7048000000000005</v>
      </c>
      <c r="AA44" s="48">
        <f t="shared" si="7"/>
        <v>46</v>
      </c>
      <c r="AC44" s="44" t="s">
        <v>481</v>
      </c>
      <c r="AD44" s="44" t="s">
        <v>81</v>
      </c>
      <c r="AE44" s="45">
        <v>109.87684320277745</v>
      </c>
      <c r="AF44" s="45">
        <v>47.999899999999997</v>
      </c>
      <c r="AG44" s="47">
        <f t="shared" si="8"/>
        <v>10.9877</v>
      </c>
      <c r="AH44" s="48">
        <f t="shared" si="9"/>
        <v>48</v>
      </c>
      <c r="AJ44" s="44" t="s">
        <v>482</v>
      </c>
      <c r="AK44" s="44" t="s">
        <v>83</v>
      </c>
      <c r="AL44" s="45">
        <v>122.72023315751633</v>
      </c>
      <c r="AM44" s="45">
        <v>51.999899999999997</v>
      </c>
      <c r="AN44" s="47">
        <f t="shared" si="10"/>
        <v>12.272</v>
      </c>
      <c r="AO44" s="48">
        <f t="shared" si="11"/>
        <v>52</v>
      </c>
      <c r="AQ44" s="44" t="s">
        <v>483</v>
      </c>
      <c r="AR44" s="44" t="s">
        <v>85</v>
      </c>
      <c r="AS44" s="45">
        <v>130.10298784554729</v>
      </c>
      <c r="AT44" s="45">
        <v>56.999899999999997</v>
      </c>
      <c r="AU44" s="47">
        <f t="shared" si="12"/>
        <v>13.010300000000001</v>
      </c>
      <c r="AV44" s="48">
        <f t="shared" si="13"/>
        <v>57</v>
      </c>
      <c r="AX44" s="44" t="s">
        <v>484</v>
      </c>
      <c r="AY44" s="44" t="s">
        <v>87</v>
      </c>
      <c r="AZ44" s="45">
        <v>134.90513857231582</v>
      </c>
      <c r="BA44" s="45">
        <v>61.999899999999997</v>
      </c>
      <c r="BB44" s="47">
        <f t="shared" si="0"/>
        <v>13.490500000000001</v>
      </c>
      <c r="BC44" s="48">
        <f t="shared" si="1"/>
        <v>62</v>
      </c>
      <c r="BE44" s="44" t="s">
        <v>485</v>
      </c>
      <c r="BF44" s="44" t="s">
        <v>89</v>
      </c>
      <c r="BG44" s="45">
        <v>160.63002468093862</v>
      </c>
      <c r="BH44" s="45">
        <v>71.999899999999997</v>
      </c>
      <c r="BI44" s="47">
        <f t="shared" si="14"/>
        <v>16.062999999999999</v>
      </c>
      <c r="BJ44" s="48">
        <f t="shared" si="15"/>
        <v>72</v>
      </c>
    </row>
    <row r="45" spans="1:62" x14ac:dyDescent="0.2">
      <c r="A45" s="44" t="s">
        <v>486</v>
      </c>
      <c r="B45" s="44" t="s">
        <v>73</v>
      </c>
      <c r="C45" s="45">
        <v>51.849543393936784</v>
      </c>
      <c r="D45" s="45">
        <v>42.999899999999997</v>
      </c>
      <c r="E45" s="47">
        <f t="shared" si="16"/>
        <v>5.1849999999999996</v>
      </c>
      <c r="F45" s="48">
        <f t="shared" si="17"/>
        <v>43</v>
      </c>
      <c r="H45" s="44" t="s">
        <v>487</v>
      </c>
      <c r="I45" s="44" t="s">
        <v>75</v>
      </c>
      <c r="J45" s="45">
        <v>75.780869971411477</v>
      </c>
      <c r="K45" s="45">
        <v>42.999899999999997</v>
      </c>
      <c r="L45" s="47">
        <f t="shared" si="2"/>
        <v>7.5781000000000001</v>
      </c>
      <c r="M45" s="48">
        <f t="shared" si="3"/>
        <v>43</v>
      </c>
      <c r="O45" s="44" t="s">
        <v>488</v>
      </c>
      <c r="P45" s="44" t="s">
        <v>77</v>
      </c>
      <c r="Q45" s="45">
        <v>86.111101079101573</v>
      </c>
      <c r="R45" s="45">
        <v>45.999899999999997</v>
      </c>
      <c r="S45" s="47">
        <f t="shared" si="4"/>
        <v>8.6111000000000004</v>
      </c>
      <c r="T45" s="48">
        <f t="shared" si="5"/>
        <v>46</v>
      </c>
      <c r="V45" s="44" t="s">
        <v>489</v>
      </c>
      <c r="W45" s="44" t="s">
        <v>79</v>
      </c>
      <c r="X45" s="45">
        <v>95.459390598729399</v>
      </c>
      <c r="Y45" s="45">
        <v>46.999899999999997</v>
      </c>
      <c r="Z45" s="47">
        <f t="shared" si="6"/>
        <v>9.5458999999999996</v>
      </c>
      <c r="AA45" s="48">
        <f t="shared" si="7"/>
        <v>47</v>
      </c>
      <c r="AC45" s="44" t="s">
        <v>490</v>
      </c>
      <c r="AD45" s="44" t="s">
        <v>81</v>
      </c>
      <c r="AE45" s="45">
        <v>108.50454883048307</v>
      </c>
      <c r="AF45" s="45">
        <v>48.999899999999997</v>
      </c>
      <c r="AG45" s="47">
        <f t="shared" si="8"/>
        <v>10.8505</v>
      </c>
      <c r="AH45" s="48">
        <f t="shared" si="9"/>
        <v>49</v>
      </c>
      <c r="AJ45" s="44" t="s">
        <v>491</v>
      </c>
      <c r="AK45" s="44" t="s">
        <v>83</v>
      </c>
      <c r="AL45" s="45">
        <v>121.45820107195483</v>
      </c>
      <c r="AM45" s="45">
        <v>52.999899999999997</v>
      </c>
      <c r="AN45" s="47">
        <f t="shared" si="10"/>
        <v>12.145799999999999</v>
      </c>
      <c r="AO45" s="48">
        <f t="shared" si="11"/>
        <v>53</v>
      </c>
      <c r="AQ45" s="44" t="s">
        <v>492</v>
      </c>
      <c r="AR45" s="44" t="s">
        <v>85</v>
      </c>
      <c r="AS45" s="45">
        <v>128.96486629858597</v>
      </c>
      <c r="AT45" s="45">
        <v>57.999899999999997</v>
      </c>
      <c r="AU45" s="47">
        <f t="shared" si="12"/>
        <v>12.8965</v>
      </c>
      <c r="AV45" s="48">
        <f t="shared" si="13"/>
        <v>58</v>
      </c>
      <c r="AX45" s="44" t="s">
        <v>493</v>
      </c>
      <c r="AY45" s="44" t="s">
        <v>87</v>
      </c>
      <c r="AZ45" s="45">
        <v>133.90513857231582</v>
      </c>
      <c r="BA45" s="45">
        <v>62.999899999999997</v>
      </c>
      <c r="BB45" s="47">
        <f t="shared" si="0"/>
        <v>13.390499999999999</v>
      </c>
      <c r="BC45" s="48">
        <f t="shared" si="1"/>
        <v>63</v>
      </c>
      <c r="BE45" s="44" t="s">
        <v>494</v>
      </c>
      <c r="BF45" s="44" t="s">
        <v>89</v>
      </c>
      <c r="BG45" s="45">
        <v>160.21677546958216</v>
      </c>
      <c r="BH45" s="45">
        <v>72.999899999999997</v>
      </c>
      <c r="BI45" s="47">
        <f t="shared" si="14"/>
        <v>16.021699999999999</v>
      </c>
      <c r="BJ45" s="48">
        <f t="shared" si="15"/>
        <v>73</v>
      </c>
    </row>
    <row r="46" spans="1:62" x14ac:dyDescent="0.2">
      <c r="A46" s="44" t="s">
        <v>495</v>
      </c>
      <c r="B46" s="44" t="s">
        <v>73</v>
      </c>
      <c r="C46" s="45">
        <v>50.046726492528364</v>
      </c>
      <c r="D46" s="45">
        <v>43.999899999999997</v>
      </c>
      <c r="E46" s="47">
        <f t="shared" si="16"/>
        <v>5.0046999999999997</v>
      </c>
      <c r="F46" s="48">
        <f t="shared" si="17"/>
        <v>44</v>
      </c>
      <c r="H46" s="44" t="s">
        <v>496</v>
      </c>
      <c r="I46" s="44" t="s">
        <v>75</v>
      </c>
      <c r="J46" s="45">
        <v>74.19562265257855</v>
      </c>
      <c r="K46" s="45">
        <v>43.999899999999997</v>
      </c>
      <c r="L46" s="47">
        <f t="shared" si="2"/>
        <v>7.4196</v>
      </c>
      <c r="M46" s="48">
        <f t="shared" si="3"/>
        <v>44</v>
      </c>
      <c r="O46" s="44" t="s">
        <v>497</v>
      </c>
      <c r="P46" s="44" t="s">
        <v>77</v>
      </c>
      <c r="Q46" s="45">
        <v>84.471101079101558</v>
      </c>
      <c r="R46" s="45">
        <v>46.999899999999997</v>
      </c>
      <c r="S46" s="47">
        <f t="shared" si="4"/>
        <v>8.4471000000000007</v>
      </c>
      <c r="T46" s="48">
        <f t="shared" si="5"/>
        <v>47</v>
      </c>
      <c r="V46" s="44" t="s">
        <v>498</v>
      </c>
      <c r="W46" s="44" t="s">
        <v>79</v>
      </c>
      <c r="X46" s="45">
        <v>93.871155304611747</v>
      </c>
      <c r="Y46" s="45">
        <v>47.999899999999997</v>
      </c>
      <c r="Z46" s="47">
        <f t="shared" si="6"/>
        <v>9.3871000000000002</v>
      </c>
      <c r="AA46" s="48">
        <f t="shared" si="7"/>
        <v>48</v>
      </c>
      <c r="AC46" s="44" t="s">
        <v>499</v>
      </c>
      <c r="AD46" s="44" t="s">
        <v>81</v>
      </c>
      <c r="AE46" s="45">
        <v>107.1322544581887</v>
      </c>
      <c r="AF46" s="45">
        <v>49.999899999999997</v>
      </c>
      <c r="AG46" s="47">
        <f t="shared" si="8"/>
        <v>10.713200000000001</v>
      </c>
      <c r="AH46" s="48">
        <f t="shared" si="9"/>
        <v>50</v>
      </c>
      <c r="AJ46" s="44" t="s">
        <v>500</v>
      </c>
      <c r="AK46" s="44" t="s">
        <v>83</v>
      </c>
      <c r="AL46" s="45">
        <v>120.19616898639333</v>
      </c>
      <c r="AM46" s="45">
        <v>53.999899999999997</v>
      </c>
      <c r="AN46" s="47">
        <f t="shared" si="10"/>
        <v>12.019600000000001</v>
      </c>
      <c r="AO46" s="48">
        <f t="shared" si="11"/>
        <v>54</v>
      </c>
      <c r="AQ46" s="44" t="s">
        <v>501</v>
      </c>
      <c r="AR46" s="44" t="s">
        <v>85</v>
      </c>
      <c r="AS46" s="45">
        <v>127.82674475162464</v>
      </c>
      <c r="AT46" s="45">
        <v>58.999899999999997</v>
      </c>
      <c r="AU46" s="47">
        <f t="shared" si="12"/>
        <v>12.7827</v>
      </c>
      <c r="AV46" s="48">
        <f t="shared" si="13"/>
        <v>59</v>
      </c>
      <c r="AX46" s="44" t="s">
        <v>502</v>
      </c>
      <c r="AY46" s="44" t="s">
        <v>87</v>
      </c>
      <c r="AZ46" s="45">
        <v>132.90513857231582</v>
      </c>
      <c r="BA46" s="45">
        <v>63.999899999999997</v>
      </c>
      <c r="BB46" s="47">
        <f t="shared" si="0"/>
        <v>13.2905</v>
      </c>
      <c r="BC46" s="48">
        <f t="shared" si="1"/>
        <v>64</v>
      </c>
      <c r="BE46" s="44" t="s">
        <v>503</v>
      </c>
      <c r="BF46" s="44" t="s">
        <v>89</v>
      </c>
      <c r="BG46" s="45">
        <v>159.8035262582257</v>
      </c>
      <c r="BH46" s="45">
        <v>73.999899999999997</v>
      </c>
      <c r="BI46" s="47">
        <f t="shared" si="14"/>
        <v>15.980399999999999</v>
      </c>
      <c r="BJ46" s="48">
        <f t="shared" si="15"/>
        <v>74</v>
      </c>
    </row>
    <row r="47" spans="1:62" x14ac:dyDescent="0.2">
      <c r="A47" s="44" t="s">
        <v>504</v>
      </c>
      <c r="B47" s="44" t="s">
        <v>73</v>
      </c>
      <c r="C47" s="45">
        <v>48.254071199500856</v>
      </c>
      <c r="D47" s="45">
        <v>44.999899999999997</v>
      </c>
      <c r="E47" s="47">
        <f t="shared" si="16"/>
        <v>4.8254000000000001</v>
      </c>
      <c r="F47" s="48">
        <f t="shared" si="17"/>
        <v>45</v>
      </c>
      <c r="H47" s="44" t="s">
        <v>505</v>
      </c>
      <c r="I47" s="44" t="s">
        <v>75</v>
      </c>
      <c r="J47" s="45">
        <v>72.612289319245221</v>
      </c>
      <c r="K47" s="45">
        <v>44.999899999999997</v>
      </c>
      <c r="L47" s="47">
        <f t="shared" si="2"/>
        <v>7.2611999999999997</v>
      </c>
      <c r="M47" s="48">
        <f t="shared" si="3"/>
        <v>45</v>
      </c>
      <c r="O47" s="44" t="s">
        <v>506</v>
      </c>
      <c r="P47" s="44" t="s">
        <v>77</v>
      </c>
      <c r="Q47" s="45">
        <v>82.831101079101558</v>
      </c>
      <c r="R47" s="45">
        <v>47.999899999999997</v>
      </c>
      <c r="S47" s="47">
        <f t="shared" si="4"/>
        <v>8.2830999999999992</v>
      </c>
      <c r="T47" s="48">
        <f t="shared" si="5"/>
        <v>48</v>
      </c>
      <c r="V47" s="44" t="s">
        <v>507</v>
      </c>
      <c r="W47" s="44" t="s">
        <v>79</v>
      </c>
      <c r="X47" s="45">
        <v>92.282920010494109</v>
      </c>
      <c r="Y47" s="45">
        <v>48.999899999999997</v>
      </c>
      <c r="Z47" s="47">
        <f t="shared" si="6"/>
        <v>9.2283000000000008</v>
      </c>
      <c r="AA47" s="48">
        <f t="shared" si="7"/>
        <v>49</v>
      </c>
      <c r="AC47" s="44" t="s">
        <v>508</v>
      </c>
      <c r="AD47" s="44" t="s">
        <v>81</v>
      </c>
      <c r="AE47" s="45">
        <v>105.75996008589432</v>
      </c>
      <c r="AF47" s="45">
        <v>50.999899999999997</v>
      </c>
      <c r="AG47" s="47">
        <f t="shared" si="8"/>
        <v>10.576000000000001</v>
      </c>
      <c r="AH47" s="48">
        <f t="shared" si="9"/>
        <v>51</v>
      </c>
      <c r="AJ47" s="44" t="s">
        <v>509</v>
      </c>
      <c r="AK47" s="44" t="s">
        <v>83</v>
      </c>
      <c r="AL47" s="45">
        <v>118.93413690083183</v>
      </c>
      <c r="AM47" s="45">
        <v>54.999899999999997</v>
      </c>
      <c r="AN47" s="47">
        <f t="shared" si="10"/>
        <v>11.8934</v>
      </c>
      <c r="AO47" s="48">
        <f t="shared" si="11"/>
        <v>55</v>
      </c>
      <c r="AQ47" s="44" t="s">
        <v>510</v>
      </c>
      <c r="AR47" s="44" t="s">
        <v>85</v>
      </c>
      <c r="AS47" s="45">
        <v>126.68880371376655</v>
      </c>
      <c r="AT47" s="45">
        <v>59.999899999999997</v>
      </c>
      <c r="AU47" s="47">
        <f t="shared" si="12"/>
        <v>12.668900000000001</v>
      </c>
      <c r="AV47" s="48">
        <f t="shared" si="13"/>
        <v>60</v>
      </c>
      <c r="AX47" s="44" t="s">
        <v>511</v>
      </c>
      <c r="AY47" s="44" t="s">
        <v>87</v>
      </c>
      <c r="AZ47" s="45">
        <v>131.90513857231582</v>
      </c>
      <c r="BA47" s="45">
        <v>64.999899999999997</v>
      </c>
      <c r="BB47" s="47">
        <f t="shared" si="0"/>
        <v>13.1905</v>
      </c>
      <c r="BC47" s="48">
        <f t="shared" si="1"/>
        <v>65</v>
      </c>
      <c r="BE47" s="44" t="s">
        <v>512</v>
      </c>
      <c r="BF47" s="44" t="s">
        <v>89</v>
      </c>
      <c r="BG47" s="45">
        <v>159.39027704686922</v>
      </c>
      <c r="BH47" s="45">
        <v>74.999899999999997</v>
      </c>
      <c r="BI47" s="47">
        <f t="shared" si="14"/>
        <v>15.939</v>
      </c>
      <c r="BJ47" s="48">
        <f t="shared" si="15"/>
        <v>75</v>
      </c>
    </row>
    <row r="48" spans="1:62" x14ac:dyDescent="0.2">
      <c r="A48" s="44" t="s">
        <v>513</v>
      </c>
      <c r="B48" s="44" t="s">
        <v>73</v>
      </c>
      <c r="C48" s="45">
        <v>46.475382674910691</v>
      </c>
      <c r="D48" s="45">
        <v>45.999899999999997</v>
      </c>
      <c r="E48" s="47">
        <f t="shared" si="16"/>
        <v>4.6475</v>
      </c>
      <c r="F48" s="48">
        <f t="shared" si="17"/>
        <v>46</v>
      </c>
      <c r="H48" s="44" t="s">
        <v>514</v>
      </c>
      <c r="I48" s="44" t="s">
        <v>75</v>
      </c>
      <c r="J48" s="45">
        <v>71.028955985911878</v>
      </c>
      <c r="K48" s="45">
        <v>45.999899999999997</v>
      </c>
      <c r="L48" s="47">
        <f t="shared" si="2"/>
        <v>7.1029</v>
      </c>
      <c r="M48" s="48">
        <f t="shared" si="3"/>
        <v>46</v>
      </c>
      <c r="O48" s="44" t="s">
        <v>515</v>
      </c>
      <c r="P48" s="44" t="s">
        <v>77</v>
      </c>
      <c r="Q48" s="45">
        <v>81.191101079101571</v>
      </c>
      <c r="R48" s="45">
        <v>48.999899999999997</v>
      </c>
      <c r="S48" s="47">
        <f t="shared" si="4"/>
        <v>8.1190999999999995</v>
      </c>
      <c r="T48" s="48">
        <f t="shared" si="5"/>
        <v>49</v>
      </c>
      <c r="V48" s="44" t="s">
        <v>516</v>
      </c>
      <c r="W48" s="44" t="s">
        <v>79</v>
      </c>
      <c r="X48" s="45">
        <v>90.694684716376472</v>
      </c>
      <c r="Y48" s="45">
        <v>49.999899999999997</v>
      </c>
      <c r="Z48" s="47">
        <f t="shared" si="6"/>
        <v>9.0694999999999997</v>
      </c>
      <c r="AA48" s="48">
        <f t="shared" si="7"/>
        <v>50</v>
      </c>
      <c r="AC48" s="44" t="s">
        <v>517</v>
      </c>
      <c r="AD48" s="44" t="s">
        <v>81</v>
      </c>
      <c r="AE48" s="45">
        <v>104.38766571359994</v>
      </c>
      <c r="AF48" s="45">
        <v>51.999899999999997</v>
      </c>
      <c r="AG48" s="47">
        <f t="shared" si="8"/>
        <v>10.438800000000001</v>
      </c>
      <c r="AH48" s="48">
        <f t="shared" si="9"/>
        <v>52</v>
      </c>
      <c r="AJ48" s="44" t="s">
        <v>518</v>
      </c>
      <c r="AK48" s="44" t="s">
        <v>83</v>
      </c>
      <c r="AL48" s="45">
        <v>117.69355453620807</v>
      </c>
      <c r="AM48" s="45">
        <v>55.999899999999997</v>
      </c>
      <c r="AN48" s="47">
        <f t="shared" si="10"/>
        <v>11.769399999999999</v>
      </c>
      <c r="AO48" s="48">
        <f t="shared" si="11"/>
        <v>56</v>
      </c>
      <c r="AQ48" s="44" t="s">
        <v>519</v>
      </c>
      <c r="AR48" s="44" t="s">
        <v>85</v>
      </c>
      <c r="AS48" s="45">
        <v>125.66686014009882</v>
      </c>
      <c r="AT48" s="45">
        <v>60.999899999999997</v>
      </c>
      <c r="AU48" s="47">
        <f t="shared" si="12"/>
        <v>12.566700000000001</v>
      </c>
      <c r="AV48" s="48">
        <f t="shared" si="13"/>
        <v>61</v>
      </c>
      <c r="AX48" s="44" t="s">
        <v>520</v>
      </c>
      <c r="AY48" s="44" t="s">
        <v>87</v>
      </c>
      <c r="AZ48" s="45">
        <v>130.90513857231582</v>
      </c>
      <c r="BA48" s="45">
        <v>65.999899999999997</v>
      </c>
      <c r="BB48" s="47">
        <f t="shared" si="0"/>
        <v>13.0905</v>
      </c>
      <c r="BC48" s="48">
        <f t="shared" si="1"/>
        <v>66</v>
      </c>
      <c r="BE48" s="44" t="s">
        <v>521</v>
      </c>
      <c r="BF48" s="44" t="s">
        <v>89</v>
      </c>
      <c r="BG48" s="45">
        <v>158.97357343829418</v>
      </c>
      <c r="BH48" s="45">
        <v>75.999899999999997</v>
      </c>
      <c r="BI48" s="47">
        <f t="shared" si="14"/>
        <v>15.897399999999999</v>
      </c>
      <c r="BJ48" s="48">
        <f t="shared" si="15"/>
        <v>76</v>
      </c>
    </row>
    <row r="49" spans="1:62" x14ac:dyDescent="0.2">
      <c r="A49" s="44" t="s">
        <v>522</v>
      </c>
      <c r="B49" s="44" t="s">
        <v>73</v>
      </c>
      <c r="C49" s="45">
        <v>44.696694150320525</v>
      </c>
      <c r="D49" s="45">
        <v>46.999899999999997</v>
      </c>
      <c r="E49" s="47">
        <f t="shared" si="16"/>
        <v>4.4696999999999996</v>
      </c>
      <c r="F49" s="48">
        <f t="shared" si="17"/>
        <v>47</v>
      </c>
      <c r="H49" s="44" t="s">
        <v>523</v>
      </c>
      <c r="I49" s="44" t="s">
        <v>75</v>
      </c>
      <c r="J49" s="45">
        <v>69.44562265257855</v>
      </c>
      <c r="K49" s="45">
        <v>46.999899999999997</v>
      </c>
      <c r="L49" s="47">
        <f t="shared" si="2"/>
        <v>6.9446000000000003</v>
      </c>
      <c r="M49" s="48">
        <f t="shared" si="3"/>
        <v>47</v>
      </c>
      <c r="O49" s="44" t="s">
        <v>524</v>
      </c>
      <c r="P49" s="44" t="s">
        <v>77</v>
      </c>
      <c r="Q49" s="45">
        <v>79.551101079101556</v>
      </c>
      <c r="R49" s="45">
        <v>49.999899999999997</v>
      </c>
      <c r="S49" s="47">
        <f t="shared" si="4"/>
        <v>7.9550999999999998</v>
      </c>
      <c r="T49" s="48">
        <f t="shared" si="5"/>
        <v>50</v>
      </c>
      <c r="V49" s="44" t="s">
        <v>525</v>
      </c>
      <c r="W49" s="44" t="s">
        <v>79</v>
      </c>
      <c r="X49" s="45">
        <v>89.106449422258819</v>
      </c>
      <c r="Y49" s="45">
        <v>50.999899999999997</v>
      </c>
      <c r="Z49" s="47">
        <f t="shared" si="6"/>
        <v>8.9106000000000005</v>
      </c>
      <c r="AA49" s="48">
        <f t="shared" si="7"/>
        <v>51</v>
      </c>
      <c r="AC49" s="44" t="s">
        <v>526</v>
      </c>
      <c r="AD49" s="44" t="s">
        <v>81</v>
      </c>
      <c r="AE49" s="45">
        <v>103.01537134130558</v>
      </c>
      <c r="AF49" s="45">
        <v>52.999899999999997</v>
      </c>
      <c r="AG49" s="47">
        <f t="shared" si="8"/>
        <v>10.301500000000001</v>
      </c>
      <c r="AH49" s="48">
        <f t="shared" si="9"/>
        <v>53</v>
      </c>
      <c r="AJ49" s="44" t="s">
        <v>527</v>
      </c>
      <c r="AK49" s="44" t="s">
        <v>83</v>
      </c>
      <c r="AL49" s="45">
        <v>116.49229667457286</v>
      </c>
      <c r="AM49" s="45">
        <v>56.999899999999997</v>
      </c>
      <c r="AN49" s="47">
        <f t="shared" si="10"/>
        <v>11.6492</v>
      </c>
      <c r="AO49" s="48">
        <f t="shared" si="11"/>
        <v>57</v>
      </c>
      <c r="AQ49" s="44" t="s">
        <v>528</v>
      </c>
      <c r="AR49" s="44" t="s">
        <v>85</v>
      </c>
      <c r="AS49" s="45">
        <v>124.64491656643111</v>
      </c>
      <c r="AT49" s="45">
        <v>61.999899999999997</v>
      </c>
      <c r="AU49" s="47">
        <f t="shared" si="12"/>
        <v>12.464499999999999</v>
      </c>
      <c r="AV49" s="48">
        <f t="shared" si="13"/>
        <v>62</v>
      </c>
      <c r="AX49" s="44" t="s">
        <v>529</v>
      </c>
      <c r="AY49" s="44" t="s">
        <v>87</v>
      </c>
      <c r="AZ49" s="45">
        <v>129.90513857231582</v>
      </c>
      <c r="BA49" s="45">
        <v>66.999899999999997</v>
      </c>
      <c r="BB49" s="47">
        <f t="shared" si="0"/>
        <v>12.990500000000001</v>
      </c>
      <c r="BC49" s="48">
        <f t="shared" si="1"/>
        <v>67</v>
      </c>
      <c r="BE49" s="44" t="s">
        <v>530</v>
      </c>
      <c r="BF49" s="44" t="s">
        <v>89</v>
      </c>
      <c r="BG49" s="45">
        <v>158.55509517742462</v>
      </c>
      <c r="BH49" s="45">
        <v>76.999899999999997</v>
      </c>
      <c r="BI49" s="47">
        <f t="shared" si="14"/>
        <v>15.855499999999999</v>
      </c>
      <c r="BJ49" s="48">
        <f t="shared" si="15"/>
        <v>77</v>
      </c>
    </row>
    <row r="50" spans="1:62" x14ac:dyDescent="0.2">
      <c r="A50" s="44" t="s">
        <v>531</v>
      </c>
      <c r="B50" s="44" t="s">
        <v>73</v>
      </c>
      <c r="C50" s="45">
        <v>42.918005625730359</v>
      </c>
      <c r="D50" s="45">
        <v>47.999899999999997</v>
      </c>
      <c r="E50" s="47">
        <f t="shared" si="16"/>
        <v>4.2918000000000003</v>
      </c>
      <c r="F50" s="48">
        <f t="shared" si="17"/>
        <v>48</v>
      </c>
      <c r="H50" s="44" t="s">
        <v>532</v>
      </c>
      <c r="I50" s="44" t="s">
        <v>75</v>
      </c>
      <c r="J50" s="45">
        <v>67.862289319245207</v>
      </c>
      <c r="K50" s="45">
        <v>47.999899999999997</v>
      </c>
      <c r="L50" s="47">
        <f t="shared" si="2"/>
        <v>6.7862</v>
      </c>
      <c r="M50" s="48">
        <f t="shared" si="3"/>
        <v>48</v>
      </c>
      <c r="O50" s="44" t="s">
        <v>533</v>
      </c>
      <c r="P50" s="44" t="s">
        <v>77</v>
      </c>
      <c r="Q50" s="45">
        <v>77.931410582240758</v>
      </c>
      <c r="R50" s="45">
        <v>50.999899999999997</v>
      </c>
      <c r="S50" s="47">
        <f t="shared" si="4"/>
        <v>7.7930999999999999</v>
      </c>
      <c r="T50" s="48">
        <f t="shared" si="5"/>
        <v>51</v>
      </c>
      <c r="V50" s="44" t="s">
        <v>534</v>
      </c>
      <c r="W50" s="44" t="s">
        <v>79</v>
      </c>
      <c r="X50" s="45">
        <v>87.518214128141167</v>
      </c>
      <c r="Y50" s="45">
        <v>51.999899999999997</v>
      </c>
      <c r="Z50" s="47">
        <f t="shared" si="6"/>
        <v>8.7517999999999994</v>
      </c>
      <c r="AA50" s="48">
        <f t="shared" si="7"/>
        <v>52</v>
      </c>
      <c r="AC50" s="44" t="s">
        <v>535</v>
      </c>
      <c r="AD50" s="44" t="s">
        <v>81</v>
      </c>
      <c r="AE50" s="45">
        <v>101.6430769690112</v>
      </c>
      <c r="AF50" s="45">
        <v>53.999899999999997</v>
      </c>
      <c r="AG50" s="47">
        <f t="shared" si="8"/>
        <v>10.164300000000001</v>
      </c>
      <c r="AH50" s="48">
        <f t="shared" si="9"/>
        <v>54</v>
      </c>
      <c r="AJ50" s="44" t="s">
        <v>536</v>
      </c>
      <c r="AK50" s="44" t="s">
        <v>83</v>
      </c>
      <c r="AL50" s="45">
        <v>115.29103881293761</v>
      </c>
      <c r="AM50" s="45">
        <v>57.999899999999997</v>
      </c>
      <c r="AN50" s="47">
        <f t="shared" si="10"/>
        <v>11.5291</v>
      </c>
      <c r="AO50" s="48">
        <f t="shared" si="11"/>
        <v>58</v>
      </c>
      <c r="AQ50" s="44" t="s">
        <v>537</v>
      </c>
      <c r="AR50" s="44" t="s">
        <v>85</v>
      </c>
      <c r="AS50" s="45">
        <v>123.62297299276341</v>
      </c>
      <c r="AT50" s="45">
        <v>62.999899999999997</v>
      </c>
      <c r="AU50" s="47">
        <f t="shared" si="12"/>
        <v>12.362299999999999</v>
      </c>
      <c r="AV50" s="48">
        <f t="shared" si="13"/>
        <v>63</v>
      </c>
      <c r="AX50" s="44" t="s">
        <v>538</v>
      </c>
      <c r="AY50" s="44" t="s">
        <v>87</v>
      </c>
      <c r="AZ50" s="45">
        <v>128.90229026340953</v>
      </c>
      <c r="BA50" s="45">
        <v>67.999899999999997</v>
      </c>
      <c r="BB50" s="47">
        <f t="shared" si="0"/>
        <v>12.8902</v>
      </c>
      <c r="BC50" s="48">
        <f t="shared" si="1"/>
        <v>68</v>
      </c>
      <c r="BE50" s="44" t="s">
        <v>539</v>
      </c>
      <c r="BF50" s="44" t="s">
        <v>89</v>
      </c>
      <c r="BG50" s="45">
        <v>158.13661691655506</v>
      </c>
      <c r="BH50" s="45">
        <v>77.999899999999997</v>
      </c>
      <c r="BI50" s="47">
        <f t="shared" si="14"/>
        <v>15.813700000000001</v>
      </c>
      <c r="BJ50" s="48">
        <f t="shared" si="15"/>
        <v>78</v>
      </c>
    </row>
    <row r="51" spans="1:62" x14ac:dyDescent="0.2">
      <c r="A51" s="44" t="s">
        <v>540</v>
      </c>
      <c r="B51" s="44" t="s">
        <v>73</v>
      </c>
      <c r="C51" s="45">
        <v>41.139317101140222</v>
      </c>
      <c r="D51" s="45">
        <v>48.999899999999997</v>
      </c>
      <c r="E51" s="47">
        <f t="shared" si="16"/>
        <v>4.1139000000000001</v>
      </c>
      <c r="F51" s="48">
        <f t="shared" si="17"/>
        <v>49</v>
      </c>
      <c r="H51" s="44" t="s">
        <v>541</v>
      </c>
      <c r="I51" s="44" t="s">
        <v>75</v>
      </c>
      <c r="J51" s="45">
        <v>66.278955985911878</v>
      </c>
      <c r="K51" s="45">
        <v>48.999899999999997</v>
      </c>
      <c r="L51" s="47">
        <f t="shared" si="2"/>
        <v>6.6279000000000003</v>
      </c>
      <c r="M51" s="48">
        <f t="shared" si="3"/>
        <v>49</v>
      </c>
      <c r="O51" s="44" t="s">
        <v>542</v>
      </c>
      <c r="P51" s="44" t="s">
        <v>77</v>
      </c>
      <c r="Q51" s="45">
        <v>76.431410582240758</v>
      </c>
      <c r="R51" s="45">
        <v>51.999899999999997</v>
      </c>
      <c r="S51" s="47">
        <f t="shared" si="4"/>
        <v>7.6430999999999996</v>
      </c>
      <c r="T51" s="48">
        <f t="shared" si="5"/>
        <v>52</v>
      </c>
      <c r="V51" s="44" t="s">
        <v>543</v>
      </c>
      <c r="W51" s="44" t="s">
        <v>79</v>
      </c>
      <c r="X51" s="45">
        <v>86.083890220170915</v>
      </c>
      <c r="Y51" s="45">
        <v>52.999899999999997</v>
      </c>
      <c r="Z51" s="47">
        <f t="shared" si="6"/>
        <v>8.6083999999999996</v>
      </c>
      <c r="AA51" s="48">
        <f t="shared" si="7"/>
        <v>53</v>
      </c>
      <c r="AC51" s="44" t="s">
        <v>544</v>
      </c>
      <c r="AD51" s="44" t="s">
        <v>81</v>
      </c>
      <c r="AE51" s="45">
        <v>100.27078259671683</v>
      </c>
      <c r="AF51" s="45">
        <v>54.999899999999997</v>
      </c>
      <c r="AG51" s="47">
        <f t="shared" si="8"/>
        <v>10.027100000000001</v>
      </c>
      <c r="AH51" s="48">
        <f t="shared" si="9"/>
        <v>55</v>
      </c>
      <c r="AJ51" s="44" t="s">
        <v>545</v>
      </c>
      <c r="AK51" s="44" t="s">
        <v>83</v>
      </c>
      <c r="AL51" s="45">
        <v>114.0897809513024</v>
      </c>
      <c r="AM51" s="45">
        <v>58.999899999999997</v>
      </c>
      <c r="AN51" s="47">
        <f t="shared" si="10"/>
        <v>11.409000000000001</v>
      </c>
      <c r="AO51" s="48">
        <f t="shared" si="11"/>
        <v>59</v>
      </c>
      <c r="AQ51" s="44" t="s">
        <v>546</v>
      </c>
      <c r="AR51" s="44" t="s">
        <v>85</v>
      </c>
      <c r="AS51" s="45">
        <v>122.6010294190957</v>
      </c>
      <c r="AT51" s="45">
        <v>63.999899999999997</v>
      </c>
      <c r="AU51" s="47">
        <f t="shared" si="12"/>
        <v>12.2601</v>
      </c>
      <c r="AV51" s="48">
        <f t="shared" si="13"/>
        <v>64</v>
      </c>
      <c r="AX51" s="44" t="s">
        <v>547</v>
      </c>
      <c r="AY51" s="44" t="s">
        <v>87</v>
      </c>
      <c r="AZ51" s="45">
        <v>127.85100821212747</v>
      </c>
      <c r="BA51" s="45">
        <v>68.999899999999997</v>
      </c>
      <c r="BB51" s="47">
        <f t="shared" si="0"/>
        <v>12.7851</v>
      </c>
      <c r="BC51" s="48">
        <f t="shared" si="1"/>
        <v>69</v>
      </c>
      <c r="BE51" s="44" t="s">
        <v>548</v>
      </c>
      <c r="BF51" s="44" t="s">
        <v>89</v>
      </c>
      <c r="BG51" s="45">
        <v>157.71813865568549</v>
      </c>
      <c r="BH51" s="45">
        <v>78.999899999999997</v>
      </c>
      <c r="BI51" s="47">
        <f t="shared" si="14"/>
        <v>15.771800000000001</v>
      </c>
      <c r="BJ51" s="48">
        <f t="shared" si="15"/>
        <v>79</v>
      </c>
    </row>
    <row r="52" spans="1:62" x14ac:dyDescent="0.2">
      <c r="A52" s="44" t="s">
        <v>549</v>
      </c>
      <c r="B52" s="44" t="s">
        <v>73</v>
      </c>
      <c r="C52" s="45">
        <v>39.524807375423734</v>
      </c>
      <c r="D52" s="45">
        <v>49.999899999999997</v>
      </c>
      <c r="E52" s="47">
        <f t="shared" si="16"/>
        <v>3.9525000000000001</v>
      </c>
      <c r="F52" s="48">
        <f t="shared" si="17"/>
        <v>50</v>
      </c>
      <c r="H52" s="44" t="s">
        <v>550</v>
      </c>
      <c r="I52" s="44" t="s">
        <v>75</v>
      </c>
      <c r="J52" s="45">
        <v>64.69562265257855</v>
      </c>
      <c r="K52" s="45">
        <v>49.999899999999997</v>
      </c>
      <c r="L52" s="47">
        <f t="shared" si="2"/>
        <v>6.4695999999999998</v>
      </c>
      <c r="M52" s="48">
        <f t="shared" si="3"/>
        <v>50</v>
      </c>
      <c r="O52" s="44" t="s">
        <v>551</v>
      </c>
      <c r="P52" s="44" t="s">
        <v>77</v>
      </c>
      <c r="Q52" s="45">
        <v>74.931410582240744</v>
      </c>
      <c r="R52" s="45">
        <v>52.999899999999997</v>
      </c>
      <c r="S52" s="47">
        <f t="shared" si="4"/>
        <v>7.4931000000000001</v>
      </c>
      <c r="T52" s="48">
        <f t="shared" si="5"/>
        <v>53</v>
      </c>
      <c r="V52" s="44" t="s">
        <v>552</v>
      </c>
      <c r="W52" s="44" t="s">
        <v>79</v>
      </c>
      <c r="X52" s="45">
        <v>84.656304013274351</v>
      </c>
      <c r="Y52" s="45">
        <v>53.999899999999997</v>
      </c>
      <c r="Z52" s="47">
        <f t="shared" si="6"/>
        <v>8.4656000000000002</v>
      </c>
      <c r="AA52" s="48">
        <f t="shared" si="7"/>
        <v>54</v>
      </c>
      <c r="AC52" s="44" t="s">
        <v>553</v>
      </c>
      <c r="AD52" s="44" t="s">
        <v>81</v>
      </c>
      <c r="AE52" s="45">
        <v>98.942575362051983</v>
      </c>
      <c r="AF52" s="45">
        <v>55.999899999999997</v>
      </c>
      <c r="AG52" s="47">
        <f t="shared" si="8"/>
        <v>9.8942999999999994</v>
      </c>
      <c r="AH52" s="48">
        <f t="shared" si="9"/>
        <v>56</v>
      </c>
      <c r="AJ52" s="44" t="s">
        <v>554</v>
      </c>
      <c r="AK52" s="44" t="s">
        <v>83</v>
      </c>
      <c r="AL52" s="45">
        <v>112.88852308966717</v>
      </c>
      <c r="AM52" s="45">
        <v>59.999899999999997</v>
      </c>
      <c r="AN52" s="47">
        <f t="shared" si="10"/>
        <v>11.2889</v>
      </c>
      <c r="AO52" s="48">
        <f t="shared" si="11"/>
        <v>60</v>
      </c>
      <c r="AQ52" s="44" t="s">
        <v>555</v>
      </c>
      <c r="AR52" s="44" t="s">
        <v>85</v>
      </c>
      <c r="AS52" s="45">
        <v>121.57908584542798</v>
      </c>
      <c r="AT52" s="45">
        <v>64.999899999999997</v>
      </c>
      <c r="AU52" s="47">
        <f t="shared" si="12"/>
        <v>12.1579</v>
      </c>
      <c r="AV52" s="48">
        <f t="shared" si="13"/>
        <v>65</v>
      </c>
      <c r="AX52" s="44" t="s">
        <v>556</v>
      </c>
      <c r="AY52" s="44" t="s">
        <v>87</v>
      </c>
      <c r="AZ52" s="45">
        <v>126.79972616084541</v>
      </c>
      <c r="BA52" s="45">
        <v>69.999899999999997</v>
      </c>
      <c r="BB52" s="47">
        <f t="shared" si="0"/>
        <v>12.68</v>
      </c>
      <c r="BC52" s="48">
        <f t="shared" si="1"/>
        <v>70</v>
      </c>
      <c r="BE52" s="44" t="s">
        <v>557</v>
      </c>
      <c r="BF52" s="44" t="s">
        <v>89</v>
      </c>
      <c r="BG52" s="45">
        <v>157.29966039481593</v>
      </c>
      <c r="BH52" s="45">
        <v>79.999899999999997</v>
      </c>
      <c r="BI52" s="47">
        <f t="shared" si="14"/>
        <v>15.73</v>
      </c>
      <c r="BJ52" s="48">
        <f t="shared" si="15"/>
        <v>80</v>
      </c>
    </row>
    <row r="53" spans="1:62" x14ac:dyDescent="0.2">
      <c r="A53" s="44" t="s">
        <v>558</v>
      </c>
      <c r="B53" s="44" t="s">
        <v>73</v>
      </c>
      <c r="C53" s="45">
        <v>37.950094731745594</v>
      </c>
      <c r="D53" s="45">
        <v>50.999899999999997</v>
      </c>
      <c r="E53" s="47">
        <f t="shared" si="16"/>
        <v>3.7949999999999999</v>
      </c>
      <c r="F53" s="48">
        <f t="shared" si="17"/>
        <v>51</v>
      </c>
      <c r="H53" s="44" t="s">
        <v>559</v>
      </c>
      <c r="I53" s="44" t="s">
        <v>75</v>
      </c>
      <c r="J53" s="45">
        <v>63.243001962060617</v>
      </c>
      <c r="K53" s="45">
        <v>50.999899999999997</v>
      </c>
      <c r="L53" s="47">
        <f t="shared" si="2"/>
        <v>6.3243</v>
      </c>
      <c r="M53" s="48">
        <f t="shared" si="3"/>
        <v>51</v>
      </c>
      <c r="O53" s="44" t="s">
        <v>560</v>
      </c>
      <c r="P53" s="44" t="s">
        <v>77</v>
      </c>
      <c r="Q53" s="45">
        <v>73.431410582240744</v>
      </c>
      <c r="R53" s="45">
        <v>53.999899999999997</v>
      </c>
      <c r="S53" s="47">
        <f t="shared" si="4"/>
        <v>7.3430999999999997</v>
      </c>
      <c r="T53" s="48">
        <f t="shared" si="5"/>
        <v>54</v>
      </c>
      <c r="V53" s="44" t="s">
        <v>561</v>
      </c>
      <c r="W53" s="44" t="s">
        <v>79</v>
      </c>
      <c r="X53" s="45">
        <v>83.228717806377816</v>
      </c>
      <c r="Y53" s="45">
        <v>54.999899999999997</v>
      </c>
      <c r="Z53" s="47">
        <f t="shared" si="6"/>
        <v>8.3229000000000006</v>
      </c>
      <c r="AA53" s="48">
        <f t="shared" si="7"/>
        <v>55</v>
      </c>
      <c r="AC53" s="44" t="s">
        <v>562</v>
      </c>
      <c r="AD53" s="44" t="s">
        <v>81</v>
      </c>
      <c r="AE53" s="45">
        <v>97.636006018986293</v>
      </c>
      <c r="AF53" s="45">
        <v>56.999899999999997</v>
      </c>
      <c r="AG53" s="47">
        <f t="shared" si="8"/>
        <v>9.7636000000000003</v>
      </c>
      <c r="AH53" s="48">
        <f t="shared" si="9"/>
        <v>57</v>
      </c>
      <c r="AJ53" s="44" t="s">
        <v>563</v>
      </c>
      <c r="AK53" s="44" t="s">
        <v>83</v>
      </c>
      <c r="AL53" s="45">
        <v>111.68726522803195</v>
      </c>
      <c r="AM53" s="45">
        <v>60.999899999999997</v>
      </c>
      <c r="AN53" s="47">
        <f t="shared" si="10"/>
        <v>11.168699999999999</v>
      </c>
      <c r="AO53" s="48">
        <f t="shared" si="11"/>
        <v>61</v>
      </c>
      <c r="AQ53" s="44" t="s">
        <v>564</v>
      </c>
      <c r="AR53" s="44" t="s">
        <v>85</v>
      </c>
      <c r="AS53" s="45">
        <v>120.55714227176027</v>
      </c>
      <c r="AT53" s="45">
        <v>65.999899999999997</v>
      </c>
      <c r="AU53" s="47">
        <f t="shared" si="12"/>
        <v>12.0557</v>
      </c>
      <c r="AV53" s="48">
        <f t="shared" si="13"/>
        <v>66</v>
      </c>
      <c r="AX53" s="44" t="s">
        <v>565</v>
      </c>
      <c r="AY53" s="44" t="s">
        <v>87</v>
      </c>
      <c r="AZ53" s="45">
        <v>125.74844410956335</v>
      </c>
      <c r="BA53" s="45">
        <v>70.999899999999997</v>
      </c>
      <c r="BB53" s="47">
        <f t="shared" si="0"/>
        <v>12.5748</v>
      </c>
      <c r="BC53" s="48">
        <f t="shared" si="1"/>
        <v>71</v>
      </c>
      <c r="BE53" s="44" t="s">
        <v>566</v>
      </c>
      <c r="BF53" s="44" t="s">
        <v>89</v>
      </c>
      <c r="BG53" s="45">
        <v>156.88118213394637</v>
      </c>
      <c r="BH53" s="45">
        <v>80.999899999999997</v>
      </c>
      <c r="BI53" s="47">
        <f t="shared" si="14"/>
        <v>15.6881</v>
      </c>
      <c r="BJ53" s="48">
        <f t="shared" si="15"/>
        <v>81</v>
      </c>
    </row>
    <row r="54" spans="1:62" x14ac:dyDescent="0.2">
      <c r="A54" s="44" t="s">
        <v>567</v>
      </c>
      <c r="B54" s="44" t="s">
        <v>73</v>
      </c>
      <c r="C54" s="45">
        <v>36.375382088067425</v>
      </c>
      <c r="D54" s="45">
        <v>51.999899999999997</v>
      </c>
      <c r="E54" s="47">
        <f t="shared" si="16"/>
        <v>3.6375000000000002</v>
      </c>
      <c r="F54" s="48">
        <f t="shared" si="17"/>
        <v>52</v>
      </c>
      <c r="H54" s="44" t="s">
        <v>568</v>
      </c>
      <c r="I54" s="44" t="s">
        <v>75</v>
      </c>
      <c r="J54" s="45">
        <v>61.826943567900031</v>
      </c>
      <c r="K54" s="45">
        <v>51.999899999999997</v>
      </c>
      <c r="L54" s="47">
        <f t="shared" si="2"/>
        <v>6.1826999999999996</v>
      </c>
      <c r="M54" s="48">
        <f t="shared" si="3"/>
        <v>52</v>
      </c>
      <c r="O54" s="44" t="s">
        <v>569</v>
      </c>
      <c r="P54" s="44" t="s">
        <v>77</v>
      </c>
      <c r="Q54" s="45">
        <v>71.931410582240758</v>
      </c>
      <c r="R54" s="45">
        <v>54.999899999999997</v>
      </c>
      <c r="S54" s="47">
        <f t="shared" si="4"/>
        <v>7.1931000000000003</v>
      </c>
      <c r="T54" s="48">
        <f t="shared" si="5"/>
        <v>55</v>
      </c>
      <c r="V54" s="44" t="s">
        <v>570</v>
      </c>
      <c r="W54" s="44" t="s">
        <v>79</v>
      </c>
      <c r="X54" s="45">
        <v>81.801131599481252</v>
      </c>
      <c r="Y54" s="45">
        <v>55.999899999999997</v>
      </c>
      <c r="Z54" s="47">
        <f t="shared" si="6"/>
        <v>8.1800999999999995</v>
      </c>
      <c r="AA54" s="48">
        <f t="shared" si="7"/>
        <v>56</v>
      </c>
      <c r="AC54" s="44" t="s">
        <v>571</v>
      </c>
      <c r="AD54" s="44" t="s">
        <v>81</v>
      </c>
      <c r="AE54" s="45">
        <v>96.32943667592059</v>
      </c>
      <c r="AF54" s="45">
        <v>57.999899999999997</v>
      </c>
      <c r="AG54" s="47">
        <f t="shared" si="8"/>
        <v>9.6328999999999994</v>
      </c>
      <c r="AH54" s="48">
        <f t="shared" si="9"/>
        <v>58</v>
      </c>
      <c r="AJ54" s="44" t="s">
        <v>572</v>
      </c>
      <c r="AK54" s="44" t="s">
        <v>83</v>
      </c>
      <c r="AL54" s="45">
        <v>110.48600736639672</v>
      </c>
      <c r="AM54" s="45">
        <v>61.999899999999997</v>
      </c>
      <c r="AN54" s="47">
        <f t="shared" si="10"/>
        <v>11.0486</v>
      </c>
      <c r="AO54" s="48">
        <f t="shared" si="11"/>
        <v>62</v>
      </c>
      <c r="AQ54" s="44" t="s">
        <v>573</v>
      </c>
      <c r="AR54" s="44" t="s">
        <v>85</v>
      </c>
      <c r="AS54" s="45">
        <v>119.53519869809256</v>
      </c>
      <c r="AT54" s="45">
        <v>66.999899999999997</v>
      </c>
      <c r="AU54" s="47">
        <f t="shared" si="12"/>
        <v>11.9535</v>
      </c>
      <c r="AV54" s="48">
        <f t="shared" si="13"/>
        <v>67</v>
      </c>
      <c r="AX54" s="44" t="s">
        <v>574</v>
      </c>
      <c r="AY54" s="44" t="s">
        <v>87</v>
      </c>
      <c r="AZ54" s="45">
        <v>124.69716205828131</v>
      </c>
      <c r="BA54" s="45">
        <v>71.999899999999997</v>
      </c>
      <c r="BB54" s="47">
        <f t="shared" si="0"/>
        <v>12.4697</v>
      </c>
      <c r="BC54" s="48">
        <f t="shared" si="1"/>
        <v>72</v>
      </c>
      <c r="BE54" s="44" t="s">
        <v>575</v>
      </c>
      <c r="BF54" s="44" t="s">
        <v>89</v>
      </c>
      <c r="BG54" s="45">
        <v>156.46270387307678</v>
      </c>
      <c r="BH54" s="45">
        <v>81.999899999999997</v>
      </c>
      <c r="BI54" s="47">
        <f t="shared" si="14"/>
        <v>15.6463</v>
      </c>
      <c r="BJ54" s="48">
        <f t="shared" si="15"/>
        <v>82</v>
      </c>
    </row>
    <row r="55" spans="1:62" x14ac:dyDescent="0.2">
      <c r="A55" s="44" t="s">
        <v>576</v>
      </c>
      <c r="B55" s="44" t="s">
        <v>73</v>
      </c>
      <c r="C55" s="45">
        <v>34.818024454936648</v>
      </c>
      <c r="D55" s="45">
        <v>52.999899999999997</v>
      </c>
      <c r="E55" s="47">
        <f t="shared" si="16"/>
        <v>3.4817999999999998</v>
      </c>
      <c r="F55" s="48">
        <f t="shared" si="17"/>
        <v>53</v>
      </c>
      <c r="H55" s="44" t="s">
        <v>577</v>
      </c>
      <c r="I55" s="44" t="s">
        <v>75</v>
      </c>
      <c r="J55" s="45">
        <v>60.410885173739437</v>
      </c>
      <c r="K55" s="45">
        <v>52.999899999999997</v>
      </c>
      <c r="L55" s="47">
        <f t="shared" si="2"/>
        <v>6.0411000000000001</v>
      </c>
      <c r="M55" s="48">
        <f t="shared" si="3"/>
        <v>53</v>
      </c>
      <c r="O55" s="44" t="s">
        <v>578</v>
      </c>
      <c r="P55" s="44" t="s">
        <v>77</v>
      </c>
      <c r="Q55" s="45">
        <v>70.431410582240744</v>
      </c>
      <c r="R55" s="45">
        <v>55.999899999999997</v>
      </c>
      <c r="S55" s="47">
        <f t="shared" si="4"/>
        <v>7.0430999999999999</v>
      </c>
      <c r="T55" s="48">
        <f t="shared" si="5"/>
        <v>56</v>
      </c>
      <c r="V55" s="44" t="s">
        <v>579</v>
      </c>
      <c r="W55" s="44" t="s">
        <v>79</v>
      </c>
      <c r="X55" s="45">
        <v>80.373545392584688</v>
      </c>
      <c r="Y55" s="45">
        <v>56.999899999999997</v>
      </c>
      <c r="Z55" s="47">
        <f t="shared" si="6"/>
        <v>8.0373999999999999</v>
      </c>
      <c r="AA55" s="48">
        <f t="shared" si="7"/>
        <v>57</v>
      </c>
      <c r="AC55" s="44" t="s">
        <v>580</v>
      </c>
      <c r="AD55" s="44" t="s">
        <v>81</v>
      </c>
      <c r="AE55" s="45">
        <v>95.022867332854901</v>
      </c>
      <c r="AF55" s="45">
        <v>58.999899999999997</v>
      </c>
      <c r="AG55" s="47">
        <f t="shared" si="8"/>
        <v>9.5023</v>
      </c>
      <c r="AH55" s="48">
        <f t="shared" si="9"/>
        <v>59</v>
      </c>
      <c r="AJ55" s="44" t="s">
        <v>581</v>
      </c>
      <c r="AK55" s="44" t="s">
        <v>83</v>
      </c>
      <c r="AL55" s="45">
        <v>109.29507156298614</v>
      </c>
      <c r="AM55" s="45">
        <v>62.999899999999997</v>
      </c>
      <c r="AN55" s="47">
        <f t="shared" si="10"/>
        <v>10.929500000000001</v>
      </c>
      <c r="AO55" s="48">
        <f t="shared" si="11"/>
        <v>63</v>
      </c>
      <c r="AQ55" s="44" t="s">
        <v>582</v>
      </c>
      <c r="AR55" s="44" t="s">
        <v>85</v>
      </c>
      <c r="AS55" s="45">
        <v>118.51325512442486</v>
      </c>
      <c r="AT55" s="45">
        <v>67.999899999999997</v>
      </c>
      <c r="AU55" s="47">
        <f t="shared" si="12"/>
        <v>11.8513</v>
      </c>
      <c r="AV55" s="48">
        <f t="shared" si="13"/>
        <v>68</v>
      </c>
      <c r="AX55" s="44" t="s">
        <v>583</v>
      </c>
      <c r="AY55" s="44" t="s">
        <v>87</v>
      </c>
      <c r="AZ55" s="45">
        <v>123.64588000699923</v>
      </c>
      <c r="BA55" s="45">
        <v>72.999899999999997</v>
      </c>
      <c r="BB55" s="47">
        <f t="shared" si="0"/>
        <v>12.364599999999999</v>
      </c>
      <c r="BC55" s="48">
        <f t="shared" si="1"/>
        <v>73</v>
      </c>
      <c r="BE55" s="44" t="s">
        <v>584</v>
      </c>
      <c r="BF55" s="44" t="s">
        <v>89</v>
      </c>
      <c r="BG55" s="45">
        <v>156.04422561220721</v>
      </c>
      <c r="BH55" s="45">
        <v>82.999899999999997</v>
      </c>
      <c r="BI55" s="47">
        <f t="shared" si="14"/>
        <v>15.6044</v>
      </c>
      <c r="BJ55" s="48">
        <f t="shared" si="15"/>
        <v>83</v>
      </c>
    </row>
    <row r="56" spans="1:62" x14ac:dyDescent="0.2">
      <c r="A56" s="44" t="s">
        <v>585</v>
      </c>
      <c r="B56" s="44" t="s">
        <v>73</v>
      </c>
      <c r="C56" s="45">
        <v>33.27714395179197</v>
      </c>
      <c r="D56" s="45">
        <v>53.999899999999997</v>
      </c>
      <c r="E56" s="47">
        <f t="shared" si="16"/>
        <v>3.3277000000000001</v>
      </c>
      <c r="F56" s="48">
        <f t="shared" si="17"/>
        <v>54</v>
      </c>
      <c r="H56" s="44" t="s">
        <v>586</v>
      </c>
      <c r="I56" s="44" t="s">
        <v>75</v>
      </c>
      <c r="J56" s="45">
        <v>58.994826779578851</v>
      </c>
      <c r="K56" s="45">
        <v>53.999899999999997</v>
      </c>
      <c r="L56" s="47">
        <f t="shared" si="2"/>
        <v>5.8994999999999997</v>
      </c>
      <c r="M56" s="48">
        <f t="shared" si="3"/>
        <v>54</v>
      </c>
      <c r="O56" s="44" t="s">
        <v>587</v>
      </c>
      <c r="P56" s="44" t="s">
        <v>77</v>
      </c>
      <c r="Q56" s="45">
        <v>68.933358512294006</v>
      </c>
      <c r="R56" s="45">
        <v>56.999899999999997</v>
      </c>
      <c r="S56" s="47">
        <f t="shared" si="4"/>
        <v>6.8933</v>
      </c>
      <c r="T56" s="48">
        <f t="shared" si="5"/>
        <v>57</v>
      </c>
      <c r="V56" s="44" t="s">
        <v>588</v>
      </c>
      <c r="W56" s="44" t="s">
        <v>79</v>
      </c>
      <c r="X56" s="45">
        <v>78.945959185688153</v>
      </c>
      <c r="Y56" s="45">
        <v>57.999899999999997</v>
      </c>
      <c r="Z56" s="47">
        <f t="shared" si="6"/>
        <v>7.8945999999999996</v>
      </c>
      <c r="AA56" s="48">
        <f t="shared" si="7"/>
        <v>58</v>
      </c>
      <c r="AC56" s="44" t="s">
        <v>589</v>
      </c>
      <c r="AD56" s="44" t="s">
        <v>81</v>
      </c>
      <c r="AE56" s="45">
        <v>93.716297989789211</v>
      </c>
      <c r="AF56" s="45">
        <v>59.999899999999997</v>
      </c>
      <c r="AG56" s="47">
        <f t="shared" si="8"/>
        <v>9.3716000000000008</v>
      </c>
      <c r="AH56" s="48">
        <f t="shared" si="9"/>
        <v>60</v>
      </c>
      <c r="AJ56" s="44" t="s">
        <v>590</v>
      </c>
      <c r="AK56" s="44" t="s">
        <v>83</v>
      </c>
      <c r="AL56" s="45">
        <v>108.1711777576764</v>
      </c>
      <c r="AM56" s="45">
        <v>63.999899999999997</v>
      </c>
      <c r="AN56" s="47">
        <f t="shared" si="10"/>
        <v>10.8171</v>
      </c>
      <c r="AO56" s="48">
        <f t="shared" si="11"/>
        <v>64</v>
      </c>
      <c r="AQ56" s="44" t="s">
        <v>591</v>
      </c>
      <c r="AR56" s="44" t="s">
        <v>85</v>
      </c>
      <c r="AS56" s="45">
        <v>117.49131155075715</v>
      </c>
      <c r="AT56" s="45">
        <v>68.999899999999997</v>
      </c>
      <c r="AU56" s="47">
        <f t="shared" si="12"/>
        <v>11.7491</v>
      </c>
      <c r="AV56" s="48">
        <f t="shared" si="13"/>
        <v>69</v>
      </c>
      <c r="AX56" s="44" t="s">
        <v>592</v>
      </c>
      <c r="AY56" s="44" t="s">
        <v>87</v>
      </c>
      <c r="AZ56" s="45">
        <v>122.6003403443371</v>
      </c>
      <c r="BA56" s="45">
        <v>73.999899999999997</v>
      </c>
      <c r="BB56" s="47">
        <f t="shared" si="0"/>
        <v>12.26</v>
      </c>
      <c r="BC56" s="48">
        <f t="shared" si="1"/>
        <v>74</v>
      </c>
      <c r="BE56" s="44" t="s">
        <v>593</v>
      </c>
      <c r="BF56" s="44" t="s">
        <v>89</v>
      </c>
      <c r="BG56" s="45">
        <v>155.6516260100851</v>
      </c>
      <c r="BH56" s="45">
        <v>83.999899999999997</v>
      </c>
      <c r="BI56" s="47">
        <f t="shared" si="14"/>
        <v>15.565200000000001</v>
      </c>
      <c r="BJ56" s="48">
        <f t="shared" si="15"/>
        <v>84</v>
      </c>
    </row>
    <row r="57" spans="1:62" x14ac:dyDescent="0.2">
      <c r="A57" s="44" t="s">
        <v>594</v>
      </c>
      <c r="B57" s="44" t="s">
        <v>73</v>
      </c>
      <c r="C57" s="45">
        <v>31.736263448647325</v>
      </c>
      <c r="D57" s="45">
        <v>54.999899999999997</v>
      </c>
      <c r="E57" s="47">
        <f t="shared" si="16"/>
        <v>3.1736</v>
      </c>
      <c r="F57" s="48">
        <f t="shared" si="17"/>
        <v>55</v>
      </c>
      <c r="H57" s="44" t="s">
        <v>595</v>
      </c>
      <c r="I57" s="44" t="s">
        <v>75</v>
      </c>
      <c r="J57" s="45">
        <v>57.578768385418279</v>
      </c>
      <c r="K57" s="45">
        <v>54.999899999999997</v>
      </c>
      <c r="L57" s="47">
        <f t="shared" si="2"/>
        <v>5.7579000000000002</v>
      </c>
      <c r="M57" s="48">
        <f t="shared" si="3"/>
        <v>55</v>
      </c>
      <c r="O57" s="44" t="s">
        <v>596</v>
      </c>
      <c r="P57" s="44" t="s">
        <v>77</v>
      </c>
      <c r="Q57" s="45">
        <v>67.43910563873078</v>
      </c>
      <c r="R57" s="45">
        <v>57.999899999999997</v>
      </c>
      <c r="S57" s="47">
        <f t="shared" si="4"/>
        <v>6.7439</v>
      </c>
      <c r="T57" s="48">
        <f t="shared" si="5"/>
        <v>58</v>
      </c>
      <c r="V57" s="44" t="s">
        <v>597</v>
      </c>
      <c r="W57" s="44" t="s">
        <v>79</v>
      </c>
      <c r="X57" s="45">
        <v>77.518372978791589</v>
      </c>
      <c r="Y57" s="45">
        <v>58.999899999999997</v>
      </c>
      <c r="Z57" s="47">
        <f t="shared" si="6"/>
        <v>7.7518000000000002</v>
      </c>
      <c r="AA57" s="48">
        <f t="shared" si="7"/>
        <v>59</v>
      </c>
      <c r="AC57" s="44" t="s">
        <v>598</v>
      </c>
      <c r="AD57" s="44" t="s">
        <v>81</v>
      </c>
      <c r="AE57" s="45">
        <v>92.409728646723522</v>
      </c>
      <c r="AF57" s="45">
        <v>60.999899999999997</v>
      </c>
      <c r="AG57" s="47">
        <f t="shared" si="8"/>
        <v>9.2409999999999997</v>
      </c>
      <c r="AH57" s="48">
        <f t="shared" si="9"/>
        <v>61</v>
      </c>
      <c r="AJ57" s="44" t="s">
        <v>599</v>
      </c>
      <c r="AK57" s="44" t="s">
        <v>83</v>
      </c>
      <c r="AL57" s="45">
        <v>107.04728395236667</v>
      </c>
      <c r="AM57" s="45">
        <v>64.999899999999997</v>
      </c>
      <c r="AN57" s="47">
        <f t="shared" si="10"/>
        <v>10.704700000000001</v>
      </c>
      <c r="AO57" s="48">
        <f t="shared" si="11"/>
        <v>65</v>
      </c>
      <c r="AQ57" s="44" t="s">
        <v>600</v>
      </c>
      <c r="AR57" s="44" t="s">
        <v>85</v>
      </c>
      <c r="AS57" s="45">
        <v>116.46936797708943</v>
      </c>
      <c r="AT57" s="45">
        <v>69.999899999999997</v>
      </c>
      <c r="AU57" s="47">
        <f t="shared" si="12"/>
        <v>11.6469</v>
      </c>
      <c r="AV57" s="48">
        <f t="shared" si="13"/>
        <v>70</v>
      </c>
      <c r="AX57" s="44" t="s">
        <v>601</v>
      </c>
      <c r="AY57" s="44" t="s">
        <v>87</v>
      </c>
      <c r="AZ57" s="45">
        <v>121.58664171420011</v>
      </c>
      <c r="BA57" s="45">
        <v>74.999899999999997</v>
      </c>
      <c r="BB57" s="47">
        <f t="shared" si="0"/>
        <v>12.1587</v>
      </c>
      <c r="BC57" s="48">
        <f t="shared" si="1"/>
        <v>75</v>
      </c>
      <c r="BE57" s="44" t="s">
        <v>602</v>
      </c>
      <c r="BF57" s="44" t="s">
        <v>89</v>
      </c>
      <c r="BG57" s="45">
        <v>155.27004706271666</v>
      </c>
      <c r="BH57" s="45">
        <v>84.999899999999997</v>
      </c>
      <c r="BI57" s="47">
        <f t="shared" si="14"/>
        <v>15.526999999999999</v>
      </c>
      <c r="BJ57" s="48">
        <f t="shared" si="15"/>
        <v>85</v>
      </c>
    </row>
    <row r="58" spans="1:62" x14ac:dyDescent="0.2">
      <c r="A58" s="44" t="s">
        <v>603</v>
      </c>
      <c r="B58" s="44" t="s">
        <v>73</v>
      </c>
      <c r="C58" s="45">
        <v>30.195382945502647</v>
      </c>
      <c r="D58" s="45">
        <v>55.999899999999997</v>
      </c>
      <c r="E58" s="47">
        <f t="shared" si="16"/>
        <v>3.0194999999999999</v>
      </c>
      <c r="F58" s="48">
        <f t="shared" si="17"/>
        <v>56</v>
      </c>
      <c r="H58" s="44" t="s">
        <v>604</v>
      </c>
      <c r="I58" s="44" t="s">
        <v>75</v>
      </c>
      <c r="J58" s="45">
        <v>56.162709991257685</v>
      </c>
      <c r="K58" s="45">
        <v>55.999899999999997</v>
      </c>
      <c r="L58" s="47">
        <f t="shared" si="2"/>
        <v>5.6162999999999998</v>
      </c>
      <c r="M58" s="48">
        <f t="shared" si="3"/>
        <v>56</v>
      </c>
      <c r="O58" s="44" t="s">
        <v>605</v>
      </c>
      <c r="P58" s="44" t="s">
        <v>77</v>
      </c>
      <c r="Q58" s="45">
        <v>65.944852765167582</v>
      </c>
      <c r="R58" s="45">
        <v>58.999899999999997</v>
      </c>
      <c r="S58" s="47">
        <f t="shared" si="4"/>
        <v>6.5945</v>
      </c>
      <c r="T58" s="48">
        <f t="shared" si="5"/>
        <v>59</v>
      </c>
      <c r="V58" s="44" t="s">
        <v>606</v>
      </c>
      <c r="W58" s="44" t="s">
        <v>79</v>
      </c>
      <c r="X58" s="45">
        <v>76.097345292640739</v>
      </c>
      <c r="Y58" s="45">
        <v>59.999899999999997</v>
      </c>
      <c r="Z58" s="47">
        <f t="shared" si="6"/>
        <v>7.6097000000000001</v>
      </c>
      <c r="AA58" s="48">
        <f t="shared" si="7"/>
        <v>60</v>
      </c>
      <c r="AC58" s="44" t="s">
        <v>607</v>
      </c>
      <c r="AD58" s="44" t="s">
        <v>81</v>
      </c>
      <c r="AE58" s="45">
        <v>91.156763076325134</v>
      </c>
      <c r="AF58" s="45">
        <v>61.999899999999997</v>
      </c>
      <c r="AG58" s="47">
        <f t="shared" si="8"/>
        <v>9.1157000000000004</v>
      </c>
      <c r="AH58" s="48">
        <f t="shared" si="9"/>
        <v>62</v>
      </c>
      <c r="AJ58" s="44" t="s">
        <v>608</v>
      </c>
      <c r="AK58" s="44" t="s">
        <v>83</v>
      </c>
      <c r="AL58" s="45">
        <v>105.92339014705694</v>
      </c>
      <c r="AM58" s="45">
        <v>65.999899999999997</v>
      </c>
      <c r="AN58" s="47">
        <f t="shared" si="10"/>
        <v>10.5923</v>
      </c>
      <c r="AO58" s="48">
        <f t="shared" si="11"/>
        <v>66</v>
      </c>
      <c r="AQ58" s="44" t="s">
        <v>609</v>
      </c>
      <c r="AR58" s="44" t="s">
        <v>85</v>
      </c>
      <c r="AS58" s="45">
        <v>115.44742440342172</v>
      </c>
      <c r="AT58" s="45">
        <v>70.999899999999997</v>
      </c>
      <c r="AU58" s="47">
        <f t="shared" si="12"/>
        <v>11.544700000000001</v>
      </c>
      <c r="AV58" s="48">
        <f t="shared" si="13"/>
        <v>71</v>
      </c>
      <c r="AX58" s="44" t="s">
        <v>610</v>
      </c>
      <c r="AY58" s="44" t="s">
        <v>87</v>
      </c>
      <c r="AZ58" s="45">
        <v>120.57294308406313</v>
      </c>
      <c r="BA58" s="45">
        <v>75.999899999999997</v>
      </c>
      <c r="BB58" s="47">
        <f t="shared" si="0"/>
        <v>12.0573</v>
      </c>
      <c r="BC58" s="48">
        <f t="shared" si="1"/>
        <v>76</v>
      </c>
      <c r="BE58" s="44" t="s">
        <v>611</v>
      </c>
      <c r="BF58" s="44" t="s">
        <v>89</v>
      </c>
      <c r="BG58" s="45">
        <v>154.88846811534825</v>
      </c>
      <c r="BH58" s="45">
        <v>85.999899999999997</v>
      </c>
      <c r="BI58" s="47">
        <f t="shared" si="14"/>
        <v>15.488799999999999</v>
      </c>
      <c r="BJ58" s="48">
        <f t="shared" si="15"/>
        <v>86</v>
      </c>
    </row>
    <row r="59" spans="1:62" x14ac:dyDescent="0.2">
      <c r="A59" s="44" t="s">
        <v>612</v>
      </c>
      <c r="B59" s="44" t="s">
        <v>73</v>
      </c>
      <c r="C59" s="45">
        <v>28.654502442358027</v>
      </c>
      <c r="D59" s="45">
        <v>56.999899999999997</v>
      </c>
      <c r="E59" s="47">
        <f t="shared" si="16"/>
        <v>2.8654999999999999</v>
      </c>
      <c r="F59" s="48">
        <f t="shared" si="17"/>
        <v>57</v>
      </c>
      <c r="H59" s="44" t="s">
        <v>613</v>
      </c>
      <c r="I59" s="44" t="s">
        <v>75</v>
      </c>
      <c r="J59" s="45">
        <v>54.746651597097113</v>
      </c>
      <c r="K59" s="45">
        <v>56.999899999999997</v>
      </c>
      <c r="L59" s="47">
        <f t="shared" si="2"/>
        <v>5.4747000000000003</v>
      </c>
      <c r="M59" s="48">
        <f t="shared" si="3"/>
        <v>57</v>
      </c>
      <c r="O59" s="44" t="s">
        <v>614</v>
      </c>
      <c r="P59" s="44" t="s">
        <v>77</v>
      </c>
      <c r="Q59" s="45">
        <v>64.450599891604355</v>
      </c>
      <c r="R59" s="45">
        <v>59.999899999999997</v>
      </c>
      <c r="S59" s="47">
        <f t="shared" si="4"/>
        <v>6.4451000000000001</v>
      </c>
      <c r="T59" s="48">
        <f t="shared" si="5"/>
        <v>60</v>
      </c>
      <c r="V59" s="44" t="s">
        <v>615</v>
      </c>
      <c r="W59" s="44" t="s">
        <v>79</v>
      </c>
      <c r="X59" s="45">
        <v>74.783912456819849</v>
      </c>
      <c r="Y59" s="45">
        <v>60.999899999999997</v>
      </c>
      <c r="Z59" s="47">
        <f t="shared" si="6"/>
        <v>7.4783999999999997</v>
      </c>
      <c r="AA59" s="48">
        <f t="shared" si="7"/>
        <v>61</v>
      </c>
      <c r="AC59" s="44" t="s">
        <v>616</v>
      </c>
      <c r="AD59" s="44" t="s">
        <v>81</v>
      </c>
      <c r="AE59" s="45">
        <v>89.969263076325134</v>
      </c>
      <c r="AF59" s="45">
        <v>62.999899999999997</v>
      </c>
      <c r="AG59" s="47">
        <f t="shared" si="8"/>
        <v>8.9969000000000001</v>
      </c>
      <c r="AH59" s="48">
        <f t="shared" si="9"/>
        <v>63</v>
      </c>
      <c r="AJ59" s="44" t="s">
        <v>617</v>
      </c>
      <c r="AK59" s="44" t="s">
        <v>83</v>
      </c>
      <c r="AL59" s="45">
        <v>104.7994963417472</v>
      </c>
      <c r="AM59" s="45">
        <v>66.999899999999997</v>
      </c>
      <c r="AN59" s="47">
        <f t="shared" si="10"/>
        <v>10.479900000000001</v>
      </c>
      <c r="AO59" s="48">
        <f t="shared" si="11"/>
        <v>67</v>
      </c>
      <c r="AQ59" s="44" t="s">
        <v>618</v>
      </c>
      <c r="AR59" s="44" t="s">
        <v>85</v>
      </c>
      <c r="AS59" s="45">
        <v>114.42548082975401</v>
      </c>
      <c r="AT59" s="45">
        <v>71.999899999999997</v>
      </c>
      <c r="AU59" s="47">
        <f t="shared" si="12"/>
        <v>11.442500000000001</v>
      </c>
      <c r="AV59" s="48">
        <f t="shared" si="13"/>
        <v>72</v>
      </c>
      <c r="AX59" s="44" t="s">
        <v>619</v>
      </c>
      <c r="AY59" s="44" t="s">
        <v>87</v>
      </c>
      <c r="AZ59" s="45">
        <v>119.55924445392614</v>
      </c>
      <c r="BA59" s="45">
        <v>76.999899999999997</v>
      </c>
      <c r="BB59" s="47">
        <f t="shared" si="0"/>
        <v>11.9559</v>
      </c>
      <c r="BC59" s="48">
        <f t="shared" si="1"/>
        <v>77</v>
      </c>
      <c r="BE59" s="44" t="s">
        <v>620</v>
      </c>
      <c r="BF59" s="44" t="s">
        <v>89</v>
      </c>
      <c r="BG59" s="45">
        <v>154.50688916797984</v>
      </c>
      <c r="BH59" s="45">
        <v>86.999899999999997</v>
      </c>
      <c r="BI59" s="47">
        <f t="shared" si="14"/>
        <v>15.450699999999999</v>
      </c>
      <c r="BJ59" s="48">
        <f t="shared" si="15"/>
        <v>87</v>
      </c>
    </row>
    <row r="60" spans="1:62" x14ac:dyDescent="0.2">
      <c r="A60" s="44" t="s">
        <v>621</v>
      </c>
      <c r="B60" s="44" t="s">
        <v>73</v>
      </c>
      <c r="C60" s="45">
        <v>27.113621939213349</v>
      </c>
      <c r="D60" s="45">
        <v>57.999899999999997</v>
      </c>
      <c r="E60" s="47">
        <f t="shared" si="16"/>
        <v>2.7113999999999998</v>
      </c>
      <c r="F60" s="48">
        <f t="shared" si="17"/>
        <v>58</v>
      </c>
      <c r="H60" s="44" t="s">
        <v>622</v>
      </c>
      <c r="I60" s="44" t="s">
        <v>75</v>
      </c>
      <c r="J60" s="45">
        <v>53.330593202936527</v>
      </c>
      <c r="K60" s="45">
        <v>57.999899999999997</v>
      </c>
      <c r="L60" s="47">
        <f t="shared" si="2"/>
        <v>5.3331</v>
      </c>
      <c r="M60" s="48">
        <f t="shared" si="3"/>
        <v>58</v>
      </c>
      <c r="O60" s="44" t="s">
        <v>623</v>
      </c>
      <c r="P60" s="44" t="s">
        <v>77</v>
      </c>
      <c r="Q60" s="45">
        <v>62.956347018041129</v>
      </c>
      <c r="R60" s="45">
        <v>60.999899999999997</v>
      </c>
      <c r="S60" s="47">
        <f t="shared" si="4"/>
        <v>6.2956000000000003</v>
      </c>
      <c r="T60" s="48">
        <f t="shared" si="5"/>
        <v>61</v>
      </c>
      <c r="V60" s="44" t="s">
        <v>624</v>
      </c>
      <c r="W60" s="44" t="s">
        <v>79</v>
      </c>
      <c r="X60" s="45">
        <v>73.470479620998958</v>
      </c>
      <c r="Y60" s="45">
        <v>61.999899999999997</v>
      </c>
      <c r="Z60" s="47">
        <f t="shared" si="6"/>
        <v>7.3470000000000004</v>
      </c>
      <c r="AA60" s="48">
        <f t="shared" si="7"/>
        <v>62</v>
      </c>
      <c r="AC60" s="44" t="s">
        <v>625</v>
      </c>
      <c r="AD60" s="44" t="s">
        <v>81</v>
      </c>
      <c r="AE60" s="45">
        <v>88.781763076325134</v>
      </c>
      <c r="AF60" s="45">
        <v>63.999899999999997</v>
      </c>
      <c r="AG60" s="47">
        <f t="shared" si="8"/>
        <v>8.8781999999999996</v>
      </c>
      <c r="AH60" s="48">
        <f t="shared" si="9"/>
        <v>64</v>
      </c>
      <c r="AJ60" s="44" t="s">
        <v>626</v>
      </c>
      <c r="AK60" s="44" t="s">
        <v>83</v>
      </c>
      <c r="AL60" s="45">
        <v>103.67560253643747</v>
      </c>
      <c r="AM60" s="45">
        <v>67.999899999999997</v>
      </c>
      <c r="AN60" s="47">
        <f t="shared" si="10"/>
        <v>10.367599999999999</v>
      </c>
      <c r="AO60" s="48">
        <f t="shared" si="11"/>
        <v>68</v>
      </c>
      <c r="AQ60" s="44" t="s">
        <v>627</v>
      </c>
      <c r="AR60" s="44" t="s">
        <v>85</v>
      </c>
      <c r="AS60" s="45">
        <v>113.44847558199855</v>
      </c>
      <c r="AT60" s="45">
        <v>72.999899999999997</v>
      </c>
      <c r="AU60" s="47">
        <f t="shared" si="12"/>
        <v>11.344799999999999</v>
      </c>
      <c r="AV60" s="48">
        <f t="shared" si="13"/>
        <v>73</v>
      </c>
      <c r="AX60" s="44" t="s">
        <v>628</v>
      </c>
      <c r="AY60" s="44" t="s">
        <v>87</v>
      </c>
      <c r="AZ60" s="45">
        <v>118.54554582378915</v>
      </c>
      <c r="BA60" s="45">
        <v>77.999899999999997</v>
      </c>
      <c r="BB60" s="47">
        <f t="shared" si="0"/>
        <v>11.8546</v>
      </c>
      <c r="BC60" s="48">
        <f t="shared" si="1"/>
        <v>78</v>
      </c>
      <c r="BE60" s="44" t="s">
        <v>629</v>
      </c>
      <c r="BF60" s="44" t="s">
        <v>89</v>
      </c>
      <c r="BG60" s="45">
        <v>154.1253102206114</v>
      </c>
      <c r="BH60" s="45">
        <v>87.999899999999997</v>
      </c>
      <c r="BI60" s="47">
        <f t="shared" si="14"/>
        <v>15.4125</v>
      </c>
      <c r="BJ60" s="48">
        <f t="shared" si="15"/>
        <v>88</v>
      </c>
    </row>
    <row r="61" spans="1:62" x14ac:dyDescent="0.2">
      <c r="A61" s="44" t="s">
        <v>630</v>
      </c>
      <c r="B61" s="44" t="s">
        <v>73</v>
      </c>
      <c r="C61" s="45">
        <v>25.607905899326969</v>
      </c>
      <c r="D61" s="45">
        <v>58.999899999999997</v>
      </c>
      <c r="E61" s="47">
        <f t="shared" si="16"/>
        <v>2.5608</v>
      </c>
      <c r="F61" s="48">
        <f t="shared" si="17"/>
        <v>59</v>
      </c>
      <c r="H61" s="44" t="s">
        <v>631</v>
      </c>
      <c r="I61" s="44" t="s">
        <v>75</v>
      </c>
      <c r="J61" s="45">
        <v>51.914534808775933</v>
      </c>
      <c r="K61" s="45">
        <v>58.999899999999997</v>
      </c>
      <c r="L61" s="47">
        <f t="shared" si="2"/>
        <v>5.1914999999999996</v>
      </c>
      <c r="M61" s="48">
        <f t="shared" si="3"/>
        <v>59</v>
      </c>
      <c r="O61" s="44" t="s">
        <v>632</v>
      </c>
      <c r="P61" s="44" t="s">
        <v>77</v>
      </c>
      <c r="Q61" s="45">
        <v>61.462094144477923</v>
      </c>
      <c r="R61" s="45">
        <v>61.999899999999997</v>
      </c>
      <c r="S61" s="47">
        <f t="shared" si="4"/>
        <v>6.1462000000000003</v>
      </c>
      <c r="T61" s="48">
        <f t="shared" si="5"/>
        <v>62</v>
      </c>
      <c r="V61" s="44" t="s">
        <v>633</v>
      </c>
      <c r="W61" s="44" t="s">
        <v>79</v>
      </c>
      <c r="X61" s="45">
        <v>72.157046785178068</v>
      </c>
      <c r="Y61" s="45">
        <v>62.999899999999997</v>
      </c>
      <c r="Z61" s="47">
        <f t="shared" si="6"/>
        <v>7.2157</v>
      </c>
      <c r="AA61" s="48">
        <f t="shared" si="7"/>
        <v>63</v>
      </c>
      <c r="AC61" s="44" t="s">
        <v>634</v>
      </c>
      <c r="AD61" s="44" t="s">
        <v>81</v>
      </c>
      <c r="AE61" s="45">
        <v>87.59426307632512</v>
      </c>
      <c r="AF61" s="45">
        <v>64.999899999999997</v>
      </c>
      <c r="AG61" s="47">
        <f t="shared" si="8"/>
        <v>8.7593999999999994</v>
      </c>
      <c r="AH61" s="48">
        <f t="shared" si="9"/>
        <v>65</v>
      </c>
      <c r="AJ61" s="44" t="s">
        <v>635</v>
      </c>
      <c r="AK61" s="44" t="s">
        <v>83</v>
      </c>
      <c r="AL61" s="45">
        <v>102.55170873112773</v>
      </c>
      <c r="AM61" s="45">
        <v>68.999899999999997</v>
      </c>
      <c r="AN61" s="47">
        <f t="shared" si="10"/>
        <v>10.2552</v>
      </c>
      <c r="AO61" s="48">
        <f t="shared" si="11"/>
        <v>69</v>
      </c>
      <c r="AQ61" s="44" t="s">
        <v>636</v>
      </c>
      <c r="AR61" s="44" t="s">
        <v>85</v>
      </c>
      <c r="AS61" s="45">
        <v>112.47479137147224</v>
      </c>
      <c r="AT61" s="45">
        <v>73.999899999999997</v>
      </c>
      <c r="AU61" s="47">
        <f t="shared" si="12"/>
        <v>11.2475</v>
      </c>
      <c r="AV61" s="48">
        <f t="shared" si="13"/>
        <v>74</v>
      </c>
      <c r="AX61" s="44" t="s">
        <v>637</v>
      </c>
      <c r="AY61" s="44" t="s">
        <v>87</v>
      </c>
      <c r="AZ61" s="45">
        <v>117.53184719365217</v>
      </c>
      <c r="BA61" s="45">
        <v>78.999899999999997</v>
      </c>
      <c r="BB61" s="47">
        <f t="shared" si="0"/>
        <v>11.7532</v>
      </c>
      <c r="BC61" s="48">
        <f t="shared" si="1"/>
        <v>79</v>
      </c>
      <c r="BE61" s="44" t="s">
        <v>638</v>
      </c>
      <c r="BF61" s="44" t="s">
        <v>89</v>
      </c>
      <c r="BG61" s="45">
        <v>153.74373127324299</v>
      </c>
      <c r="BH61" s="45">
        <v>88.999899999999997</v>
      </c>
      <c r="BI61" s="47">
        <f t="shared" si="14"/>
        <v>15.3744</v>
      </c>
      <c r="BJ61" s="48">
        <f t="shared" si="15"/>
        <v>89</v>
      </c>
    </row>
    <row r="62" spans="1:62" x14ac:dyDescent="0.2">
      <c r="A62" s="44" t="s">
        <v>639</v>
      </c>
      <c r="B62" s="44" t="s">
        <v>73</v>
      </c>
      <c r="C62" s="45">
        <v>24.137820429241518</v>
      </c>
      <c r="D62" s="45">
        <v>59.999899999999997</v>
      </c>
      <c r="E62" s="47">
        <f t="shared" si="16"/>
        <v>2.4138000000000002</v>
      </c>
      <c r="F62" s="48">
        <f t="shared" si="17"/>
        <v>60</v>
      </c>
      <c r="H62" s="44" t="s">
        <v>640</v>
      </c>
      <c r="I62" s="44" t="s">
        <v>75</v>
      </c>
      <c r="J62" s="45">
        <v>50.584756290121973</v>
      </c>
      <c r="K62" s="45">
        <v>59.999899999999997</v>
      </c>
      <c r="L62" s="47">
        <f t="shared" si="2"/>
        <v>5.0585000000000004</v>
      </c>
      <c r="M62" s="48">
        <f t="shared" si="3"/>
        <v>60</v>
      </c>
      <c r="O62" s="44" t="s">
        <v>641</v>
      </c>
      <c r="P62" s="44" t="s">
        <v>77</v>
      </c>
      <c r="Q62" s="45">
        <v>59.967841270914697</v>
      </c>
      <c r="R62" s="45">
        <v>62.999899999999997</v>
      </c>
      <c r="S62" s="47">
        <f t="shared" si="4"/>
        <v>5.9968000000000004</v>
      </c>
      <c r="T62" s="48">
        <f t="shared" si="5"/>
        <v>63</v>
      </c>
      <c r="V62" s="44" t="s">
        <v>642</v>
      </c>
      <c r="W62" s="44" t="s">
        <v>79</v>
      </c>
      <c r="X62" s="45">
        <v>70.843613949357163</v>
      </c>
      <c r="Y62" s="45">
        <v>63.999899999999997</v>
      </c>
      <c r="Z62" s="47">
        <f t="shared" si="6"/>
        <v>7.0843999999999996</v>
      </c>
      <c r="AA62" s="48">
        <f t="shared" si="7"/>
        <v>64</v>
      </c>
      <c r="AC62" s="44" t="s">
        <v>643</v>
      </c>
      <c r="AD62" s="44" t="s">
        <v>81</v>
      </c>
      <c r="AE62" s="45">
        <v>86.406763076325134</v>
      </c>
      <c r="AF62" s="45">
        <v>65.999899999999997</v>
      </c>
      <c r="AG62" s="47">
        <f t="shared" si="8"/>
        <v>8.6407000000000007</v>
      </c>
      <c r="AH62" s="48">
        <f t="shared" si="9"/>
        <v>66</v>
      </c>
      <c r="AJ62" s="44" t="s">
        <v>644</v>
      </c>
      <c r="AK62" s="44" t="s">
        <v>83</v>
      </c>
      <c r="AL62" s="45">
        <v>101.427814925818</v>
      </c>
      <c r="AM62" s="45">
        <v>69.999899999999997</v>
      </c>
      <c r="AN62" s="47">
        <f t="shared" si="10"/>
        <v>10.142799999999999</v>
      </c>
      <c r="AO62" s="48">
        <f t="shared" si="11"/>
        <v>70</v>
      </c>
      <c r="AQ62" s="44" t="s">
        <v>645</v>
      </c>
      <c r="AR62" s="44" t="s">
        <v>85</v>
      </c>
      <c r="AS62" s="45">
        <v>111.50110716094592</v>
      </c>
      <c r="AT62" s="45">
        <v>74.999899999999997</v>
      </c>
      <c r="AU62" s="47">
        <f t="shared" si="12"/>
        <v>11.1501</v>
      </c>
      <c r="AV62" s="48">
        <f t="shared" si="13"/>
        <v>75</v>
      </c>
      <c r="AX62" s="44" t="s">
        <v>646</v>
      </c>
      <c r="AY62" s="44" t="s">
        <v>87</v>
      </c>
      <c r="AZ62" s="45">
        <v>116.54805944992746</v>
      </c>
      <c r="BA62" s="45">
        <v>79.999899999999997</v>
      </c>
      <c r="BB62" s="47">
        <f t="shared" si="0"/>
        <v>11.6548</v>
      </c>
      <c r="BC62" s="48">
        <f t="shared" si="1"/>
        <v>80</v>
      </c>
      <c r="BE62" s="44" t="s">
        <v>647</v>
      </c>
      <c r="BF62" s="44" t="s">
        <v>89</v>
      </c>
      <c r="BG62" s="45">
        <v>153.36215232587458</v>
      </c>
      <c r="BH62" s="45">
        <v>89.999899999999997</v>
      </c>
      <c r="BI62" s="47">
        <f t="shared" si="14"/>
        <v>15.3362</v>
      </c>
      <c r="BJ62" s="48">
        <f t="shared" si="15"/>
        <v>90</v>
      </c>
    </row>
    <row r="63" spans="1:62" x14ac:dyDescent="0.2">
      <c r="A63" s="44" t="s">
        <v>648</v>
      </c>
      <c r="B63" s="44" t="s">
        <v>73</v>
      </c>
      <c r="C63" s="45">
        <v>22.667734959156039</v>
      </c>
      <c r="D63" s="45">
        <v>60.999899999999997</v>
      </c>
      <c r="E63" s="47">
        <f t="shared" si="16"/>
        <v>2.2667999999999999</v>
      </c>
      <c r="F63" s="48">
        <f t="shared" si="17"/>
        <v>61</v>
      </c>
      <c r="H63" s="44" t="s">
        <v>649</v>
      </c>
      <c r="I63" s="44" t="s">
        <v>75</v>
      </c>
      <c r="J63" s="45">
        <v>49.273435535404992</v>
      </c>
      <c r="K63" s="45">
        <v>60.999899999999997</v>
      </c>
      <c r="L63" s="47">
        <f t="shared" si="2"/>
        <v>4.9272999999999998</v>
      </c>
      <c r="M63" s="48">
        <f t="shared" si="3"/>
        <v>61</v>
      </c>
      <c r="O63" s="44" t="s">
        <v>650</v>
      </c>
      <c r="P63" s="44" t="s">
        <v>77</v>
      </c>
      <c r="Q63" s="45">
        <v>58.568542472849174</v>
      </c>
      <c r="R63" s="45">
        <v>63.999899999999997</v>
      </c>
      <c r="S63" s="47">
        <f t="shared" si="4"/>
        <v>5.8569000000000004</v>
      </c>
      <c r="T63" s="48">
        <f t="shared" si="5"/>
        <v>64</v>
      </c>
      <c r="V63" s="44" t="s">
        <v>651</v>
      </c>
      <c r="W63" s="44" t="s">
        <v>79</v>
      </c>
      <c r="X63" s="45">
        <v>69.530181113536258</v>
      </c>
      <c r="Y63" s="45">
        <v>64.999899999999997</v>
      </c>
      <c r="Z63" s="47">
        <f t="shared" si="6"/>
        <v>6.9530000000000003</v>
      </c>
      <c r="AA63" s="48">
        <f t="shared" si="7"/>
        <v>65</v>
      </c>
      <c r="AC63" s="44" t="s">
        <v>652</v>
      </c>
      <c r="AD63" s="44" t="s">
        <v>81</v>
      </c>
      <c r="AE63" s="45">
        <v>85.219263076325134</v>
      </c>
      <c r="AF63" s="45">
        <v>66.999899999999997</v>
      </c>
      <c r="AG63" s="47">
        <f t="shared" si="8"/>
        <v>8.5219000000000005</v>
      </c>
      <c r="AH63" s="48">
        <f t="shared" si="9"/>
        <v>67</v>
      </c>
      <c r="AJ63" s="44" t="s">
        <v>653</v>
      </c>
      <c r="AK63" s="44" t="s">
        <v>83</v>
      </c>
      <c r="AL63" s="45">
        <v>100.30392112050826</v>
      </c>
      <c r="AM63" s="45">
        <v>70.999899999999997</v>
      </c>
      <c r="AN63" s="47">
        <f t="shared" si="10"/>
        <v>10.0304</v>
      </c>
      <c r="AO63" s="48">
        <f t="shared" si="11"/>
        <v>71</v>
      </c>
      <c r="AQ63" s="44" t="s">
        <v>654</v>
      </c>
      <c r="AR63" s="44" t="s">
        <v>85</v>
      </c>
      <c r="AS63" s="45">
        <v>110.52742295041961</v>
      </c>
      <c r="AT63" s="45">
        <v>75.999899999999997</v>
      </c>
      <c r="AU63" s="47">
        <f t="shared" si="12"/>
        <v>11.0527</v>
      </c>
      <c r="AV63" s="48">
        <f t="shared" si="13"/>
        <v>76</v>
      </c>
      <c r="AX63" s="44" t="s">
        <v>655</v>
      </c>
      <c r="AY63" s="44" t="s">
        <v>87</v>
      </c>
      <c r="AZ63" s="45">
        <v>115.58195775501221</v>
      </c>
      <c r="BA63" s="45">
        <v>80.999899999999997</v>
      </c>
      <c r="BB63" s="47">
        <f t="shared" si="0"/>
        <v>11.558199999999999</v>
      </c>
      <c r="BC63" s="48">
        <f t="shared" si="1"/>
        <v>81</v>
      </c>
      <c r="BE63" s="44" t="s">
        <v>656</v>
      </c>
      <c r="BF63" s="44" t="s">
        <v>89</v>
      </c>
      <c r="BG63" s="45">
        <v>152.98057337850616</v>
      </c>
      <c r="BH63" s="45">
        <v>90.999899999999997</v>
      </c>
      <c r="BI63" s="47">
        <f t="shared" si="14"/>
        <v>15.2981</v>
      </c>
      <c r="BJ63" s="48">
        <f t="shared" si="15"/>
        <v>91</v>
      </c>
    </row>
    <row r="64" spans="1:62" x14ac:dyDescent="0.2">
      <c r="A64" s="44" t="s">
        <v>657</v>
      </c>
      <c r="B64" s="44" t="s">
        <v>73</v>
      </c>
      <c r="C64" s="45">
        <v>21.19764948907056</v>
      </c>
      <c r="D64" s="45">
        <v>61.999899999999997</v>
      </c>
      <c r="E64" s="47">
        <f t="shared" si="16"/>
        <v>2.1198000000000001</v>
      </c>
      <c r="F64" s="48">
        <f t="shared" si="17"/>
        <v>62</v>
      </c>
      <c r="H64" s="44" t="s">
        <v>658</v>
      </c>
      <c r="I64" s="44" t="s">
        <v>75</v>
      </c>
      <c r="J64" s="45">
        <v>47.962114780688012</v>
      </c>
      <c r="K64" s="45">
        <v>61.999899999999997</v>
      </c>
      <c r="L64" s="47">
        <f t="shared" si="2"/>
        <v>4.7961999999999998</v>
      </c>
      <c r="M64" s="48">
        <f t="shared" si="3"/>
        <v>62</v>
      </c>
      <c r="O64" s="44" t="s">
        <v>659</v>
      </c>
      <c r="P64" s="44" t="s">
        <v>77</v>
      </c>
      <c r="Q64" s="45">
        <v>57.259451563758276</v>
      </c>
      <c r="R64" s="45">
        <v>64.999899999999997</v>
      </c>
      <c r="S64" s="47">
        <f t="shared" si="4"/>
        <v>5.7259000000000002</v>
      </c>
      <c r="T64" s="48">
        <f t="shared" si="5"/>
        <v>65</v>
      </c>
      <c r="V64" s="44" t="s">
        <v>660</v>
      </c>
      <c r="W64" s="44" t="s">
        <v>79</v>
      </c>
      <c r="X64" s="45">
        <v>68.216748277715368</v>
      </c>
      <c r="Y64" s="45">
        <v>65.999899999999997</v>
      </c>
      <c r="Z64" s="47">
        <f t="shared" si="6"/>
        <v>6.8216999999999999</v>
      </c>
      <c r="AA64" s="48">
        <f t="shared" si="7"/>
        <v>66</v>
      </c>
      <c r="AC64" s="44" t="s">
        <v>661</v>
      </c>
      <c r="AD64" s="44" t="s">
        <v>81</v>
      </c>
      <c r="AE64" s="45">
        <v>84.031763076325134</v>
      </c>
      <c r="AF64" s="45">
        <v>67.999899999999997</v>
      </c>
      <c r="AG64" s="47">
        <f t="shared" si="8"/>
        <v>8.4032</v>
      </c>
      <c r="AH64" s="48">
        <f t="shared" si="9"/>
        <v>68</v>
      </c>
      <c r="AJ64" s="44" t="s">
        <v>662</v>
      </c>
      <c r="AK64" s="44" t="s">
        <v>83</v>
      </c>
      <c r="AL64" s="45">
        <v>99.180027315198529</v>
      </c>
      <c r="AM64" s="45">
        <v>71.999899999999997</v>
      </c>
      <c r="AN64" s="47">
        <f t="shared" si="10"/>
        <v>9.9179999999999993</v>
      </c>
      <c r="AO64" s="48">
        <f t="shared" si="11"/>
        <v>72</v>
      </c>
      <c r="AQ64" s="44" t="s">
        <v>663</v>
      </c>
      <c r="AR64" s="44" t="s">
        <v>85</v>
      </c>
      <c r="AS64" s="45">
        <v>109.55373873989329</v>
      </c>
      <c r="AT64" s="45">
        <v>76.999899999999997</v>
      </c>
      <c r="AU64" s="47">
        <f t="shared" si="12"/>
        <v>10.955399999999999</v>
      </c>
      <c r="AV64" s="48">
        <f t="shared" si="13"/>
        <v>77</v>
      </c>
      <c r="AX64" s="44" t="s">
        <v>664</v>
      </c>
      <c r="AY64" s="44" t="s">
        <v>87</v>
      </c>
      <c r="AZ64" s="45">
        <v>114.61585606009696</v>
      </c>
      <c r="BA64" s="45">
        <v>81.999899999999997</v>
      </c>
      <c r="BB64" s="47">
        <f t="shared" si="0"/>
        <v>11.461600000000001</v>
      </c>
      <c r="BC64" s="48">
        <f t="shared" si="1"/>
        <v>82</v>
      </c>
      <c r="BE64" s="44" t="s">
        <v>665</v>
      </c>
      <c r="BF64" s="44" t="s">
        <v>89</v>
      </c>
      <c r="BG64" s="45">
        <v>152.59899443113773</v>
      </c>
      <c r="BH64" s="45">
        <v>91.999899999999997</v>
      </c>
      <c r="BI64" s="47">
        <f t="shared" si="14"/>
        <v>15.2599</v>
      </c>
      <c r="BJ64" s="48">
        <f t="shared" si="15"/>
        <v>92</v>
      </c>
    </row>
    <row r="65" spans="1:62" x14ac:dyDescent="0.2">
      <c r="A65" s="44" t="s">
        <v>666</v>
      </c>
      <c r="B65" s="44" t="s">
        <v>73</v>
      </c>
      <c r="C65" s="45">
        <v>19.734267548979947</v>
      </c>
      <c r="D65" s="45">
        <v>62.999899999999997</v>
      </c>
      <c r="E65" s="47">
        <f t="shared" si="16"/>
        <v>1.9734</v>
      </c>
      <c r="F65" s="48">
        <f t="shared" si="17"/>
        <v>63</v>
      </c>
      <c r="H65" s="44" t="s">
        <v>667</v>
      </c>
      <c r="I65" s="44" t="s">
        <v>75</v>
      </c>
      <c r="J65" s="45">
        <v>46.650794025971031</v>
      </c>
      <c r="K65" s="45">
        <v>62.999899999999997</v>
      </c>
      <c r="L65" s="47">
        <f t="shared" si="2"/>
        <v>4.6650999999999998</v>
      </c>
      <c r="M65" s="48">
        <f t="shared" si="3"/>
        <v>63</v>
      </c>
      <c r="O65" s="44" t="s">
        <v>668</v>
      </c>
      <c r="P65" s="44" t="s">
        <v>77</v>
      </c>
      <c r="Q65" s="45">
        <v>55.950360654667364</v>
      </c>
      <c r="R65" s="45">
        <v>65.999899999999997</v>
      </c>
      <c r="S65" s="47">
        <f t="shared" si="4"/>
        <v>5.5949999999999998</v>
      </c>
      <c r="T65" s="48">
        <f t="shared" si="5"/>
        <v>66</v>
      </c>
      <c r="V65" s="44" t="s">
        <v>669</v>
      </c>
      <c r="W65" s="44" t="s">
        <v>79</v>
      </c>
      <c r="X65" s="45">
        <v>66.903315441894463</v>
      </c>
      <c r="Y65" s="45">
        <v>66.999899999999997</v>
      </c>
      <c r="Z65" s="47">
        <f t="shared" si="6"/>
        <v>6.6902999999999997</v>
      </c>
      <c r="AA65" s="48">
        <f t="shared" si="7"/>
        <v>67</v>
      </c>
      <c r="AC65" s="44" t="s">
        <v>670</v>
      </c>
      <c r="AD65" s="44" t="s">
        <v>81</v>
      </c>
      <c r="AE65" s="45">
        <v>82.844263076325149</v>
      </c>
      <c r="AF65" s="45">
        <v>68.999899999999997</v>
      </c>
      <c r="AG65" s="47">
        <f t="shared" si="8"/>
        <v>8.2843999999999998</v>
      </c>
      <c r="AH65" s="48">
        <f t="shared" si="9"/>
        <v>69</v>
      </c>
      <c r="AJ65" s="44" t="s">
        <v>671</v>
      </c>
      <c r="AK65" s="44" t="s">
        <v>83</v>
      </c>
      <c r="AL65" s="45">
        <v>98.056133509888795</v>
      </c>
      <c r="AM65" s="45">
        <v>72.999899999999997</v>
      </c>
      <c r="AN65" s="47">
        <f t="shared" si="10"/>
        <v>9.8056000000000001</v>
      </c>
      <c r="AO65" s="48">
        <f t="shared" si="11"/>
        <v>73</v>
      </c>
      <c r="AQ65" s="44" t="s">
        <v>672</v>
      </c>
      <c r="AR65" s="44" t="s">
        <v>85</v>
      </c>
      <c r="AS65" s="45">
        <v>108.58005452936698</v>
      </c>
      <c r="AT65" s="45">
        <v>77.999899999999997</v>
      </c>
      <c r="AU65" s="47">
        <f t="shared" si="12"/>
        <v>10.858000000000001</v>
      </c>
      <c r="AV65" s="48">
        <f t="shared" si="13"/>
        <v>78</v>
      </c>
      <c r="AX65" s="44" t="s">
        <v>673</v>
      </c>
      <c r="AY65" s="44" t="s">
        <v>87</v>
      </c>
      <c r="AZ65" s="45">
        <v>113.64975436518171</v>
      </c>
      <c r="BA65" s="45">
        <v>82.999899999999997</v>
      </c>
      <c r="BB65" s="47">
        <f t="shared" si="0"/>
        <v>11.365</v>
      </c>
      <c r="BC65" s="48">
        <f t="shared" si="1"/>
        <v>83</v>
      </c>
      <c r="BE65" s="44" t="s">
        <v>674</v>
      </c>
      <c r="BF65" s="44" t="s">
        <v>89</v>
      </c>
      <c r="BG65" s="45">
        <v>152.21741548376932</v>
      </c>
      <c r="BH65" s="45">
        <v>92.999899999999997</v>
      </c>
      <c r="BI65" s="47">
        <f t="shared" si="14"/>
        <v>15.2217</v>
      </c>
      <c r="BJ65" s="48">
        <f t="shared" si="15"/>
        <v>93</v>
      </c>
    </row>
    <row r="66" spans="1:62" x14ac:dyDescent="0.2">
      <c r="A66" s="44" t="s">
        <v>675</v>
      </c>
      <c r="B66" s="44" t="s">
        <v>73</v>
      </c>
      <c r="C66" s="45">
        <v>18.360435773279026</v>
      </c>
      <c r="D66" s="45">
        <v>63.999899999999997</v>
      </c>
      <c r="E66" s="47">
        <f t="shared" si="16"/>
        <v>1.8360000000000001</v>
      </c>
      <c r="F66" s="48">
        <f t="shared" si="17"/>
        <v>64</v>
      </c>
      <c r="H66" s="44" t="s">
        <v>676</v>
      </c>
      <c r="I66" s="44" t="s">
        <v>75</v>
      </c>
      <c r="J66" s="45">
        <v>45.33947327125405</v>
      </c>
      <c r="K66" s="45">
        <v>63.999899999999997</v>
      </c>
      <c r="L66" s="47">
        <f t="shared" si="2"/>
        <v>4.5339</v>
      </c>
      <c r="M66" s="48">
        <f t="shared" si="3"/>
        <v>64</v>
      </c>
      <c r="O66" s="44" t="s">
        <v>677</v>
      </c>
      <c r="P66" s="44" t="s">
        <v>77</v>
      </c>
      <c r="Q66" s="45">
        <v>54.641269745576466</v>
      </c>
      <c r="R66" s="45">
        <v>66.999899999999997</v>
      </c>
      <c r="S66" s="47">
        <f t="shared" si="4"/>
        <v>5.4641000000000002</v>
      </c>
      <c r="T66" s="48">
        <f t="shared" si="5"/>
        <v>67</v>
      </c>
      <c r="V66" s="44" t="s">
        <v>678</v>
      </c>
      <c r="W66" s="44" t="s">
        <v>79</v>
      </c>
      <c r="X66" s="45">
        <v>65.588899999999995</v>
      </c>
      <c r="Y66" s="45">
        <v>67.999899999999997</v>
      </c>
      <c r="Z66" s="47">
        <f t="shared" si="6"/>
        <v>6.5589000000000004</v>
      </c>
      <c r="AA66" s="48">
        <f t="shared" si="7"/>
        <v>68</v>
      </c>
      <c r="AC66" s="44" t="s">
        <v>679</v>
      </c>
      <c r="AD66" s="44" t="s">
        <v>81</v>
      </c>
      <c r="AE66" s="45">
        <v>81.666320827416456</v>
      </c>
      <c r="AF66" s="45">
        <v>69.999899999999997</v>
      </c>
      <c r="AG66" s="47">
        <f t="shared" si="8"/>
        <v>8.1666000000000007</v>
      </c>
      <c r="AH66" s="48">
        <f t="shared" si="9"/>
        <v>70</v>
      </c>
      <c r="AJ66" s="44" t="s">
        <v>680</v>
      </c>
      <c r="AK66" s="44" t="s">
        <v>83</v>
      </c>
      <c r="AL66" s="45">
        <v>96.906129782902028</v>
      </c>
      <c r="AM66" s="45">
        <v>73.999899999999997</v>
      </c>
      <c r="AN66" s="47">
        <f t="shared" si="10"/>
        <v>9.6905999999999999</v>
      </c>
      <c r="AO66" s="48">
        <f t="shared" si="11"/>
        <v>74</v>
      </c>
      <c r="AQ66" s="44" t="s">
        <v>681</v>
      </c>
      <c r="AR66" s="44" t="s">
        <v>85</v>
      </c>
      <c r="AS66" s="45">
        <v>107.60637031884066</v>
      </c>
      <c r="AT66" s="45">
        <v>78.999899999999997</v>
      </c>
      <c r="AU66" s="47">
        <f t="shared" si="12"/>
        <v>10.7606</v>
      </c>
      <c r="AV66" s="48">
        <f t="shared" si="13"/>
        <v>79</v>
      </c>
      <c r="AX66" s="44" t="s">
        <v>682</v>
      </c>
      <c r="AY66" s="44" t="s">
        <v>87</v>
      </c>
      <c r="AZ66" s="45">
        <v>112.68671590922031</v>
      </c>
      <c r="BA66" s="45">
        <v>83.999899999999997</v>
      </c>
      <c r="BB66" s="47">
        <f t="shared" ref="BB66:BB129" si="18">ROUND(AZ66/10,4)</f>
        <v>11.268700000000001</v>
      </c>
      <c r="BC66" s="48">
        <f t="shared" ref="BC66:BC129" si="19">ROUND(BA66,1)</f>
        <v>84</v>
      </c>
      <c r="BE66" s="44" t="s">
        <v>683</v>
      </c>
      <c r="BF66" s="44" t="s">
        <v>89</v>
      </c>
      <c r="BG66" s="45">
        <v>151.86448880611397</v>
      </c>
      <c r="BH66" s="45">
        <v>93.999899999999997</v>
      </c>
      <c r="BI66" s="47">
        <f t="shared" si="14"/>
        <v>15.186400000000001</v>
      </c>
      <c r="BJ66" s="48">
        <f t="shared" si="15"/>
        <v>94</v>
      </c>
    </row>
    <row r="67" spans="1:62" x14ac:dyDescent="0.2">
      <c r="A67" s="44" t="s">
        <v>684</v>
      </c>
      <c r="B67" s="44" t="s">
        <v>73</v>
      </c>
      <c r="C67" s="45">
        <v>16.986603997578076</v>
      </c>
      <c r="D67" s="45">
        <v>64.999899999999997</v>
      </c>
      <c r="E67" s="47">
        <f t="shared" si="16"/>
        <v>1.6987000000000001</v>
      </c>
      <c r="F67" s="48">
        <f t="shared" si="17"/>
        <v>65</v>
      </c>
      <c r="H67" s="44" t="s">
        <v>685</v>
      </c>
      <c r="I67" s="44" t="s">
        <v>75</v>
      </c>
      <c r="J67" s="45">
        <v>44.028152516537062</v>
      </c>
      <c r="K67" s="45">
        <v>64.999899999999997</v>
      </c>
      <c r="L67" s="47">
        <f t="shared" ref="L67:L111" si="20">ROUND(J67/10,4)</f>
        <v>4.4028</v>
      </c>
      <c r="M67" s="48">
        <f t="shared" ref="M67:M111" si="21">ROUND(K67,1)</f>
        <v>65</v>
      </c>
      <c r="O67" s="44" t="s">
        <v>686</v>
      </c>
      <c r="P67" s="44" t="s">
        <v>77</v>
      </c>
      <c r="Q67" s="45">
        <v>53.332178836485546</v>
      </c>
      <c r="R67" s="45">
        <v>67.999899999999997</v>
      </c>
      <c r="S67" s="47">
        <f t="shared" ref="S67:S119" si="22">ROUND(Q67/10,4)</f>
        <v>5.3331999999999997</v>
      </c>
      <c r="T67" s="48">
        <f t="shared" ref="T67:T119" si="23">ROUND(R67,1)</f>
        <v>68</v>
      </c>
      <c r="V67" s="44" t="s">
        <v>687</v>
      </c>
      <c r="W67" s="44" t="s">
        <v>79</v>
      </c>
      <c r="X67" s="45">
        <v>64.273143752281413</v>
      </c>
      <c r="Y67" s="45">
        <v>68.999899999999997</v>
      </c>
      <c r="Z67" s="47">
        <f t="shared" ref="Z67:Z130" si="24">ROUND(X67/10,4)</f>
        <v>6.4272999999999998</v>
      </c>
      <c r="AA67" s="48">
        <f t="shared" ref="AA67:AA130" si="25">ROUND(Y67,1)</f>
        <v>69</v>
      </c>
      <c r="AC67" s="44" t="s">
        <v>688</v>
      </c>
      <c r="AD67" s="44" t="s">
        <v>81</v>
      </c>
      <c r="AE67" s="45">
        <v>80.49965416074977</v>
      </c>
      <c r="AF67" s="45">
        <v>70.999899999999997</v>
      </c>
      <c r="AG67" s="47">
        <f t="shared" ref="AG67:AG130" si="26">ROUND(AE67/10,4)</f>
        <v>8.0500000000000007</v>
      </c>
      <c r="AH67" s="48">
        <f t="shared" ref="AH67:AH130" si="27">ROUND(AF67,1)</f>
        <v>71</v>
      </c>
      <c r="AJ67" s="44" t="s">
        <v>689</v>
      </c>
      <c r="AK67" s="44" t="s">
        <v>83</v>
      </c>
      <c r="AL67" s="45">
        <v>95.752283629055867</v>
      </c>
      <c r="AM67" s="45">
        <v>74.999899999999997</v>
      </c>
      <c r="AN67" s="47">
        <f t="shared" ref="AN67:AN130" si="28">ROUND(AL67/10,4)</f>
        <v>9.5752000000000006</v>
      </c>
      <c r="AO67" s="48">
        <f t="shared" ref="AO67:AO130" si="29">ROUND(AM67,1)</f>
        <v>75</v>
      </c>
      <c r="AQ67" s="44" t="s">
        <v>690</v>
      </c>
      <c r="AR67" s="44" t="s">
        <v>85</v>
      </c>
      <c r="AS67" s="45">
        <v>106.63268610831435</v>
      </c>
      <c r="AT67" s="45">
        <v>79.999899999999997</v>
      </c>
      <c r="AU67" s="47">
        <f t="shared" ref="AU67:AU130" si="30">ROUND(AS67/10,4)</f>
        <v>10.6633</v>
      </c>
      <c r="AV67" s="48">
        <f t="shared" ref="AV67:AV130" si="31">ROUND(AT67,1)</f>
        <v>80</v>
      </c>
      <c r="AX67" s="44" t="s">
        <v>691</v>
      </c>
      <c r="AY67" s="44" t="s">
        <v>87</v>
      </c>
      <c r="AZ67" s="45">
        <v>111.73934748816768</v>
      </c>
      <c r="BA67" s="45">
        <v>84.999899999999997</v>
      </c>
      <c r="BB67" s="47">
        <f t="shared" si="18"/>
        <v>11.1739</v>
      </c>
      <c r="BC67" s="48">
        <f t="shared" si="19"/>
        <v>85</v>
      </c>
      <c r="BE67" s="44" t="s">
        <v>692</v>
      </c>
      <c r="BF67" s="44" t="s">
        <v>89</v>
      </c>
      <c r="BG67" s="45">
        <v>151.51707096573838</v>
      </c>
      <c r="BH67" s="45">
        <v>94.999899999999997</v>
      </c>
      <c r="BI67" s="47">
        <f t="shared" ref="BI67:BI130" si="32">ROUND(BG67/10,4)</f>
        <v>15.1517</v>
      </c>
      <c r="BJ67" s="48">
        <f t="shared" ref="BJ67:BJ130" si="33">ROUND(BH67,1)</f>
        <v>95</v>
      </c>
    </row>
    <row r="68" spans="1:62" x14ac:dyDescent="0.2">
      <c r="A68" s="44" t="s">
        <v>693</v>
      </c>
      <c r="B68" s="44" t="s">
        <v>73</v>
      </c>
      <c r="C68" s="45">
        <v>15.612772221877155</v>
      </c>
      <c r="D68" s="45">
        <v>65.999899999999997</v>
      </c>
      <c r="E68" s="47">
        <f t="shared" ref="E68:E81" si="34">ROUND(C68/10,4)</f>
        <v>1.5612999999999999</v>
      </c>
      <c r="F68" s="48">
        <f t="shared" ref="F68:F81" si="35">ROUND(D68,1)</f>
        <v>66</v>
      </c>
      <c r="H68" s="44" t="s">
        <v>694</v>
      </c>
      <c r="I68" s="44" t="s">
        <v>75</v>
      </c>
      <c r="J68" s="45">
        <v>42.716831761820082</v>
      </c>
      <c r="K68" s="45">
        <v>65.999899999999997</v>
      </c>
      <c r="L68" s="47">
        <f t="shared" si="20"/>
        <v>4.2717000000000001</v>
      </c>
      <c r="M68" s="48">
        <f t="shared" si="21"/>
        <v>66</v>
      </c>
      <c r="O68" s="44" t="s">
        <v>695</v>
      </c>
      <c r="P68" s="44" t="s">
        <v>77</v>
      </c>
      <c r="Q68" s="45">
        <v>52.023087927394627</v>
      </c>
      <c r="R68" s="45">
        <v>68.999899999999997</v>
      </c>
      <c r="S68" s="47">
        <f t="shared" si="22"/>
        <v>5.2023000000000001</v>
      </c>
      <c r="T68" s="48">
        <f t="shared" si="23"/>
        <v>69</v>
      </c>
      <c r="V68" s="44" t="s">
        <v>696</v>
      </c>
      <c r="W68" s="44" t="s">
        <v>79</v>
      </c>
      <c r="X68" s="45">
        <v>62.957828436966096</v>
      </c>
      <c r="Y68" s="45">
        <v>69.999899999999997</v>
      </c>
      <c r="Z68" s="47">
        <f t="shared" si="24"/>
        <v>6.2957999999999998</v>
      </c>
      <c r="AA68" s="48">
        <f t="shared" si="25"/>
        <v>70</v>
      </c>
      <c r="AC68" s="44" t="s">
        <v>697</v>
      </c>
      <c r="AD68" s="44" t="s">
        <v>81</v>
      </c>
      <c r="AE68" s="45">
        <v>79.332987494083113</v>
      </c>
      <c r="AF68" s="45">
        <v>71.999899999999997</v>
      </c>
      <c r="AG68" s="47">
        <f t="shared" si="26"/>
        <v>7.9333</v>
      </c>
      <c r="AH68" s="48">
        <f t="shared" si="27"/>
        <v>72</v>
      </c>
      <c r="AJ68" s="44" t="s">
        <v>698</v>
      </c>
      <c r="AK68" s="44" t="s">
        <v>83</v>
      </c>
      <c r="AL68" s="45">
        <v>94.598437475209707</v>
      </c>
      <c r="AM68" s="45">
        <v>75.999899999999997</v>
      </c>
      <c r="AN68" s="47">
        <f t="shared" si="28"/>
        <v>9.4597999999999995</v>
      </c>
      <c r="AO68" s="48">
        <f t="shared" si="29"/>
        <v>76</v>
      </c>
      <c r="AQ68" s="44" t="s">
        <v>699</v>
      </c>
      <c r="AR68" s="44" t="s">
        <v>85</v>
      </c>
      <c r="AS68" s="45">
        <v>105.65900189778803</v>
      </c>
      <c r="AT68" s="45">
        <v>80.999899999999997</v>
      </c>
      <c r="AU68" s="47">
        <f t="shared" si="30"/>
        <v>10.565899999999999</v>
      </c>
      <c r="AV68" s="48">
        <f t="shared" si="31"/>
        <v>81</v>
      </c>
      <c r="AX68" s="44" t="s">
        <v>700</v>
      </c>
      <c r="AY68" s="44" t="s">
        <v>87</v>
      </c>
      <c r="AZ68" s="45">
        <v>110.79197906711505</v>
      </c>
      <c r="BA68" s="45">
        <v>85.999899999999997</v>
      </c>
      <c r="BB68" s="47">
        <f t="shared" si="18"/>
        <v>11.0792</v>
      </c>
      <c r="BC68" s="48">
        <f t="shared" si="19"/>
        <v>86</v>
      </c>
      <c r="BE68" s="44" t="s">
        <v>701</v>
      </c>
      <c r="BF68" s="44" t="s">
        <v>89</v>
      </c>
      <c r="BG68" s="45">
        <v>151.1696531253628</v>
      </c>
      <c r="BH68" s="45">
        <v>95.999899999999997</v>
      </c>
      <c r="BI68" s="47">
        <f t="shared" si="32"/>
        <v>15.117000000000001</v>
      </c>
      <c r="BJ68" s="48">
        <f t="shared" si="33"/>
        <v>96</v>
      </c>
    </row>
    <row r="69" spans="1:62" x14ac:dyDescent="0.2">
      <c r="A69" s="44" t="s">
        <v>702</v>
      </c>
      <c r="B69" s="44" t="s">
        <v>73</v>
      </c>
      <c r="C69" s="45">
        <v>14.240858047187121</v>
      </c>
      <c r="D69" s="45">
        <v>66.999899999999997</v>
      </c>
      <c r="E69" s="47">
        <f t="shared" si="34"/>
        <v>1.4240999999999999</v>
      </c>
      <c r="F69" s="48">
        <f t="shared" si="35"/>
        <v>67</v>
      </c>
      <c r="H69" s="44" t="s">
        <v>703</v>
      </c>
      <c r="I69" s="44" t="s">
        <v>75</v>
      </c>
      <c r="J69" s="45">
        <v>41.518432176358971</v>
      </c>
      <c r="K69" s="45">
        <v>66.999899999999997</v>
      </c>
      <c r="L69" s="47">
        <f t="shared" si="20"/>
        <v>4.1517999999999997</v>
      </c>
      <c r="M69" s="48">
        <f t="shared" si="21"/>
        <v>67</v>
      </c>
      <c r="O69" s="44" t="s">
        <v>704</v>
      </c>
      <c r="P69" s="44" t="s">
        <v>77</v>
      </c>
      <c r="Q69" s="45">
        <v>50.713997018303729</v>
      </c>
      <c r="R69" s="45">
        <v>69.999899999999997</v>
      </c>
      <c r="S69" s="47">
        <f t="shared" si="22"/>
        <v>5.0713999999999997</v>
      </c>
      <c r="T69" s="48">
        <f t="shared" si="23"/>
        <v>70</v>
      </c>
      <c r="V69" s="44" t="s">
        <v>705</v>
      </c>
      <c r="W69" s="44" t="s">
        <v>79</v>
      </c>
      <c r="X69" s="45">
        <v>61.642513121650779</v>
      </c>
      <c r="Y69" s="45">
        <v>70.999899999999997</v>
      </c>
      <c r="Z69" s="47">
        <f t="shared" si="24"/>
        <v>6.1642999999999999</v>
      </c>
      <c r="AA69" s="48">
        <f t="shared" si="25"/>
        <v>71</v>
      </c>
      <c r="AC69" s="44" t="s">
        <v>706</v>
      </c>
      <c r="AD69" s="44" t="s">
        <v>81</v>
      </c>
      <c r="AE69" s="45">
        <v>78.166320827416456</v>
      </c>
      <c r="AF69" s="45">
        <v>72.999899999999997</v>
      </c>
      <c r="AG69" s="47">
        <f t="shared" si="26"/>
        <v>7.8166000000000002</v>
      </c>
      <c r="AH69" s="48">
        <f t="shared" si="27"/>
        <v>73</v>
      </c>
      <c r="AJ69" s="44" t="s">
        <v>707</v>
      </c>
      <c r="AK69" s="44" t="s">
        <v>83</v>
      </c>
      <c r="AL69" s="45">
        <v>93.444591321363561</v>
      </c>
      <c r="AM69" s="45">
        <v>76.999899999999997</v>
      </c>
      <c r="AN69" s="47">
        <f t="shared" si="28"/>
        <v>9.3445</v>
      </c>
      <c r="AO69" s="48">
        <f t="shared" si="29"/>
        <v>77</v>
      </c>
      <c r="AQ69" s="44" t="s">
        <v>708</v>
      </c>
      <c r="AR69" s="44" t="s">
        <v>85</v>
      </c>
      <c r="AS69" s="45">
        <v>104.68531768726172</v>
      </c>
      <c r="AT69" s="45">
        <v>81.999899999999997</v>
      </c>
      <c r="AU69" s="47">
        <f t="shared" si="30"/>
        <v>10.468500000000001</v>
      </c>
      <c r="AV69" s="48">
        <f t="shared" si="31"/>
        <v>82</v>
      </c>
      <c r="AX69" s="44" t="s">
        <v>709</v>
      </c>
      <c r="AY69" s="44" t="s">
        <v>87</v>
      </c>
      <c r="AZ69" s="45">
        <v>109.84461064606243</v>
      </c>
      <c r="BA69" s="45">
        <v>86.999899999999997</v>
      </c>
      <c r="BB69" s="47">
        <f t="shared" si="18"/>
        <v>10.984500000000001</v>
      </c>
      <c r="BC69" s="48">
        <f t="shared" si="19"/>
        <v>87</v>
      </c>
      <c r="BE69" s="44" t="s">
        <v>710</v>
      </c>
      <c r="BF69" s="44" t="s">
        <v>89</v>
      </c>
      <c r="BG69" s="45">
        <v>150.82223528498722</v>
      </c>
      <c r="BH69" s="45">
        <v>96.999899999999997</v>
      </c>
      <c r="BI69" s="47">
        <f t="shared" si="32"/>
        <v>15.0822</v>
      </c>
      <c r="BJ69" s="48">
        <f t="shared" si="33"/>
        <v>97</v>
      </c>
    </row>
    <row r="70" spans="1:62" x14ac:dyDescent="0.2">
      <c r="A70" s="44" t="s">
        <v>711</v>
      </c>
      <c r="B70" s="44" t="s">
        <v>73</v>
      </c>
      <c r="C70" s="45">
        <v>12.958505106010623</v>
      </c>
      <c r="D70" s="45">
        <v>67.999899999999997</v>
      </c>
      <c r="E70" s="47">
        <f t="shared" si="34"/>
        <v>1.2959000000000001</v>
      </c>
      <c r="F70" s="48">
        <f t="shared" si="35"/>
        <v>68</v>
      </c>
      <c r="H70" s="44" t="s">
        <v>712</v>
      </c>
      <c r="I70" s="44" t="s">
        <v>75</v>
      </c>
      <c r="J70" s="45">
        <v>40.333558226779118</v>
      </c>
      <c r="K70" s="45">
        <v>67.999899999999997</v>
      </c>
      <c r="L70" s="47">
        <f t="shared" si="20"/>
        <v>4.0334000000000003</v>
      </c>
      <c r="M70" s="48">
        <f t="shared" si="21"/>
        <v>68</v>
      </c>
      <c r="O70" s="44" t="s">
        <v>713</v>
      </c>
      <c r="P70" s="44" t="s">
        <v>77</v>
      </c>
      <c r="Q70" s="45">
        <v>49.404906109212817</v>
      </c>
      <c r="R70" s="45">
        <v>70.999899999999997</v>
      </c>
      <c r="S70" s="47">
        <f t="shared" si="22"/>
        <v>4.9405000000000001</v>
      </c>
      <c r="T70" s="48">
        <f t="shared" si="23"/>
        <v>71</v>
      </c>
      <c r="V70" s="44" t="s">
        <v>714</v>
      </c>
      <c r="W70" s="44" t="s">
        <v>79</v>
      </c>
      <c r="X70" s="45">
        <v>60.327197806335477</v>
      </c>
      <c r="Y70" s="45">
        <v>71.999899999999997</v>
      </c>
      <c r="Z70" s="47">
        <f t="shared" si="24"/>
        <v>6.0327000000000002</v>
      </c>
      <c r="AA70" s="48">
        <f t="shared" si="25"/>
        <v>72</v>
      </c>
      <c r="AC70" s="44" t="s">
        <v>715</v>
      </c>
      <c r="AD70" s="44" t="s">
        <v>81</v>
      </c>
      <c r="AE70" s="45">
        <v>76.999899999999997</v>
      </c>
      <c r="AF70" s="45">
        <v>73.999689280642684</v>
      </c>
      <c r="AG70" s="47">
        <f t="shared" si="26"/>
        <v>7.7</v>
      </c>
      <c r="AH70" s="48">
        <f t="shared" si="27"/>
        <v>74</v>
      </c>
      <c r="AJ70" s="44" t="s">
        <v>716</v>
      </c>
      <c r="AK70" s="44" t="s">
        <v>83</v>
      </c>
      <c r="AL70" s="45">
        <v>92.293442952752741</v>
      </c>
      <c r="AM70" s="45">
        <v>77.999899999999997</v>
      </c>
      <c r="AN70" s="47">
        <f t="shared" si="28"/>
        <v>9.2293000000000003</v>
      </c>
      <c r="AO70" s="48">
        <f t="shared" si="29"/>
        <v>78</v>
      </c>
      <c r="AQ70" s="44" t="s">
        <v>717</v>
      </c>
      <c r="AR70" s="44" t="s">
        <v>85</v>
      </c>
      <c r="AS70" s="45">
        <v>103.75348224147663</v>
      </c>
      <c r="AT70" s="45">
        <v>82.999899999999997</v>
      </c>
      <c r="AU70" s="47">
        <f t="shared" si="30"/>
        <v>10.375299999999999</v>
      </c>
      <c r="AV70" s="48">
        <f t="shared" si="31"/>
        <v>83</v>
      </c>
      <c r="AX70" s="44" t="s">
        <v>718</v>
      </c>
      <c r="AY70" s="44" t="s">
        <v>87</v>
      </c>
      <c r="AZ70" s="45">
        <v>108.89724222500979</v>
      </c>
      <c r="BA70" s="45">
        <v>87.999899999999997</v>
      </c>
      <c r="BB70" s="47">
        <f t="shared" si="18"/>
        <v>10.889699999999999</v>
      </c>
      <c r="BC70" s="48">
        <f t="shared" si="19"/>
        <v>88</v>
      </c>
      <c r="BE70" s="44" t="s">
        <v>719</v>
      </c>
      <c r="BF70" s="44" t="s">
        <v>89</v>
      </c>
      <c r="BG70" s="45">
        <v>150.47481744461163</v>
      </c>
      <c r="BH70" s="45">
        <v>97.999899999999997</v>
      </c>
      <c r="BI70" s="47">
        <f t="shared" si="32"/>
        <v>15.047499999999999</v>
      </c>
      <c r="BJ70" s="48">
        <f t="shared" si="33"/>
        <v>98</v>
      </c>
    </row>
    <row r="71" spans="1:62" x14ac:dyDescent="0.2">
      <c r="A71" s="44" t="s">
        <v>720</v>
      </c>
      <c r="B71" s="44" t="s">
        <v>73</v>
      </c>
      <c r="C71" s="45">
        <v>11.676152164834182</v>
      </c>
      <c r="D71" s="45">
        <v>68.999899999999997</v>
      </c>
      <c r="E71" s="47">
        <f t="shared" si="34"/>
        <v>1.1676</v>
      </c>
      <c r="F71" s="48">
        <f t="shared" si="35"/>
        <v>69</v>
      </c>
      <c r="H71" s="44" t="s">
        <v>721</v>
      </c>
      <c r="I71" s="44" t="s">
        <v>75</v>
      </c>
      <c r="J71" s="45">
        <v>39.148684277199294</v>
      </c>
      <c r="K71" s="45">
        <v>68.999899999999997</v>
      </c>
      <c r="L71" s="47">
        <f t="shared" si="20"/>
        <v>3.9148999999999998</v>
      </c>
      <c r="M71" s="48">
        <f t="shared" si="21"/>
        <v>69</v>
      </c>
      <c r="O71" s="44" t="s">
        <v>722</v>
      </c>
      <c r="P71" s="44" t="s">
        <v>77</v>
      </c>
      <c r="Q71" s="45">
        <v>48.095815200121919</v>
      </c>
      <c r="R71" s="45">
        <v>71.999899999999997</v>
      </c>
      <c r="S71" s="47">
        <f t="shared" si="22"/>
        <v>4.8095999999999997</v>
      </c>
      <c r="T71" s="48">
        <f t="shared" si="23"/>
        <v>72</v>
      </c>
      <c r="V71" s="44" t="s">
        <v>723</v>
      </c>
      <c r="W71" s="44" t="s">
        <v>79</v>
      </c>
      <c r="X71" s="45">
        <v>59.01188249102016</v>
      </c>
      <c r="Y71" s="45">
        <v>72.999899999999997</v>
      </c>
      <c r="Z71" s="47">
        <f t="shared" si="24"/>
        <v>5.9012000000000002</v>
      </c>
      <c r="AA71" s="48">
        <f t="shared" si="25"/>
        <v>73</v>
      </c>
      <c r="AC71" s="44" t="s">
        <v>724</v>
      </c>
      <c r="AD71" s="44" t="s">
        <v>81</v>
      </c>
      <c r="AE71" s="45">
        <v>75.832987494083127</v>
      </c>
      <c r="AF71" s="45">
        <v>74.999899999999997</v>
      </c>
      <c r="AG71" s="47">
        <f t="shared" si="26"/>
        <v>7.5833000000000004</v>
      </c>
      <c r="AH71" s="48">
        <f t="shared" si="27"/>
        <v>75</v>
      </c>
      <c r="AJ71" s="44" t="s">
        <v>725</v>
      </c>
      <c r="AK71" s="44" t="s">
        <v>83</v>
      </c>
      <c r="AL71" s="45">
        <v>91.157640483616944</v>
      </c>
      <c r="AM71" s="45">
        <v>78.999899999999997</v>
      </c>
      <c r="AN71" s="47">
        <f t="shared" si="28"/>
        <v>9.1158000000000001</v>
      </c>
      <c r="AO71" s="48">
        <f t="shared" si="29"/>
        <v>79</v>
      </c>
      <c r="AQ71" s="44" t="s">
        <v>726</v>
      </c>
      <c r="AR71" s="44" t="s">
        <v>85</v>
      </c>
      <c r="AS71" s="45">
        <v>102.82810910714826</v>
      </c>
      <c r="AT71" s="45">
        <v>83.999899999999997</v>
      </c>
      <c r="AU71" s="47">
        <f t="shared" si="30"/>
        <v>10.2828</v>
      </c>
      <c r="AV71" s="48">
        <f t="shared" si="31"/>
        <v>84</v>
      </c>
      <c r="AX71" s="44" t="s">
        <v>727</v>
      </c>
      <c r="AY71" s="44" t="s">
        <v>87</v>
      </c>
      <c r="AZ71" s="45">
        <v>107.94987380395716</v>
      </c>
      <c r="BA71" s="45">
        <v>88.999899999999997</v>
      </c>
      <c r="BB71" s="47">
        <f t="shared" si="18"/>
        <v>10.795</v>
      </c>
      <c r="BC71" s="48">
        <f t="shared" si="19"/>
        <v>89</v>
      </c>
      <c r="BE71" s="44" t="s">
        <v>728</v>
      </c>
      <c r="BF71" s="44" t="s">
        <v>89</v>
      </c>
      <c r="BG71" s="45">
        <v>150.12739960423605</v>
      </c>
      <c r="BH71" s="45">
        <v>98.999899999999997</v>
      </c>
      <c r="BI71" s="47">
        <f t="shared" si="32"/>
        <v>15.012700000000001</v>
      </c>
      <c r="BJ71" s="48">
        <f t="shared" si="33"/>
        <v>99</v>
      </c>
    </row>
    <row r="72" spans="1:62" x14ac:dyDescent="0.2">
      <c r="A72" s="44" t="s">
        <v>729</v>
      </c>
      <c r="B72" s="44" t="s">
        <v>73</v>
      </c>
      <c r="C72" s="45">
        <v>10.393799223657684</v>
      </c>
      <c r="D72" s="45">
        <v>69.999899999999997</v>
      </c>
      <c r="E72" s="47">
        <f t="shared" si="34"/>
        <v>1.0394000000000001</v>
      </c>
      <c r="F72" s="48">
        <f t="shared" si="35"/>
        <v>70</v>
      </c>
      <c r="H72" s="44" t="s">
        <v>730</v>
      </c>
      <c r="I72" s="44" t="s">
        <v>75</v>
      </c>
      <c r="J72" s="45">
        <v>37.963810327619463</v>
      </c>
      <c r="K72" s="45">
        <v>69.999899999999997</v>
      </c>
      <c r="L72" s="47">
        <f t="shared" si="20"/>
        <v>3.7964000000000002</v>
      </c>
      <c r="M72" s="48">
        <f t="shared" si="21"/>
        <v>70</v>
      </c>
      <c r="O72" s="44" t="s">
        <v>731</v>
      </c>
      <c r="P72" s="44" t="s">
        <v>77</v>
      </c>
      <c r="Q72" s="45">
        <v>46.891352605522755</v>
      </c>
      <c r="R72" s="45">
        <v>72.999899999999997</v>
      </c>
      <c r="S72" s="47">
        <f t="shared" si="22"/>
        <v>4.6890999999999998</v>
      </c>
      <c r="T72" s="48">
        <f t="shared" si="23"/>
        <v>73</v>
      </c>
      <c r="V72" s="44" t="s">
        <v>732</v>
      </c>
      <c r="W72" s="44" t="s">
        <v>79</v>
      </c>
      <c r="X72" s="45">
        <v>57.772883610692411</v>
      </c>
      <c r="Y72" s="45">
        <v>73.999899999999997</v>
      </c>
      <c r="Z72" s="47">
        <f t="shared" si="24"/>
        <v>5.7773000000000003</v>
      </c>
      <c r="AA72" s="48">
        <f t="shared" si="25"/>
        <v>74</v>
      </c>
      <c r="AC72" s="44" t="s">
        <v>733</v>
      </c>
      <c r="AD72" s="44" t="s">
        <v>81</v>
      </c>
      <c r="AE72" s="45">
        <v>74.666320827416456</v>
      </c>
      <c r="AF72" s="45">
        <v>75.999899999999997</v>
      </c>
      <c r="AG72" s="47">
        <f t="shared" si="26"/>
        <v>7.4665999999999997</v>
      </c>
      <c r="AH72" s="48">
        <f t="shared" si="27"/>
        <v>76</v>
      </c>
      <c r="AJ72" s="44" t="s">
        <v>734</v>
      </c>
      <c r="AK72" s="44" t="s">
        <v>83</v>
      </c>
      <c r="AL72" s="45">
        <v>90.021838014481148</v>
      </c>
      <c r="AM72" s="45">
        <v>79.999899999999997</v>
      </c>
      <c r="AN72" s="47">
        <f t="shared" si="28"/>
        <v>9.0022000000000002</v>
      </c>
      <c r="AO72" s="48">
        <f t="shared" si="29"/>
        <v>80</v>
      </c>
      <c r="AQ72" s="44" t="s">
        <v>735</v>
      </c>
      <c r="AR72" s="44" t="s">
        <v>85</v>
      </c>
      <c r="AS72" s="45">
        <v>101.90273597281991</v>
      </c>
      <c r="AT72" s="45">
        <v>84.999899999999997</v>
      </c>
      <c r="AU72" s="47">
        <f t="shared" si="30"/>
        <v>10.190300000000001</v>
      </c>
      <c r="AV72" s="48">
        <f t="shared" si="31"/>
        <v>85</v>
      </c>
      <c r="AX72" s="44" t="s">
        <v>736</v>
      </c>
      <c r="AY72" s="44" t="s">
        <v>87</v>
      </c>
      <c r="AZ72" s="45">
        <v>106.98081487427272</v>
      </c>
      <c r="BA72" s="45">
        <v>89.999899999999997</v>
      </c>
      <c r="BB72" s="47">
        <f t="shared" si="18"/>
        <v>10.6981</v>
      </c>
      <c r="BC72" s="48">
        <f t="shared" si="19"/>
        <v>90</v>
      </c>
      <c r="BE72" s="44" t="s">
        <v>737</v>
      </c>
      <c r="BF72" s="44" t="s">
        <v>89</v>
      </c>
      <c r="BG72" s="45">
        <v>149.77998176386046</v>
      </c>
      <c r="BH72" s="45">
        <v>99.999899999999997</v>
      </c>
      <c r="BI72" s="47">
        <f t="shared" si="32"/>
        <v>14.978</v>
      </c>
      <c r="BJ72" s="48">
        <f t="shared" si="33"/>
        <v>100</v>
      </c>
    </row>
    <row r="73" spans="1:62" x14ac:dyDescent="0.2">
      <c r="A73" s="44" t="s">
        <v>738</v>
      </c>
      <c r="B73" s="44" t="s">
        <v>73</v>
      </c>
      <c r="C73" s="45">
        <v>9.0752984589930499</v>
      </c>
      <c r="D73" s="45">
        <v>70.999899999999997</v>
      </c>
      <c r="E73" s="47">
        <f t="shared" si="34"/>
        <v>0.90749999999999997</v>
      </c>
      <c r="F73" s="48">
        <f t="shared" si="35"/>
        <v>71</v>
      </c>
      <c r="H73" s="44" t="s">
        <v>739</v>
      </c>
      <c r="I73" s="44" t="s">
        <v>75</v>
      </c>
      <c r="J73" s="45">
        <v>36.778936378039639</v>
      </c>
      <c r="K73" s="45">
        <v>70.999899999999997</v>
      </c>
      <c r="L73" s="47">
        <f t="shared" si="20"/>
        <v>3.6779000000000002</v>
      </c>
      <c r="M73" s="48">
        <f t="shared" si="21"/>
        <v>71</v>
      </c>
      <c r="O73" s="44" t="s">
        <v>740</v>
      </c>
      <c r="P73" s="44" t="s">
        <v>77</v>
      </c>
      <c r="Q73" s="45">
        <v>45.700876415046565</v>
      </c>
      <c r="R73" s="45">
        <v>73.999899999999997</v>
      </c>
      <c r="S73" s="47">
        <f t="shared" si="22"/>
        <v>4.5701000000000001</v>
      </c>
      <c r="T73" s="48">
        <f t="shared" si="23"/>
        <v>74</v>
      </c>
      <c r="V73" s="44" t="s">
        <v>741</v>
      </c>
      <c r="W73" s="44" t="s">
        <v>79</v>
      </c>
      <c r="X73" s="45">
        <v>56.565336440881076</v>
      </c>
      <c r="Y73" s="45">
        <v>74.999899999999997</v>
      </c>
      <c r="Z73" s="47">
        <f t="shared" si="24"/>
        <v>5.6565000000000003</v>
      </c>
      <c r="AA73" s="48">
        <f t="shared" si="25"/>
        <v>75</v>
      </c>
      <c r="AC73" s="44" t="s">
        <v>742</v>
      </c>
      <c r="AD73" s="44" t="s">
        <v>81</v>
      </c>
      <c r="AE73" s="45">
        <v>73.499654160749799</v>
      </c>
      <c r="AF73" s="45">
        <v>76.999899999999997</v>
      </c>
      <c r="AG73" s="47">
        <f t="shared" si="26"/>
        <v>7.35</v>
      </c>
      <c r="AH73" s="48">
        <f t="shared" si="27"/>
        <v>77</v>
      </c>
      <c r="AJ73" s="44" t="s">
        <v>743</v>
      </c>
      <c r="AK73" s="44" t="s">
        <v>83</v>
      </c>
      <c r="AL73" s="45">
        <v>88.886035545345337</v>
      </c>
      <c r="AM73" s="45">
        <v>80.999899999999997</v>
      </c>
      <c r="AN73" s="47">
        <f t="shared" si="28"/>
        <v>8.8886000000000003</v>
      </c>
      <c r="AO73" s="48">
        <f t="shared" si="29"/>
        <v>81</v>
      </c>
      <c r="AQ73" s="44" t="s">
        <v>744</v>
      </c>
      <c r="AR73" s="44" t="s">
        <v>85</v>
      </c>
      <c r="AS73" s="45">
        <v>100.97736283849156</v>
      </c>
      <c r="AT73" s="45">
        <v>85.999899999999997</v>
      </c>
      <c r="AU73" s="47">
        <f t="shared" si="30"/>
        <v>10.0977</v>
      </c>
      <c r="AV73" s="48">
        <f t="shared" si="31"/>
        <v>86</v>
      </c>
      <c r="AX73" s="44" t="s">
        <v>745</v>
      </c>
      <c r="AY73" s="44" t="s">
        <v>87</v>
      </c>
      <c r="AZ73" s="45">
        <v>105.98081487427272</v>
      </c>
      <c r="BA73" s="45">
        <v>90.999899999999997</v>
      </c>
      <c r="BB73" s="47">
        <f t="shared" si="18"/>
        <v>10.598100000000001</v>
      </c>
      <c r="BC73" s="48">
        <f t="shared" si="19"/>
        <v>91</v>
      </c>
      <c r="BE73" s="44" t="s">
        <v>746</v>
      </c>
      <c r="BF73" s="44" t="s">
        <v>89</v>
      </c>
      <c r="BG73" s="45">
        <v>149.43256392348485</v>
      </c>
      <c r="BH73" s="45">
        <v>100.9999</v>
      </c>
      <c r="BI73" s="47">
        <f t="shared" si="32"/>
        <v>14.943300000000001</v>
      </c>
      <c r="BJ73" s="48">
        <f t="shared" si="33"/>
        <v>101</v>
      </c>
    </row>
    <row r="74" spans="1:62" x14ac:dyDescent="0.2">
      <c r="A74" s="44" t="s">
        <v>747</v>
      </c>
      <c r="B74" s="44" t="s">
        <v>73</v>
      </c>
      <c r="C74" s="45">
        <v>7.7480257317203076</v>
      </c>
      <c r="D74" s="45">
        <v>71.999899999999997</v>
      </c>
      <c r="E74" s="47">
        <f t="shared" si="34"/>
        <v>0.77480000000000004</v>
      </c>
      <c r="F74" s="48">
        <f t="shared" si="35"/>
        <v>72</v>
      </c>
      <c r="H74" s="44" t="s">
        <v>748</v>
      </c>
      <c r="I74" s="44" t="s">
        <v>75</v>
      </c>
      <c r="J74" s="45">
        <v>35.594062428459807</v>
      </c>
      <c r="K74" s="45">
        <v>71.999899999999997</v>
      </c>
      <c r="L74" s="47">
        <f t="shared" si="20"/>
        <v>3.5594000000000001</v>
      </c>
      <c r="M74" s="48">
        <f t="shared" si="21"/>
        <v>72</v>
      </c>
      <c r="O74" s="44" t="s">
        <v>749</v>
      </c>
      <c r="P74" s="44" t="s">
        <v>77</v>
      </c>
      <c r="Q74" s="45">
        <v>44.510400224570368</v>
      </c>
      <c r="R74" s="45">
        <v>74.999899999999997</v>
      </c>
      <c r="S74" s="47">
        <f t="shared" si="22"/>
        <v>4.4509999999999996</v>
      </c>
      <c r="T74" s="48">
        <f t="shared" si="23"/>
        <v>75</v>
      </c>
      <c r="V74" s="44" t="s">
        <v>750</v>
      </c>
      <c r="W74" s="44" t="s">
        <v>79</v>
      </c>
      <c r="X74" s="45">
        <v>55.357789271069763</v>
      </c>
      <c r="Y74" s="45">
        <v>75.999899999999997</v>
      </c>
      <c r="Z74" s="47">
        <f t="shared" si="24"/>
        <v>5.5358000000000001</v>
      </c>
      <c r="AA74" s="48">
        <f t="shared" si="25"/>
        <v>76</v>
      </c>
      <c r="AC74" s="44" t="s">
        <v>751</v>
      </c>
      <c r="AD74" s="44" t="s">
        <v>81</v>
      </c>
      <c r="AE74" s="45">
        <v>72.332987494083127</v>
      </c>
      <c r="AF74" s="45">
        <v>77.999899999999997</v>
      </c>
      <c r="AG74" s="47">
        <f t="shared" si="26"/>
        <v>7.2332999999999998</v>
      </c>
      <c r="AH74" s="48">
        <f t="shared" si="27"/>
        <v>78</v>
      </c>
      <c r="AJ74" s="44" t="s">
        <v>752</v>
      </c>
      <c r="AK74" s="44" t="s">
        <v>83</v>
      </c>
      <c r="AL74" s="45">
        <v>87.75023307620954</v>
      </c>
      <c r="AM74" s="45">
        <v>81.999899999999997</v>
      </c>
      <c r="AN74" s="47">
        <f t="shared" si="28"/>
        <v>8.7750000000000004</v>
      </c>
      <c r="AO74" s="48">
        <f t="shared" si="29"/>
        <v>82</v>
      </c>
      <c r="AQ74" s="44" t="s">
        <v>753</v>
      </c>
      <c r="AR74" s="44" t="s">
        <v>85</v>
      </c>
      <c r="AS74" s="45">
        <v>100.0519897041632</v>
      </c>
      <c r="AT74" s="45">
        <v>86.999899999999997</v>
      </c>
      <c r="AU74" s="47">
        <f t="shared" si="30"/>
        <v>10.0052</v>
      </c>
      <c r="AV74" s="48">
        <f t="shared" si="31"/>
        <v>87</v>
      </c>
      <c r="AX74" s="44" t="s">
        <v>754</v>
      </c>
      <c r="AY74" s="44" t="s">
        <v>87</v>
      </c>
      <c r="AZ74" s="45">
        <v>104.9999</v>
      </c>
      <c r="BA74" s="45">
        <v>91.999899999999997</v>
      </c>
      <c r="BB74" s="47">
        <f t="shared" si="18"/>
        <v>10.5</v>
      </c>
      <c r="BC74" s="48">
        <f t="shared" si="19"/>
        <v>92</v>
      </c>
      <c r="BE74" s="44" t="s">
        <v>755</v>
      </c>
      <c r="BF74" s="44" t="s">
        <v>89</v>
      </c>
      <c r="BG74" s="45">
        <v>149.08514608310927</v>
      </c>
      <c r="BH74" s="45">
        <v>101.9999</v>
      </c>
      <c r="BI74" s="47">
        <f t="shared" si="32"/>
        <v>14.9085</v>
      </c>
      <c r="BJ74" s="48">
        <f t="shared" si="33"/>
        <v>102</v>
      </c>
    </row>
    <row r="75" spans="1:62" x14ac:dyDescent="0.2">
      <c r="A75" s="44" t="s">
        <v>756</v>
      </c>
      <c r="B75" s="44" t="s">
        <v>73</v>
      </c>
      <c r="C75" s="45">
        <v>6.4207530044475938</v>
      </c>
      <c r="D75" s="45">
        <v>72.999899999999997</v>
      </c>
      <c r="E75" s="47">
        <f t="shared" si="34"/>
        <v>0.6421</v>
      </c>
      <c r="F75" s="48">
        <f t="shared" si="35"/>
        <v>73</v>
      </c>
      <c r="H75" s="44" t="s">
        <v>757</v>
      </c>
      <c r="I75" s="44" t="s">
        <v>75</v>
      </c>
      <c r="J75" s="45">
        <v>34.409188478879962</v>
      </c>
      <c r="K75" s="45">
        <v>72.999899999999997</v>
      </c>
      <c r="L75" s="47">
        <f t="shared" si="20"/>
        <v>3.4409000000000001</v>
      </c>
      <c r="M75" s="48">
        <f t="shared" si="21"/>
        <v>73</v>
      </c>
      <c r="O75" s="44" t="s">
        <v>758</v>
      </c>
      <c r="P75" s="44" t="s">
        <v>77</v>
      </c>
      <c r="Q75" s="45">
        <v>43.319924034094178</v>
      </c>
      <c r="R75" s="45">
        <v>75.999899999999997</v>
      </c>
      <c r="S75" s="47">
        <f t="shared" si="22"/>
        <v>4.3319999999999999</v>
      </c>
      <c r="T75" s="48">
        <f t="shared" si="23"/>
        <v>76</v>
      </c>
      <c r="V75" s="44" t="s">
        <v>759</v>
      </c>
      <c r="W75" s="44" t="s">
        <v>79</v>
      </c>
      <c r="X75" s="45">
        <v>54.150242101258449</v>
      </c>
      <c r="Y75" s="45">
        <v>76.999899999999997</v>
      </c>
      <c r="Z75" s="47">
        <f t="shared" si="24"/>
        <v>5.415</v>
      </c>
      <c r="AA75" s="48">
        <f t="shared" si="25"/>
        <v>77</v>
      </c>
      <c r="AC75" s="44" t="s">
        <v>760</v>
      </c>
      <c r="AD75" s="44" t="s">
        <v>81</v>
      </c>
      <c r="AE75" s="45">
        <v>71.16632082741647</v>
      </c>
      <c r="AF75" s="45">
        <v>78.999899999999997</v>
      </c>
      <c r="AG75" s="47">
        <f t="shared" si="26"/>
        <v>7.1166</v>
      </c>
      <c r="AH75" s="48">
        <f t="shared" si="27"/>
        <v>79</v>
      </c>
      <c r="AJ75" s="44" t="s">
        <v>761</v>
      </c>
      <c r="AK75" s="44" t="s">
        <v>83</v>
      </c>
      <c r="AL75" s="45">
        <v>86.614430607073729</v>
      </c>
      <c r="AM75" s="45">
        <v>82.999899999999997</v>
      </c>
      <c r="AN75" s="47">
        <f t="shared" si="28"/>
        <v>8.6614000000000004</v>
      </c>
      <c r="AO75" s="48">
        <f t="shared" si="29"/>
        <v>83</v>
      </c>
      <c r="AQ75" s="44" t="s">
        <v>762</v>
      </c>
      <c r="AR75" s="44" t="s">
        <v>85</v>
      </c>
      <c r="AS75" s="45">
        <v>99.126616569834837</v>
      </c>
      <c r="AT75" s="45">
        <v>87.999899999999997</v>
      </c>
      <c r="AU75" s="47">
        <f t="shared" si="30"/>
        <v>9.9126999999999992</v>
      </c>
      <c r="AV75" s="48">
        <f t="shared" si="31"/>
        <v>88</v>
      </c>
      <c r="AX75" s="44" t="s">
        <v>763</v>
      </c>
      <c r="AY75" s="44" t="s">
        <v>87</v>
      </c>
      <c r="AZ75" s="45">
        <v>103.98081487427271</v>
      </c>
      <c r="BA75" s="45">
        <v>92.999899999999997</v>
      </c>
      <c r="BB75" s="47">
        <f t="shared" si="18"/>
        <v>10.398099999999999</v>
      </c>
      <c r="BC75" s="48">
        <f t="shared" si="19"/>
        <v>93</v>
      </c>
      <c r="BE75" s="44" t="s">
        <v>764</v>
      </c>
      <c r="BF75" s="44" t="s">
        <v>89</v>
      </c>
      <c r="BG75" s="45">
        <v>148.73345182300443</v>
      </c>
      <c r="BH75" s="45">
        <v>102.9999</v>
      </c>
      <c r="BI75" s="47">
        <f t="shared" si="32"/>
        <v>14.8733</v>
      </c>
      <c r="BJ75" s="48">
        <f t="shared" si="33"/>
        <v>103</v>
      </c>
    </row>
    <row r="76" spans="1:62" x14ac:dyDescent="0.2">
      <c r="A76" s="44" t="s">
        <v>765</v>
      </c>
      <c r="B76" s="44" t="s">
        <v>73</v>
      </c>
      <c r="C76" s="45">
        <v>5.0934802771748515</v>
      </c>
      <c r="D76" s="45">
        <v>73.999899999999997</v>
      </c>
      <c r="E76" s="47">
        <f t="shared" si="34"/>
        <v>0.50929999999999997</v>
      </c>
      <c r="F76" s="48">
        <f t="shared" si="35"/>
        <v>74</v>
      </c>
      <c r="H76" s="44" t="s">
        <v>766</v>
      </c>
      <c r="I76" s="44" t="s">
        <v>75</v>
      </c>
      <c r="J76" s="45">
        <v>33.233590508971027</v>
      </c>
      <c r="K76" s="45">
        <v>73.999899999999997</v>
      </c>
      <c r="L76" s="47">
        <f t="shared" si="20"/>
        <v>3.3233999999999999</v>
      </c>
      <c r="M76" s="48">
        <f t="shared" si="21"/>
        <v>74</v>
      </c>
      <c r="O76" s="44" t="s">
        <v>767</v>
      </c>
      <c r="P76" s="44" t="s">
        <v>77</v>
      </c>
      <c r="Q76" s="45">
        <v>42.129447843617982</v>
      </c>
      <c r="R76" s="45">
        <v>76.999899999999997</v>
      </c>
      <c r="S76" s="47">
        <f t="shared" si="22"/>
        <v>4.2129000000000003</v>
      </c>
      <c r="T76" s="48">
        <f t="shared" si="23"/>
        <v>77</v>
      </c>
      <c r="V76" s="44" t="s">
        <v>768</v>
      </c>
      <c r="W76" s="44" t="s">
        <v>79</v>
      </c>
      <c r="X76" s="45">
        <v>52.942694931447114</v>
      </c>
      <c r="Y76" s="45">
        <v>77.999899999999997</v>
      </c>
      <c r="Z76" s="47">
        <f t="shared" si="24"/>
        <v>5.2942999999999998</v>
      </c>
      <c r="AA76" s="48">
        <f t="shared" si="25"/>
        <v>78</v>
      </c>
      <c r="AC76" s="44" t="s">
        <v>769</v>
      </c>
      <c r="AD76" s="44" t="s">
        <v>81</v>
      </c>
      <c r="AE76" s="45">
        <v>70.045812725313397</v>
      </c>
      <c r="AF76" s="45">
        <v>79.999899999999997</v>
      </c>
      <c r="AG76" s="47">
        <f t="shared" si="26"/>
        <v>7.0045999999999999</v>
      </c>
      <c r="AH76" s="48">
        <f t="shared" si="27"/>
        <v>80</v>
      </c>
      <c r="AJ76" s="44" t="s">
        <v>770</v>
      </c>
      <c r="AK76" s="44" t="s">
        <v>83</v>
      </c>
      <c r="AL76" s="45">
        <v>85.478628137937932</v>
      </c>
      <c r="AM76" s="45">
        <v>83.999899999999997</v>
      </c>
      <c r="AN76" s="47">
        <f t="shared" si="28"/>
        <v>8.5479000000000003</v>
      </c>
      <c r="AO76" s="48">
        <f t="shared" si="29"/>
        <v>84</v>
      </c>
      <c r="AQ76" s="44" t="s">
        <v>771</v>
      </c>
      <c r="AR76" s="44" t="s">
        <v>85</v>
      </c>
      <c r="AS76" s="45">
        <v>98.201243435506484</v>
      </c>
      <c r="AT76" s="45">
        <v>88.999899999999997</v>
      </c>
      <c r="AU76" s="47">
        <f t="shared" si="30"/>
        <v>9.8201000000000001</v>
      </c>
      <c r="AV76" s="48">
        <f t="shared" si="31"/>
        <v>89</v>
      </c>
      <c r="AX76" s="44" t="s">
        <v>772</v>
      </c>
      <c r="AY76" s="44" t="s">
        <v>87</v>
      </c>
      <c r="AZ76" s="45">
        <v>102.98081487427271</v>
      </c>
      <c r="BA76" s="45">
        <v>93.999899999999997</v>
      </c>
      <c r="BB76" s="47">
        <f t="shared" si="18"/>
        <v>10.2981</v>
      </c>
      <c r="BC76" s="48">
        <f t="shared" si="19"/>
        <v>94</v>
      </c>
      <c r="BE76" s="44" t="s">
        <v>773</v>
      </c>
      <c r="BF76" s="44" t="s">
        <v>89</v>
      </c>
      <c r="BG76" s="45">
        <v>148.37919173331835</v>
      </c>
      <c r="BH76" s="45">
        <v>103.9999</v>
      </c>
      <c r="BI76" s="47">
        <f t="shared" si="32"/>
        <v>14.837899999999999</v>
      </c>
      <c r="BJ76" s="48">
        <f t="shared" si="33"/>
        <v>104</v>
      </c>
    </row>
    <row r="77" spans="1:62" x14ac:dyDescent="0.2">
      <c r="A77" s="44" t="s">
        <v>774</v>
      </c>
      <c r="B77" s="44" t="s">
        <v>73</v>
      </c>
      <c r="C77" s="45">
        <v>3.9088537592057011</v>
      </c>
      <c r="D77" s="45">
        <v>74.999899999999997</v>
      </c>
      <c r="E77" s="47">
        <f t="shared" si="34"/>
        <v>0.39090000000000003</v>
      </c>
      <c r="F77" s="48">
        <f t="shared" si="35"/>
        <v>75</v>
      </c>
      <c r="H77" s="44" t="s">
        <v>775</v>
      </c>
      <c r="I77" s="44" t="s">
        <v>75</v>
      </c>
      <c r="J77" s="45">
        <v>32.1313177816983</v>
      </c>
      <c r="K77" s="45">
        <v>74.999899999999997</v>
      </c>
      <c r="L77" s="47">
        <f t="shared" si="20"/>
        <v>3.2130999999999998</v>
      </c>
      <c r="M77" s="48">
        <f t="shared" si="21"/>
        <v>75</v>
      </c>
      <c r="O77" s="44" t="s">
        <v>776</v>
      </c>
      <c r="P77" s="44" t="s">
        <v>77</v>
      </c>
      <c r="Q77" s="45">
        <v>40.938971653141792</v>
      </c>
      <c r="R77" s="45">
        <v>77.999899999999997</v>
      </c>
      <c r="S77" s="47">
        <f t="shared" si="22"/>
        <v>4.0938999999999997</v>
      </c>
      <c r="T77" s="48">
        <f t="shared" si="23"/>
        <v>78</v>
      </c>
      <c r="V77" s="44" t="s">
        <v>777</v>
      </c>
      <c r="W77" s="44" t="s">
        <v>79</v>
      </c>
      <c r="X77" s="45">
        <v>51.735147761635801</v>
      </c>
      <c r="Y77" s="45">
        <v>78.999899999999997</v>
      </c>
      <c r="Z77" s="47">
        <f t="shared" si="24"/>
        <v>5.1734999999999998</v>
      </c>
      <c r="AA77" s="48">
        <f t="shared" si="25"/>
        <v>79</v>
      </c>
      <c r="AC77" s="44" t="s">
        <v>778</v>
      </c>
      <c r="AD77" s="44" t="s">
        <v>81</v>
      </c>
      <c r="AE77" s="45">
        <v>69.001036605910429</v>
      </c>
      <c r="AF77" s="45">
        <v>80.999899999999997</v>
      </c>
      <c r="AG77" s="47">
        <f t="shared" si="26"/>
        <v>6.9001000000000001</v>
      </c>
      <c r="AH77" s="48">
        <f t="shared" si="27"/>
        <v>81</v>
      </c>
      <c r="AJ77" s="44" t="s">
        <v>779</v>
      </c>
      <c r="AK77" s="44" t="s">
        <v>83</v>
      </c>
      <c r="AL77" s="45">
        <v>84.342825668802135</v>
      </c>
      <c r="AM77" s="45">
        <v>84.999899999999997</v>
      </c>
      <c r="AN77" s="47">
        <f t="shared" si="28"/>
        <v>8.4343000000000004</v>
      </c>
      <c r="AO77" s="48">
        <f t="shared" si="29"/>
        <v>85</v>
      </c>
      <c r="AQ77" s="44" t="s">
        <v>780</v>
      </c>
      <c r="AR77" s="44" t="s">
        <v>85</v>
      </c>
      <c r="AS77" s="45">
        <v>97.275870301178117</v>
      </c>
      <c r="AT77" s="45">
        <v>89.999899999999997</v>
      </c>
      <c r="AU77" s="47">
        <f t="shared" si="30"/>
        <v>9.7276000000000007</v>
      </c>
      <c r="AV77" s="48">
        <f t="shared" si="31"/>
        <v>90</v>
      </c>
      <c r="AX77" s="44" t="s">
        <v>781</v>
      </c>
      <c r="AY77" s="44" t="s">
        <v>87</v>
      </c>
      <c r="AZ77" s="45">
        <v>101.98226657948109</v>
      </c>
      <c r="BA77" s="45">
        <v>94.999899999999997</v>
      </c>
      <c r="BB77" s="47">
        <f t="shared" si="18"/>
        <v>10.1982</v>
      </c>
      <c r="BC77" s="48">
        <f t="shared" si="19"/>
        <v>95</v>
      </c>
      <c r="BE77" s="44" t="s">
        <v>782</v>
      </c>
      <c r="BF77" s="44" t="s">
        <v>89</v>
      </c>
      <c r="BG77" s="45">
        <v>148.02493164363224</v>
      </c>
      <c r="BH77" s="45">
        <v>104.9999</v>
      </c>
      <c r="BI77" s="47">
        <f t="shared" si="32"/>
        <v>14.8025</v>
      </c>
      <c r="BJ77" s="48">
        <f t="shared" si="33"/>
        <v>105</v>
      </c>
    </row>
    <row r="78" spans="1:62" x14ac:dyDescent="0.2">
      <c r="A78" s="44" t="s">
        <v>783</v>
      </c>
      <c r="B78" s="44" t="s">
        <v>73</v>
      </c>
      <c r="C78" s="45">
        <v>2.8035906013109613</v>
      </c>
      <c r="D78" s="45">
        <v>75.999899999999997</v>
      </c>
      <c r="E78" s="47">
        <f t="shared" si="34"/>
        <v>0.28039999999999998</v>
      </c>
      <c r="F78" s="48">
        <f t="shared" si="35"/>
        <v>76</v>
      </c>
      <c r="H78" s="44" t="s">
        <v>784</v>
      </c>
      <c r="I78" s="44" t="s">
        <v>75</v>
      </c>
      <c r="J78" s="45">
        <v>31.02904505442557</v>
      </c>
      <c r="K78" s="45">
        <v>75.999899999999997</v>
      </c>
      <c r="L78" s="47">
        <f t="shared" si="20"/>
        <v>3.1029</v>
      </c>
      <c r="M78" s="48">
        <f t="shared" si="21"/>
        <v>76</v>
      </c>
      <c r="O78" s="44" t="s">
        <v>785</v>
      </c>
      <c r="P78" s="44" t="s">
        <v>77</v>
      </c>
      <c r="Q78" s="45">
        <v>39.748495462665595</v>
      </c>
      <c r="R78" s="45">
        <v>78.999899999999997</v>
      </c>
      <c r="S78" s="47">
        <f t="shared" si="22"/>
        <v>3.9748000000000001</v>
      </c>
      <c r="T78" s="48">
        <f t="shared" si="23"/>
        <v>79</v>
      </c>
      <c r="V78" s="44" t="s">
        <v>786</v>
      </c>
      <c r="W78" s="44" t="s">
        <v>79</v>
      </c>
      <c r="X78" s="45">
        <v>50.527600591824488</v>
      </c>
      <c r="Y78" s="45">
        <v>79.999899999999997</v>
      </c>
      <c r="Z78" s="47">
        <f t="shared" si="24"/>
        <v>5.0528000000000004</v>
      </c>
      <c r="AA78" s="48">
        <f t="shared" si="25"/>
        <v>80</v>
      </c>
      <c r="AC78" s="44" t="s">
        <v>787</v>
      </c>
      <c r="AD78" s="44" t="s">
        <v>81</v>
      </c>
      <c r="AE78" s="45">
        <v>67.956260486507432</v>
      </c>
      <c r="AF78" s="45">
        <v>81.999899999999997</v>
      </c>
      <c r="AG78" s="47">
        <f t="shared" si="26"/>
        <v>6.7956000000000003</v>
      </c>
      <c r="AH78" s="48">
        <f t="shared" si="27"/>
        <v>82</v>
      </c>
      <c r="AJ78" s="44" t="s">
        <v>788</v>
      </c>
      <c r="AK78" s="44" t="s">
        <v>83</v>
      </c>
      <c r="AL78" s="45">
        <v>83.298784240488686</v>
      </c>
      <c r="AM78" s="45">
        <v>85.999899999999997</v>
      </c>
      <c r="AN78" s="47">
        <f t="shared" si="28"/>
        <v>8.3299000000000003</v>
      </c>
      <c r="AO78" s="48">
        <f t="shared" si="29"/>
        <v>86</v>
      </c>
      <c r="AQ78" s="44" t="s">
        <v>789</v>
      </c>
      <c r="AR78" s="44" t="s">
        <v>85</v>
      </c>
      <c r="AS78" s="45">
        <v>96.350497166849763</v>
      </c>
      <c r="AT78" s="45">
        <v>90.999899999999997</v>
      </c>
      <c r="AU78" s="47">
        <f t="shared" si="30"/>
        <v>9.6349999999999998</v>
      </c>
      <c r="AV78" s="48">
        <f t="shared" si="31"/>
        <v>91</v>
      </c>
      <c r="AX78" s="44" t="s">
        <v>790</v>
      </c>
      <c r="AY78" s="44" t="s">
        <v>87</v>
      </c>
      <c r="AZ78" s="45">
        <v>101.0011345040094</v>
      </c>
      <c r="BA78" s="45">
        <v>95.999899999999997</v>
      </c>
      <c r="BB78" s="47">
        <f t="shared" si="18"/>
        <v>10.100099999999999</v>
      </c>
      <c r="BC78" s="48">
        <f t="shared" si="19"/>
        <v>96</v>
      </c>
      <c r="BE78" s="44" t="s">
        <v>791</v>
      </c>
      <c r="BF78" s="44" t="s">
        <v>89</v>
      </c>
      <c r="BG78" s="45">
        <v>147.67067155394614</v>
      </c>
      <c r="BH78" s="45">
        <v>105.9999</v>
      </c>
      <c r="BI78" s="47">
        <f t="shared" si="32"/>
        <v>14.767099999999999</v>
      </c>
      <c r="BJ78" s="48">
        <f t="shared" si="33"/>
        <v>106</v>
      </c>
    </row>
    <row r="79" spans="1:62" x14ac:dyDescent="0.2">
      <c r="A79" s="44" t="s">
        <v>792</v>
      </c>
      <c r="B79" s="44" t="s">
        <v>73</v>
      </c>
      <c r="C79" s="45">
        <v>1.6983274434162217</v>
      </c>
      <c r="D79" s="45">
        <v>76.999899999999997</v>
      </c>
      <c r="E79" s="47">
        <f t="shared" si="34"/>
        <v>0.16980000000000001</v>
      </c>
      <c r="F79" s="48">
        <f t="shared" si="35"/>
        <v>77</v>
      </c>
      <c r="H79" s="44" t="s">
        <v>793</v>
      </c>
      <c r="I79" s="44" t="s">
        <v>75</v>
      </c>
      <c r="J79" s="45">
        <v>29.92677232715284</v>
      </c>
      <c r="K79" s="45">
        <v>76.999899999999997</v>
      </c>
      <c r="L79" s="47">
        <f t="shared" si="20"/>
        <v>2.9927000000000001</v>
      </c>
      <c r="M79" s="48">
        <f t="shared" si="21"/>
        <v>77</v>
      </c>
      <c r="O79" s="44" t="s">
        <v>794</v>
      </c>
      <c r="P79" s="44" t="s">
        <v>77</v>
      </c>
      <c r="Q79" s="45">
        <v>38.558019272189405</v>
      </c>
      <c r="R79" s="45">
        <v>79.999899999999997</v>
      </c>
      <c r="S79" s="47">
        <f t="shared" si="22"/>
        <v>3.8557999999999999</v>
      </c>
      <c r="T79" s="48">
        <f t="shared" si="23"/>
        <v>80</v>
      </c>
      <c r="V79" s="44" t="s">
        <v>795</v>
      </c>
      <c r="W79" s="44" t="s">
        <v>79</v>
      </c>
      <c r="X79" s="45">
        <v>49.320053422013174</v>
      </c>
      <c r="Y79" s="45">
        <v>80.999899999999997</v>
      </c>
      <c r="Z79" s="47">
        <f t="shared" si="24"/>
        <v>4.9320000000000004</v>
      </c>
      <c r="AA79" s="48">
        <f t="shared" si="25"/>
        <v>81</v>
      </c>
      <c r="AC79" s="44" t="s">
        <v>796</v>
      </c>
      <c r="AD79" s="44" t="s">
        <v>81</v>
      </c>
      <c r="AE79" s="45">
        <v>66.911484367104435</v>
      </c>
      <c r="AF79" s="45">
        <v>82.999899999999997</v>
      </c>
      <c r="AG79" s="47">
        <f t="shared" si="26"/>
        <v>6.6910999999999996</v>
      </c>
      <c r="AH79" s="48">
        <f t="shared" si="27"/>
        <v>83</v>
      </c>
      <c r="AJ79" s="44" t="s">
        <v>797</v>
      </c>
      <c r="AK79" s="44" t="s">
        <v>83</v>
      </c>
      <c r="AL79" s="45">
        <v>82.278582220286665</v>
      </c>
      <c r="AM79" s="45">
        <v>86.999899999999997</v>
      </c>
      <c r="AN79" s="47">
        <f t="shared" si="28"/>
        <v>8.2279</v>
      </c>
      <c r="AO79" s="48">
        <f t="shared" si="29"/>
        <v>87</v>
      </c>
      <c r="AQ79" s="44" t="s">
        <v>798</v>
      </c>
      <c r="AR79" s="44" t="s">
        <v>85</v>
      </c>
      <c r="AS79" s="45">
        <v>95.42512403252141</v>
      </c>
      <c r="AT79" s="45">
        <v>91.999899999999997</v>
      </c>
      <c r="AU79" s="47">
        <f t="shared" si="30"/>
        <v>9.5425000000000004</v>
      </c>
      <c r="AV79" s="48">
        <f t="shared" si="31"/>
        <v>92</v>
      </c>
      <c r="AX79" s="44" t="s">
        <v>799</v>
      </c>
      <c r="AY79" s="44" t="s">
        <v>87</v>
      </c>
      <c r="AZ79" s="45">
        <v>100.02000242853769</v>
      </c>
      <c r="BA79" s="45">
        <v>96.999899999999997</v>
      </c>
      <c r="BB79" s="47">
        <f t="shared" si="18"/>
        <v>10.002000000000001</v>
      </c>
      <c r="BC79" s="48">
        <f t="shared" si="19"/>
        <v>97</v>
      </c>
      <c r="BE79" s="44" t="s">
        <v>800</v>
      </c>
      <c r="BF79" s="44" t="s">
        <v>89</v>
      </c>
      <c r="BG79" s="45">
        <v>147.31641146426006</v>
      </c>
      <c r="BH79" s="45">
        <v>106.9999</v>
      </c>
      <c r="BI79" s="47">
        <f t="shared" si="32"/>
        <v>14.7316</v>
      </c>
      <c r="BJ79" s="48">
        <f t="shared" si="33"/>
        <v>107</v>
      </c>
    </row>
    <row r="80" spans="1:62" x14ac:dyDescent="0.2">
      <c r="A80" s="44" t="s">
        <v>801</v>
      </c>
      <c r="B80" s="44" t="s">
        <v>73</v>
      </c>
      <c r="C80" s="45">
        <v>0.59306428552151025</v>
      </c>
      <c r="D80" s="45">
        <v>77.999899999999997</v>
      </c>
      <c r="E80" s="47">
        <f t="shared" si="34"/>
        <v>5.9299999999999999E-2</v>
      </c>
      <c r="F80" s="48">
        <f t="shared" si="35"/>
        <v>78</v>
      </c>
      <c r="H80" s="44" t="s">
        <v>802</v>
      </c>
      <c r="I80" s="44" t="s">
        <v>75</v>
      </c>
      <c r="J80" s="45">
        <v>28.824499599880109</v>
      </c>
      <c r="K80" s="45">
        <v>77.999899999999997</v>
      </c>
      <c r="L80" s="47">
        <f t="shared" si="20"/>
        <v>2.8824000000000001</v>
      </c>
      <c r="M80" s="48">
        <f t="shared" si="21"/>
        <v>78</v>
      </c>
      <c r="O80" s="44" t="s">
        <v>803</v>
      </c>
      <c r="P80" s="44" t="s">
        <v>77</v>
      </c>
      <c r="Q80" s="45">
        <v>37.462965345056645</v>
      </c>
      <c r="R80" s="45">
        <v>80.999899999999997</v>
      </c>
      <c r="S80" s="47">
        <f t="shared" si="22"/>
        <v>3.7463000000000002</v>
      </c>
      <c r="T80" s="48">
        <f t="shared" si="23"/>
        <v>81</v>
      </c>
      <c r="V80" s="44" t="s">
        <v>804</v>
      </c>
      <c r="W80" s="44" t="s">
        <v>79</v>
      </c>
      <c r="X80" s="45">
        <v>48.11250625220184</v>
      </c>
      <c r="Y80" s="45">
        <v>81.999899999999997</v>
      </c>
      <c r="Z80" s="47">
        <f t="shared" si="24"/>
        <v>4.8113000000000001</v>
      </c>
      <c r="AA80" s="48">
        <f t="shared" si="25"/>
        <v>82</v>
      </c>
      <c r="AC80" s="44" t="s">
        <v>805</v>
      </c>
      <c r="AD80" s="44" t="s">
        <v>81</v>
      </c>
      <c r="AE80" s="45">
        <v>65.866708247701467</v>
      </c>
      <c r="AF80" s="45">
        <v>83.999899999999997</v>
      </c>
      <c r="AG80" s="47">
        <f t="shared" si="26"/>
        <v>6.5867000000000004</v>
      </c>
      <c r="AH80" s="48">
        <f t="shared" si="27"/>
        <v>84</v>
      </c>
      <c r="AJ80" s="44" t="s">
        <v>806</v>
      </c>
      <c r="AK80" s="44" t="s">
        <v>83</v>
      </c>
      <c r="AL80" s="45">
        <v>81.25838020008463</v>
      </c>
      <c r="AM80" s="45">
        <v>87.999899999999997</v>
      </c>
      <c r="AN80" s="47">
        <f t="shared" si="28"/>
        <v>8.1257999999999999</v>
      </c>
      <c r="AO80" s="48">
        <f t="shared" si="29"/>
        <v>88</v>
      </c>
      <c r="AQ80" s="44" t="s">
        <v>807</v>
      </c>
      <c r="AR80" s="44" t="s">
        <v>85</v>
      </c>
      <c r="AS80" s="45">
        <v>94.505734331396098</v>
      </c>
      <c r="AT80" s="45">
        <v>92.999899999999997</v>
      </c>
      <c r="AU80" s="47">
        <f t="shared" si="30"/>
        <v>9.4505999999999997</v>
      </c>
      <c r="AV80" s="48">
        <f t="shared" si="31"/>
        <v>93</v>
      </c>
      <c r="AX80" s="44" t="s">
        <v>808</v>
      </c>
      <c r="AY80" s="44" t="s">
        <v>87</v>
      </c>
      <c r="AZ80" s="45">
        <v>99.038870353065988</v>
      </c>
      <c r="BA80" s="45">
        <v>97.999899999999997</v>
      </c>
      <c r="BB80" s="47">
        <f t="shared" si="18"/>
        <v>9.9039000000000001</v>
      </c>
      <c r="BC80" s="48">
        <f t="shared" si="19"/>
        <v>98</v>
      </c>
      <c r="BE80" s="44" t="s">
        <v>809</v>
      </c>
      <c r="BF80" s="44" t="s">
        <v>89</v>
      </c>
      <c r="BG80" s="45">
        <v>146.96215137457395</v>
      </c>
      <c r="BH80" s="45">
        <v>107.9999</v>
      </c>
      <c r="BI80" s="47">
        <f t="shared" si="32"/>
        <v>14.696199999999999</v>
      </c>
      <c r="BJ80" s="48">
        <f t="shared" si="33"/>
        <v>108</v>
      </c>
    </row>
    <row r="81" spans="1:62" x14ac:dyDescent="0.2">
      <c r="A81" s="44" t="s">
        <v>810</v>
      </c>
      <c r="B81" s="44" t="s">
        <v>73</v>
      </c>
      <c r="C81" s="45">
        <v>-1E-4</v>
      </c>
      <c r="D81" s="45">
        <v>78.536572448805174</v>
      </c>
      <c r="E81" s="47">
        <f t="shared" si="34"/>
        <v>0</v>
      </c>
      <c r="F81" s="48">
        <f t="shared" si="35"/>
        <v>78.5</v>
      </c>
      <c r="H81" s="44" t="s">
        <v>811</v>
      </c>
      <c r="I81" s="44" t="s">
        <v>75</v>
      </c>
      <c r="J81" s="45">
        <v>27.722226872607379</v>
      </c>
      <c r="K81" s="45">
        <v>78.999899999999997</v>
      </c>
      <c r="L81" s="47">
        <f t="shared" si="20"/>
        <v>2.7722000000000002</v>
      </c>
      <c r="M81" s="48">
        <f t="shared" si="21"/>
        <v>79</v>
      </c>
      <c r="O81" s="44" t="s">
        <v>812</v>
      </c>
      <c r="P81" s="44" t="s">
        <v>77</v>
      </c>
      <c r="Q81" s="45">
        <v>36.420738526718146</v>
      </c>
      <c r="R81" s="45">
        <v>81.999899999999997</v>
      </c>
      <c r="S81" s="47">
        <f t="shared" si="22"/>
        <v>3.6421000000000001</v>
      </c>
      <c r="T81" s="48">
        <f t="shared" si="23"/>
        <v>82</v>
      </c>
      <c r="V81" s="44" t="s">
        <v>813</v>
      </c>
      <c r="W81" s="44" t="s">
        <v>79</v>
      </c>
      <c r="X81" s="45">
        <v>46.904959082390526</v>
      </c>
      <c r="Y81" s="45">
        <v>82.999899999999997</v>
      </c>
      <c r="Z81" s="47">
        <f t="shared" si="24"/>
        <v>4.6905000000000001</v>
      </c>
      <c r="AA81" s="48">
        <f t="shared" si="25"/>
        <v>83</v>
      </c>
      <c r="AC81" s="44" t="s">
        <v>814</v>
      </c>
      <c r="AD81" s="44" t="s">
        <v>81</v>
      </c>
      <c r="AE81" s="45">
        <v>64.821932128298485</v>
      </c>
      <c r="AF81" s="45">
        <v>84.999899999999997</v>
      </c>
      <c r="AG81" s="47">
        <f t="shared" si="26"/>
        <v>6.4821999999999997</v>
      </c>
      <c r="AH81" s="48">
        <f t="shared" si="27"/>
        <v>85</v>
      </c>
      <c r="AJ81" s="44" t="s">
        <v>815</v>
      </c>
      <c r="AK81" s="44" t="s">
        <v>83</v>
      </c>
      <c r="AL81" s="45">
        <v>80.238178179882624</v>
      </c>
      <c r="AM81" s="45">
        <v>88.999899999999997</v>
      </c>
      <c r="AN81" s="47">
        <f t="shared" si="28"/>
        <v>8.0237999999999996</v>
      </c>
      <c r="AO81" s="48">
        <f t="shared" si="29"/>
        <v>89</v>
      </c>
      <c r="AQ81" s="44" t="s">
        <v>816</v>
      </c>
      <c r="AR81" s="44" t="s">
        <v>85</v>
      </c>
      <c r="AS81" s="45">
        <v>93.588607259572896</v>
      </c>
      <c r="AT81" s="45">
        <v>93.999899999999997</v>
      </c>
      <c r="AU81" s="47">
        <f t="shared" si="30"/>
        <v>9.3589000000000002</v>
      </c>
      <c r="AV81" s="48">
        <f t="shared" si="31"/>
        <v>94</v>
      </c>
      <c r="AX81" s="44" t="s">
        <v>817</v>
      </c>
      <c r="AY81" s="44" t="s">
        <v>87</v>
      </c>
      <c r="AZ81" s="45">
        <v>98.05814358553782</v>
      </c>
      <c r="BA81" s="45">
        <v>98.999899999999997</v>
      </c>
      <c r="BB81" s="47">
        <f t="shared" si="18"/>
        <v>9.8057999999999996</v>
      </c>
      <c r="BC81" s="48">
        <f t="shared" si="19"/>
        <v>99</v>
      </c>
      <c r="BE81" s="44" t="s">
        <v>818</v>
      </c>
      <c r="BF81" s="44" t="s">
        <v>89</v>
      </c>
      <c r="BG81" s="45">
        <v>146.60789128488784</v>
      </c>
      <c r="BH81" s="45">
        <v>108.9999</v>
      </c>
      <c r="BI81" s="47">
        <f t="shared" si="32"/>
        <v>14.6608</v>
      </c>
      <c r="BJ81" s="48">
        <f t="shared" si="33"/>
        <v>109</v>
      </c>
    </row>
    <row r="82" spans="1:62" x14ac:dyDescent="0.2">
      <c r="H82" s="44" t="s">
        <v>819</v>
      </c>
      <c r="I82" s="44" t="s">
        <v>75</v>
      </c>
      <c r="J82" s="45">
        <v>26.630257984228759</v>
      </c>
      <c r="K82" s="45">
        <v>79.999899999999997</v>
      </c>
      <c r="L82" s="47">
        <f t="shared" si="20"/>
        <v>2.6629999999999998</v>
      </c>
      <c r="M82" s="48">
        <f t="shared" si="21"/>
        <v>80</v>
      </c>
      <c r="O82" s="44" t="s">
        <v>820</v>
      </c>
      <c r="P82" s="44" t="s">
        <v>77</v>
      </c>
      <c r="Q82" s="45">
        <v>35.378511708379641</v>
      </c>
      <c r="R82" s="45">
        <v>82.999899999999997</v>
      </c>
      <c r="S82" s="47">
        <f t="shared" si="22"/>
        <v>3.5379</v>
      </c>
      <c r="T82" s="48">
        <f t="shared" si="23"/>
        <v>83</v>
      </c>
      <c r="V82" s="44" t="s">
        <v>821</v>
      </c>
      <c r="W82" s="44" t="s">
        <v>79</v>
      </c>
      <c r="X82" s="45">
        <v>45.697411912579213</v>
      </c>
      <c r="Y82" s="45">
        <v>83.999899999999997</v>
      </c>
      <c r="Z82" s="47">
        <f t="shared" si="24"/>
        <v>4.5697000000000001</v>
      </c>
      <c r="AA82" s="48">
        <f t="shared" si="25"/>
        <v>84</v>
      </c>
      <c r="AC82" s="44" t="s">
        <v>822</v>
      </c>
      <c r="AD82" s="44" t="s">
        <v>81</v>
      </c>
      <c r="AE82" s="45">
        <v>63.812527293264331</v>
      </c>
      <c r="AF82" s="45">
        <v>85.999899999999997</v>
      </c>
      <c r="AG82" s="47">
        <f t="shared" si="26"/>
        <v>6.3813000000000004</v>
      </c>
      <c r="AH82" s="48">
        <f t="shared" si="27"/>
        <v>86</v>
      </c>
      <c r="AJ82" s="44" t="s">
        <v>823</v>
      </c>
      <c r="AK82" s="44" t="s">
        <v>83</v>
      </c>
      <c r="AL82" s="45">
        <v>79.217976159680603</v>
      </c>
      <c r="AM82" s="45">
        <v>89.999899999999997</v>
      </c>
      <c r="AN82" s="47">
        <f t="shared" si="28"/>
        <v>7.9218000000000002</v>
      </c>
      <c r="AO82" s="48">
        <f t="shared" si="29"/>
        <v>90</v>
      </c>
      <c r="AQ82" s="44" t="s">
        <v>824</v>
      </c>
      <c r="AR82" s="44" t="s">
        <v>85</v>
      </c>
      <c r="AS82" s="45">
        <v>92.671480187749708</v>
      </c>
      <c r="AT82" s="45">
        <v>94.999899999999997</v>
      </c>
      <c r="AU82" s="47">
        <f t="shared" si="30"/>
        <v>9.2670999999999992</v>
      </c>
      <c r="AV82" s="48">
        <f t="shared" si="31"/>
        <v>95</v>
      </c>
      <c r="AX82" s="44" t="s">
        <v>825</v>
      </c>
      <c r="AY82" s="44" t="s">
        <v>87</v>
      </c>
      <c r="AZ82" s="45">
        <v>97.083143585537826</v>
      </c>
      <c r="BA82" s="45">
        <v>99.999899999999997</v>
      </c>
      <c r="BB82" s="47">
        <f t="shared" si="18"/>
        <v>9.7082999999999995</v>
      </c>
      <c r="BC82" s="48">
        <f t="shared" si="19"/>
        <v>100</v>
      </c>
      <c r="BE82" s="44" t="s">
        <v>826</v>
      </c>
      <c r="BF82" s="44" t="s">
        <v>89</v>
      </c>
      <c r="BG82" s="45">
        <v>146.25363119520173</v>
      </c>
      <c r="BH82" s="45">
        <v>109.9999</v>
      </c>
      <c r="BI82" s="47">
        <f t="shared" si="32"/>
        <v>14.625400000000001</v>
      </c>
      <c r="BJ82" s="48">
        <f t="shared" si="33"/>
        <v>110</v>
      </c>
    </row>
    <row r="83" spans="1:62" x14ac:dyDescent="0.2">
      <c r="H83" s="44" t="s">
        <v>827</v>
      </c>
      <c r="I83" s="44" t="s">
        <v>75</v>
      </c>
      <c r="J83" s="45">
        <v>25.556728572464035</v>
      </c>
      <c r="K83" s="45">
        <v>80.999899999999997</v>
      </c>
      <c r="L83" s="47">
        <f t="shared" si="20"/>
        <v>2.5556999999999999</v>
      </c>
      <c r="M83" s="48">
        <f t="shared" si="21"/>
        <v>81</v>
      </c>
      <c r="O83" s="44" t="s">
        <v>828</v>
      </c>
      <c r="P83" s="44" t="s">
        <v>77</v>
      </c>
      <c r="Q83" s="45">
        <v>34.336284890041156</v>
      </c>
      <c r="R83" s="45">
        <v>83.999899999999997</v>
      </c>
      <c r="S83" s="47">
        <f t="shared" si="22"/>
        <v>3.4336000000000002</v>
      </c>
      <c r="T83" s="48">
        <f t="shared" si="23"/>
        <v>84</v>
      </c>
      <c r="V83" s="44" t="s">
        <v>829</v>
      </c>
      <c r="W83" s="44" t="s">
        <v>79</v>
      </c>
      <c r="X83" s="45">
        <v>44.508923763470911</v>
      </c>
      <c r="Y83" s="45">
        <v>84.999899999999997</v>
      </c>
      <c r="Z83" s="47">
        <f t="shared" si="24"/>
        <v>4.4508999999999999</v>
      </c>
      <c r="AA83" s="48">
        <f t="shared" si="25"/>
        <v>85</v>
      </c>
      <c r="AC83" s="44" t="s">
        <v>830</v>
      </c>
      <c r="AD83" s="44" t="s">
        <v>81</v>
      </c>
      <c r="AE83" s="45">
        <v>62.887933325746921</v>
      </c>
      <c r="AF83" s="45">
        <v>86.999899999999997</v>
      </c>
      <c r="AG83" s="47">
        <f t="shared" si="26"/>
        <v>6.2888000000000002</v>
      </c>
      <c r="AH83" s="48">
        <f t="shared" si="27"/>
        <v>87</v>
      </c>
      <c r="AJ83" s="44" t="s">
        <v>831</v>
      </c>
      <c r="AK83" s="44" t="s">
        <v>83</v>
      </c>
      <c r="AL83" s="45">
        <v>78.197774139478597</v>
      </c>
      <c r="AM83" s="45">
        <v>90.999899999999997</v>
      </c>
      <c r="AN83" s="47">
        <f t="shared" si="28"/>
        <v>7.8197999999999999</v>
      </c>
      <c r="AO83" s="48">
        <f t="shared" si="29"/>
        <v>91</v>
      </c>
      <c r="AQ83" s="44" t="s">
        <v>832</v>
      </c>
      <c r="AR83" s="44" t="s">
        <v>85</v>
      </c>
      <c r="AS83" s="45">
        <v>91.754353115926492</v>
      </c>
      <c r="AT83" s="45">
        <v>95.999899999999997</v>
      </c>
      <c r="AU83" s="47">
        <f t="shared" si="30"/>
        <v>9.1753999999999998</v>
      </c>
      <c r="AV83" s="48">
        <f t="shared" si="31"/>
        <v>96</v>
      </c>
      <c r="AX83" s="44" t="s">
        <v>833</v>
      </c>
      <c r="AY83" s="44" t="s">
        <v>87</v>
      </c>
      <c r="AZ83" s="45">
        <v>96.108143585537817</v>
      </c>
      <c r="BA83" s="45">
        <v>100.9999</v>
      </c>
      <c r="BB83" s="47">
        <f t="shared" si="18"/>
        <v>9.6107999999999993</v>
      </c>
      <c r="BC83" s="48">
        <f t="shared" si="19"/>
        <v>101</v>
      </c>
      <c r="BE83" s="44" t="s">
        <v>834</v>
      </c>
      <c r="BF83" s="44" t="s">
        <v>89</v>
      </c>
      <c r="BG83" s="45">
        <v>145.89937110551566</v>
      </c>
      <c r="BH83" s="45">
        <v>110.9999</v>
      </c>
      <c r="BI83" s="47">
        <f t="shared" si="32"/>
        <v>14.5899</v>
      </c>
      <c r="BJ83" s="48">
        <f t="shared" si="33"/>
        <v>111</v>
      </c>
    </row>
    <row r="84" spans="1:62" x14ac:dyDescent="0.2">
      <c r="H84" s="44" t="s">
        <v>835</v>
      </c>
      <c r="I84" s="44" t="s">
        <v>75</v>
      </c>
      <c r="J84" s="45">
        <v>24.483199160699336</v>
      </c>
      <c r="K84" s="45">
        <v>81.999899999999997</v>
      </c>
      <c r="L84" s="47">
        <f t="shared" si="20"/>
        <v>2.4483000000000001</v>
      </c>
      <c r="M84" s="48">
        <f t="shared" si="21"/>
        <v>82</v>
      </c>
      <c r="O84" s="44" t="s">
        <v>836</v>
      </c>
      <c r="P84" s="44" t="s">
        <v>77</v>
      </c>
      <c r="Q84" s="45">
        <v>33.294058071702651</v>
      </c>
      <c r="R84" s="45">
        <v>84.999899999999997</v>
      </c>
      <c r="S84" s="47">
        <f t="shared" si="22"/>
        <v>3.3294000000000001</v>
      </c>
      <c r="T84" s="48">
        <f t="shared" si="23"/>
        <v>85</v>
      </c>
      <c r="V84" s="44" t="s">
        <v>837</v>
      </c>
      <c r="W84" s="44" t="s">
        <v>79</v>
      </c>
      <c r="X84" s="45">
        <v>43.422831048239118</v>
      </c>
      <c r="Y84" s="45">
        <v>85.999899999999997</v>
      </c>
      <c r="Z84" s="47">
        <f t="shared" si="24"/>
        <v>4.3422999999999998</v>
      </c>
      <c r="AA84" s="48">
        <f t="shared" si="25"/>
        <v>86</v>
      </c>
      <c r="AC84" s="44" t="s">
        <v>838</v>
      </c>
      <c r="AD84" s="44" t="s">
        <v>81</v>
      </c>
      <c r="AE84" s="45">
        <v>61.963339358229533</v>
      </c>
      <c r="AF84" s="45">
        <v>87.999899999999997</v>
      </c>
      <c r="AG84" s="47">
        <f t="shared" si="26"/>
        <v>6.1962999999999999</v>
      </c>
      <c r="AH84" s="48">
        <f t="shared" si="27"/>
        <v>88</v>
      </c>
      <c r="AJ84" s="44" t="s">
        <v>839</v>
      </c>
      <c r="AK84" s="44" t="s">
        <v>83</v>
      </c>
      <c r="AL84" s="45">
        <v>77.177572119276562</v>
      </c>
      <c r="AM84" s="45">
        <v>91.999899999999997</v>
      </c>
      <c r="AN84" s="47">
        <f t="shared" si="28"/>
        <v>7.7178000000000004</v>
      </c>
      <c r="AO84" s="48">
        <f t="shared" si="29"/>
        <v>92</v>
      </c>
      <c r="AQ84" s="44" t="s">
        <v>840</v>
      </c>
      <c r="AR84" s="44" t="s">
        <v>85</v>
      </c>
      <c r="AS84" s="45">
        <v>90.837226044103289</v>
      </c>
      <c r="AT84" s="45">
        <v>96.999899999999997</v>
      </c>
      <c r="AU84" s="47">
        <f t="shared" si="30"/>
        <v>9.0837000000000003</v>
      </c>
      <c r="AV84" s="48">
        <f t="shared" si="31"/>
        <v>97</v>
      </c>
      <c r="AX84" s="44" t="s">
        <v>841</v>
      </c>
      <c r="AY84" s="44" t="s">
        <v>87</v>
      </c>
      <c r="AZ84" s="45">
        <v>95.133143585537823</v>
      </c>
      <c r="BA84" s="45">
        <v>101.9999</v>
      </c>
      <c r="BB84" s="47">
        <f t="shared" si="18"/>
        <v>9.5132999999999992</v>
      </c>
      <c r="BC84" s="48">
        <f t="shared" si="19"/>
        <v>102</v>
      </c>
      <c r="BE84" s="44" t="s">
        <v>842</v>
      </c>
      <c r="BF84" s="44" t="s">
        <v>89</v>
      </c>
      <c r="BG84" s="45">
        <v>145.54511101582955</v>
      </c>
      <c r="BH84" s="45">
        <v>111.9999</v>
      </c>
      <c r="BI84" s="47">
        <f t="shared" si="32"/>
        <v>14.554500000000001</v>
      </c>
      <c r="BJ84" s="48">
        <f t="shared" si="33"/>
        <v>112</v>
      </c>
    </row>
    <row r="85" spans="1:62" x14ac:dyDescent="0.2">
      <c r="H85" s="44" t="s">
        <v>843</v>
      </c>
      <c r="I85" s="44" t="s">
        <v>75</v>
      </c>
      <c r="J85" s="45">
        <v>23.409669748934633</v>
      </c>
      <c r="K85" s="45">
        <v>82.999899999999997</v>
      </c>
      <c r="L85" s="47">
        <f t="shared" si="20"/>
        <v>2.3410000000000002</v>
      </c>
      <c r="M85" s="48">
        <f t="shared" si="21"/>
        <v>83</v>
      </c>
      <c r="O85" s="44" t="s">
        <v>844</v>
      </c>
      <c r="P85" s="44" t="s">
        <v>77</v>
      </c>
      <c r="Q85" s="45">
        <v>32.251831253364152</v>
      </c>
      <c r="R85" s="45">
        <v>85.999899999999997</v>
      </c>
      <c r="S85" s="47">
        <f t="shared" si="22"/>
        <v>3.2252000000000001</v>
      </c>
      <c r="T85" s="48">
        <f t="shared" si="23"/>
        <v>86</v>
      </c>
      <c r="V85" s="44" t="s">
        <v>845</v>
      </c>
      <c r="W85" s="44" t="s">
        <v>79</v>
      </c>
      <c r="X85" s="45">
        <v>42.336738333007325</v>
      </c>
      <c r="Y85" s="45">
        <v>86.999899999999997</v>
      </c>
      <c r="Z85" s="47">
        <f t="shared" si="24"/>
        <v>4.2336999999999998</v>
      </c>
      <c r="AA85" s="48">
        <f t="shared" si="25"/>
        <v>87</v>
      </c>
      <c r="AC85" s="44" t="s">
        <v>846</v>
      </c>
      <c r="AD85" s="44" t="s">
        <v>81</v>
      </c>
      <c r="AE85" s="45">
        <v>61.038745390712123</v>
      </c>
      <c r="AF85" s="45">
        <v>88.999899999999997</v>
      </c>
      <c r="AG85" s="47">
        <f t="shared" si="26"/>
        <v>6.1039000000000003</v>
      </c>
      <c r="AH85" s="48">
        <f t="shared" si="27"/>
        <v>89</v>
      </c>
      <c r="AJ85" s="44" t="s">
        <v>847</v>
      </c>
      <c r="AK85" s="44" t="s">
        <v>83</v>
      </c>
      <c r="AL85" s="45">
        <v>76.157370099074541</v>
      </c>
      <c r="AM85" s="45">
        <v>92.999899999999997</v>
      </c>
      <c r="AN85" s="47">
        <f t="shared" si="28"/>
        <v>7.6157000000000004</v>
      </c>
      <c r="AO85" s="48">
        <f t="shared" si="29"/>
        <v>93</v>
      </c>
      <c r="AQ85" s="44" t="s">
        <v>848</v>
      </c>
      <c r="AR85" s="44" t="s">
        <v>85</v>
      </c>
      <c r="AS85" s="45">
        <v>89.920098972280087</v>
      </c>
      <c r="AT85" s="45">
        <v>97.999899999999997</v>
      </c>
      <c r="AU85" s="47">
        <f t="shared" si="30"/>
        <v>8.9920000000000009</v>
      </c>
      <c r="AV85" s="48">
        <f t="shared" si="31"/>
        <v>98</v>
      </c>
      <c r="AX85" s="44" t="s">
        <v>849</v>
      </c>
      <c r="AY85" s="44" t="s">
        <v>87</v>
      </c>
      <c r="AZ85" s="45">
        <v>94.158143585537815</v>
      </c>
      <c r="BA85" s="45">
        <v>102.9999</v>
      </c>
      <c r="BB85" s="47">
        <f t="shared" si="18"/>
        <v>9.4158000000000008</v>
      </c>
      <c r="BC85" s="48">
        <f t="shared" si="19"/>
        <v>103</v>
      </c>
      <c r="BE85" s="44" t="s">
        <v>850</v>
      </c>
      <c r="BF85" s="44" t="s">
        <v>89</v>
      </c>
      <c r="BG85" s="45">
        <v>145.23549713448045</v>
      </c>
      <c r="BH85" s="45">
        <v>112.9999</v>
      </c>
      <c r="BI85" s="47">
        <f t="shared" si="32"/>
        <v>14.5235</v>
      </c>
      <c r="BJ85" s="48">
        <f t="shared" si="33"/>
        <v>113</v>
      </c>
    </row>
    <row r="86" spans="1:62" x14ac:dyDescent="0.2">
      <c r="H86" s="44" t="s">
        <v>851</v>
      </c>
      <c r="I86" s="44" t="s">
        <v>75</v>
      </c>
      <c r="J86" s="45">
        <v>22.336140337169912</v>
      </c>
      <c r="K86" s="45">
        <v>83.999899999999997</v>
      </c>
      <c r="L86" s="47">
        <f t="shared" si="20"/>
        <v>2.2336</v>
      </c>
      <c r="M86" s="48">
        <f t="shared" si="21"/>
        <v>84</v>
      </c>
      <c r="O86" s="44" t="s">
        <v>852</v>
      </c>
      <c r="P86" s="44" t="s">
        <v>77</v>
      </c>
      <c r="Q86" s="45">
        <v>31.20960443502565</v>
      </c>
      <c r="R86" s="45">
        <v>86.999899999999997</v>
      </c>
      <c r="S86" s="47">
        <f t="shared" si="22"/>
        <v>3.121</v>
      </c>
      <c r="T86" s="48">
        <f t="shared" si="23"/>
        <v>87</v>
      </c>
      <c r="V86" s="44" t="s">
        <v>853</v>
      </c>
      <c r="W86" s="44" t="s">
        <v>79</v>
      </c>
      <c r="X86" s="45">
        <v>41.250645617775533</v>
      </c>
      <c r="Y86" s="45">
        <v>87.999899999999997</v>
      </c>
      <c r="Z86" s="47">
        <f t="shared" si="24"/>
        <v>4.1250999999999998</v>
      </c>
      <c r="AA86" s="48">
        <f t="shared" si="25"/>
        <v>88</v>
      </c>
      <c r="AC86" s="44" t="s">
        <v>854</v>
      </c>
      <c r="AD86" s="44" t="s">
        <v>81</v>
      </c>
      <c r="AE86" s="45">
        <v>60.114151423194734</v>
      </c>
      <c r="AF86" s="45">
        <v>89.999899999999997</v>
      </c>
      <c r="AG86" s="47">
        <f t="shared" si="26"/>
        <v>6.0114000000000001</v>
      </c>
      <c r="AH86" s="48">
        <f t="shared" si="27"/>
        <v>90</v>
      </c>
      <c r="AJ86" s="44" t="s">
        <v>855</v>
      </c>
      <c r="AK86" s="44" t="s">
        <v>83</v>
      </c>
      <c r="AL86" s="45">
        <v>75.137168078872534</v>
      </c>
      <c r="AM86" s="45">
        <v>93.999899999999997</v>
      </c>
      <c r="AN86" s="47">
        <f t="shared" si="28"/>
        <v>7.5137</v>
      </c>
      <c r="AO86" s="48">
        <f t="shared" si="29"/>
        <v>94</v>
      </c>
      <c r="AQ86" s="44" t="s">
        <v>856</v>
      </c>
      <c r="AR86" s="44" t="s">
        <v>85</v>
      </c>
      <c r="AS86" s="45">
        <v>89.002971900456885</v>
      </c>
      <c r="AT86" s="45">
        <v>98.999899999999997</v>
      </c>
      <c r="AU86" s="47">
        <f t="shared" si="30"/>
        <v>8.9002999999999997</v>
      </c>
      <c r="AV86" s="48">
        <f t="shared" si="31"/>
        <v>99</v>
      </c>
      <c r="AX86" s="44" t="s">
        <v>857</v>
      </c>
      <c r="AY86" s="44" t="s">
        <v>87</v>
      </c>
      <c r="AZ86" s="45">
        <v>93.18314358553782</v>
      </c>
      <c r="BA86" s="45">
        <v>103.9999</v>
      </c>
      <c r="BB86" s="47">
        <f t="shared" si="18"/>
        <v>9.3183000000000007</v>
      </c>
      <c r="BC86" s="48">
        <f t="shared" si="19"/>
        <v>104</v>
      </c>
      <c r="BE86" s="44" t="s">
        <v>858</v>
      </c>
      <c r="BF86" s="44" t="s">
        <v>89</v>
      </c>
      <c r="BG86" s="45">
        <v>144.92685515917182</v>
      </c>
      <c r="BH86" s="45">
        <v>113.9999</v>
      </c>
      <c r="BI86" s="47">
        <f t="shared" si="32"/>
        <v>14.492699999999999</v>
      </c>
      <c r="BJ86" s="48">
        <f t="shared" si="33"/>
        <v>114</v>
      </c>
    </row>
    <row r="87" spans="1:62" x14ac:dyDescent="0.2">
      <c r="H87" s="44" t="s">
        <v>859</v>
      </c>
      <c r="I87" s="44" t="s">
        <v>75</v>
      </c>
      <c r="J87" s="45">
        <v>21.322936916290388</v>
      </c>
      <c r="K87" s="45">
        <v>84.999899999999997</v>
      </c>
      <c r="L87" s="47">
        <f t="shared" si="20"/>
        <v>2.1322999999999999</v>
      </c>
      <c r="M87" s="48">
        <f t="shared" si="21"/>
        <v>85</v>
      </c>
      <c r="O87" s="44" t="s">
        <v>860</v>
      </c>
      <c r="P87" s="44" t="s">
        <v>77</v>
      </c>
      <c r="Q87" s="45">
        <v>30.165540322876318</v>
      </c>
      <c r="R87" s="45">
        <v>87.999899999999997</v>
      </c>
      <c r="S87" s="47">
        <f t="shared" si="22"/>
        <v>3.0165999999999999</v>
      </c>
      <c r="T87" s="48">
        <f t="shared" si="23"/>
        <v>88</v>
      </c>
      <c r="V87" s="44" t="s">
        <v>861</v>
      </c>
      <c r="W87" s="44" t="s">
        <v>79</v>
      </c>
      <c r="X87" s="45">
        <v>40.16455290254374</v>
      </c>
      <c r="Y87" s="45">
        <v>88.999899999999997</v>
      </c>
      <c r="Z87" s="47">
        <f t="shared" si="24"/>
        <v>4.0164999999999997</v>
      </c>
      <c r="AA87" s="48">
        <f t="shared" si="25"/>
        <v>89</v>
      </c>
      <c r="AC87" s="44" t="s">
        <v>862</v>
      </c>
      <c r="AD87" s="44" t="s">
        <v>81</v>
      </c>
      <c r="AE87" s="45">
        <v>59.189557455677324</v>
      </c>
      <c r="AF87" s="45">
        <v>90.999899999999997</v>
      </c>
      <c r="AG87" s="47">
        <f t="shared" si="26"/>
        <v>5.9189999999999996</v>
      </c>
      <c r="AH87" s="48">
        <f t="shared" si="27"/>
        <v>91</v>
      </c>
      <c r="AJ87" s="44" t="s">
        <v>863</v>
      </c>
      <c r="AK87" s="44" t="s">
        <v>83</v>
      </c>
      <c r="AL87" s="45">
        <v>74.079634834183452</v>
      </c>
      <c r="AM87" s="45">
        <v>94.999899999999997</v>
      </c>
      <c r="AN87" s="47">
        <f t="shared" si="28"/>
        <v>7.4080000000000004</v>
      </c>
      <c r="AO87" s="48">
        <f t="shared" si="29"/>
        <v>95</v>
      </c>
      <c r="AQ87" s="44" t="s">
        <v>864</v>
      </c>
      <c r="AR87" s="44" t="s">
        <v>85</v>
      </c>
      <c r="AS87" s="45">
        <v>88.081350740922659</v>
      </c>
      <c r="AT87" s="45">
        <v>99.999899999999997</v>
      </c>
      <c r="AU87" s="47">
        <f t="shared" si="30"/>
        <v>8.8080999999999996</v>
      </c>
      <c r="AV87" s="48">
        <f t="shared" si="31"/>
        <v>100</v>
      </c>
      <c r="AX87" s="44" t="s">
        <v>865</v>
      </c>
      <c r="AY87" s="44" t="s">
        <v>87</v>
      </c>
      <c r="AZ87" s="45">
        <v>92.208143585537812</v>
      </c>
      <c r="BA87" s="45">
        <v>104.9999</v>
      </c>
      <c r="BB87" s="47">
        <f t="shared" si="18"/>
        <v>9.2208000000000006</v>
      </c>
      <c r="BC87" s="48">
        <f t="shared" si="19"/>
        <v>105</v>
      </c>
      <c r="BE87" s="44" t="s">
        <v>866</v>
      </c>
      <c r="BF87" s="44" t="s">
        <v>89</v>
      </c>
      <c r="BG87" s="45">
        <v>144.61821318386316</v>
      </c>
      <c r="BH87" s="45">
        <v>114.9999</v>
      </c>
      <c r="BI87" s="47">
        <f t="shared" si="32"/>
        <v>14.4618</v>
      </c>
      <c r="BJ87" s="48">
        <f t="shared" si="33"/>
        <v>115</v>
      </c>
    </row>
    <row r="88" spans="1:62" x14ac:dyDescent="0.2">
      <c r="H88" s="44" t="s">
        <v>867</v>
      </c>
      <c r="I88" s="44" t="s">
        <v>75</v>
      </c>
      <c r="J88" s="45">
        <v>20.315529508882975</v>
      </c>
      <c r="K88" s="45">
        <v>85.999899999999997</v>
      </c>
      <c r="L88" s="47">
        <f t="shared" si="20"/>
        <v>2.0316000000000001</v>
      </c>
      <c r="M88" s="48">
        <f t="shared" si="21"/>
        <v>86</v>
      </c>
      <c r="O88" s="44" t="s">
        <v>868</v>
      </c>
      <c r="P88" s="44" t="s">
        <v>77</v>
      </c>
      <c r="Q88" s="45">
        <v>29.09077396773613</v>
      </c>
      <c r="R88" s="45">
        <v>88.999899999999997</v>
      </c>
      <c r="S88" s="47">
        <f t="shared" si="22"/>
        <v>2.9091</v>
      </c>
      <c r="T88" s="48">
        <f t="shared" si="23"/>
        <v>89</v>
      </c>
      <c r="V88" s="44" t="s">
        <v>869</v>
      </c>
      <c r="W88" s="44" t="s">
        <v>79</v>
      </c>
      <c r="X88" s="45">
        <v>39.078460187311968</v>
      </c>
      <c r="Y88" s="45">
        <v>89.999899999999997</v>
      </c>
      <c r="Z88" s="47">
        <f t="shared" si="24"/>
        <v>3.9077999999999999</v>
      </c>
      <c r="AA88" s="48">
        <f t="shared" si="25"/>
        <v>90</v>
      </c>
      <c r="AC88" s="44" t="s">
        <v>870</v>
      </c>
      <c r="AD88" s="44" t="s">
        <v>81</v>
      </c>
      <c r="AE88" s="45">
        <v>58.264963488159935</v>
      </c>
      <c r="AF88" s="45">
        <v>91.999899999999997</v>
      </c>
      <c r="AG88" s="47">
        <f t="shared" si="26"/>
        <v>5.8265000000000002</v>
      </c>
      <c r="AH88" s="48">
        <f t="shared" si="27"/>
        <v>92</v>
      </c>
      <c r="AJ88" s="44" t="s">
        <v>871</v>
      </c>
      <c r="AK88" s="44" t="s">
        <v>83</v>
      </c>
      <c r="AL88" s="45">
        <v>73.012968167516789</v>
      </c>
      <c r="AM88" s="45">
        <v>95.999899999999997</v>
      </c>
      <c r="AN88" s="47">
        <f t="shared" si="28"/>
        <v>7.3013000000000003</v>
      </c>
      <c r="AO88" s="48">
        <f t="shared" si="29"/>
        <v>96</v>
      </c>
      <c r="AQ88" s="44" t="s">
        <v>872</v>
      </c>
      <c r="AR88" s="44" t="s">
        <v>85</v>
      </c>
      <c r="AS88" s="45">
        <v>87.159098730198792</v>
      </c>
      <c r="AT88" s="45">
        <v>100.9999</v>
      </c>
      <c r="AU88" s="47">
        <f t="shared" si="30"/>
        <v>8.7158999999999995</v>
      </c>
      <c r="AV88" s="48">
        <f t="shared" si="31"/>
        <v>101</v>
      </c>
      <c r="AX88" s="44" t="s">
        <v>873</v>
      </c>
      <c r="AY88" s="44" t="s">
        <v>87</v>
      </c>
      <c r="AZ88" s="45">
        <v>91.233143585537817</v>
      </c>
      <c r="BA88" s="45">
        <v>105.9999</v>
      </c>
      <c r="BB88" s="47">
        <f t="shared" si="18"/>
        <v>9.1233000000000004</v>
      </c>
      <c r="BC88" s="48">
        <f t="shared" si="19"/>
        <v>106</v>
      </c>
      <c r="BE88" s="44" t="s">
        <v>874</v>
      </c>
      <c r="BF88" s="44" t="s">
        <v>89</v>
      </c>
      <c r="BG88" s="45">
        <v>144.30957120855453</v>
      </c>
      <c r="BH88" s="45">
        <v>115.9999</v>
      </c>
      <c r="BI88" s="47">
        <f t="shared" si="32"/>
        <v>14.430999999999999</v>
      </c>
      <c r="BJ88" s="48">
        <f t="shared" si="33"/>
        <v>116</v>
      </c>
    </row>
    <row r="89" spans="1:62" x14ac:dyDescent="0.2">
      <c r="H89" s="44" t="s">
        <v>875</v>
      </c>
      <c r="I89" s="44" t="s">
        <v>75</v>
      </c>
      <c r="J89" s="45">
        <v>19.308122101475565</v>
      </c>
      <c r="K89" s="45">
        <v>86.999899999999997</v>
      </c>
      <c r="L89" s="47">
        <f t="shared" si="20"/>
        <v>1.9308000000000001</v>
      </c>
      <c r="M89" s="48">
        <f t="shared" si="21"/>
        <v>87</v>
      </c>
      <c r="O89" s="44" t="s">
        <v>876</v>
      </c>
      <c r="P89" s="44" t="s">
        <v>77</v>
      </c>
      <c r="Q89" s="45">
        <v>28.016007612595939</v>
      </c>
      <c r="R89" s="45">
        <v>89.999899999999997</v>
      </c>
      <c r="S89" s="47">
        <f t="shared" si="22"/>
        <v>2.8016000000000001</v>
      </c>
      <c r="T89" s="48">
        <f t="shared" si="23"/>
        <v>90</v>
      </c>
      <c r="V89" s="44" t="s">
        <v>877</v>
      </c>
      <c r="W89" s="44" t="s">
        <v>79</v>
      </c>
      <c r="X89" s="45">
        <v>37.992367472080176</v>
      </c>
      <c r="Y89" s="45">
        <v>90.999899999999997</v>
      </c>
      <c r="Z89" s="47">
        <f t="shared" si="24"/>
        <v>3.7991999999999999</v>
      </c>
      <c r="AA89" s="48">
        <f t="shared" si="25"/>
        <v>91</v>
      </c>
      <c r="AC89" s="44" t="s">
        <v>878</v>
      </c>
      <c r="AD89" s="44" t="s">
        <v>81</v>
      </c>
      <c r="AE89" s="45">
        <v>57.340369520642525</v>
      </c>
      <c r="AF89" s="45">
        <v>92.999899999999997</v>
      </c>
      <c r="AG89" s="47">
        <f t="shared" si="26"/>
        <v>5.734</v>
      </c>
      <c r="AH89" s="48">
        <f t="shared" si="27"/>
        <v>93</v>
      </c>
      <c r="AJ89" s="44" t="s">
        <v>879</v>
      </c>
      <c r="AK89" s="44" t="s">
        <v>83</v>
      </c>
      <c r="AL89" s="45">
        <v>70.879634834183449</v>
      </c>
      <c r="AM89" s="45">
        <v>97.999899999999997</v>
      </c>
      <c r="AN89" s="47">
        <f t="shared" si="28"/>
        <v>7.0880000000000001</v>
      </c>
      <c r="AO89" s="48">
        <f t="shared" si="29"/>
        <v>98</v>
      </c>
      <c r="AQ89" s="44" t="s">
        <v>880</v>
      </c>
      <c r="AR89" s="44" t="s">
        <v>85</v>
      </c>
      <c r="AS89" s="45">
        <v>86.236846719474926</v>
      </c>
      <c r="AT89" s="45">
        <v>101.9999</v>
      </c>
      <c r="AU89" s="47">
        <f t="shared" si="30"/>
        <v>8.6236999999999995</v>
      </c>
      <c r="AV89" s="48">
        <f t="shared" si="31"/>
        <v>102</v>
      </c>
      <c r="AX89" s="44" t="s">
        <v>881</v>
      </c>
      <c r="AY89" s="44" t="s">
        <v>87</v>
      </c>
      <c r="AZ89" s="45">
        <v>90.258143585537823</v>
      </c>
      <c r="BA89" s="45">
        <v>106.9999</v>
      </c>
      <c r="BB89" s="47">
        <f t="shared" si="18"/>
        <v>9.0258000000000003</v>
      </c>
      <c r="BC89" s="48">
        <f t="shared" si="19"/>
        <v>107</v>
      </c>
      <c r="BE89" s="44" t="s">
        <v>882</v>
      </c>
      <c r="BF89" s="44" t="s">
        <v>89</v>
      </c>
      <c r="BG89" s="45">
        <v>144.00092923324587</v>
      </c>
      <c r="BH89" s="45">
        <v>116.9999</v>
      </c>
      <c r="BI89" s="47">
        <f t="shared" si="32"/>
        <v>14.4001</v>
      </c>
      <c r="BJ89" s="48">
        <f t="shared" si="33"/>
        <v>117</v>
      </c>
    </row>
    <row r="90" spans="1:62" x14ac:dyDescent="0.2">
      <c r="H90" s="44" t="s">
        <v>883</v>
      </c>
      <c r="I90" s="44" t="s">
        <v>75</v>
      </c>
      <c r="J90" s="45">
        <v>18.300714694068169</v>
      </c>
      <c r="K90" s="45">
        <v>87.999899999999997</v>
      </c>
      <c r="L90" s="47">
        <f t="shared" si="20"/>
        <v>1.8301000000000001</v>
      </c>
      <c r="M90" s="48">
        <f t="shared" si="21"/>
        <v>88</v>
      </c>
      <c r="O90" s="44" t="s">
        <v>884</v>
      </c>
      <c r="P90" s="44" t="s">
        <v>77</v>
      </c>
      <c r="Q90" s="45">
        <v>26.941241257455751</v>
      </c>
      <c r="R90" s="45">
        <v>90.999899999999997</v>
      </c>
      <c r="S90" s="47">
        <f t="shared" si="22"/>
        <v>2.6941000000000002</v>
      </c>
      <c r="T90" s="48">
        <f t="shared" si="23"/>
        <v>91</v>
      </c>
      <c r="V90" s="44" t="s">
        <v>885</v>
      </c>
      <c r="W90" s="44" t="s">
        <v>79</v>
      </c>
      <c r="X90" s="45">
        <v>36.906274756848383</v>
      </c>
      <c r="Y90" s="45">
        <v>91.999899999999997</v>
      </c>
      <c r="Z90" s="47">
        <f t="shared" si="24"/>
        <v>3.6905999999999999</v>
      </c>
      <c r="AA90" s="48">
        <f t="shared" si="25"/>
        <v>92</v>
      </c>
      <c r="AC90" s="44" t="s">
        <v>886</v>
      </c>
      <c r="AD90" s="44" t="s">
        <v>81</v>
      </c>
      <c r="AE90" s="45">
        <v>56.415775553125137</v>
      </c>
      <c r="AF90" s="45">
        <v>93.999899999999997</v>
      </c>
      <c r="AG90" s="47">
        <f t="shared" si="26"/>
        <v>5.6416000000000004</v>
      </c>
      <c r="AH90" s="48">
        <f t="shared" si="27"/>
        <v>94</v>
      </c>
      <c r="AJ90" s="44" t="s">
        <v>887</v>
      </c>
      <c r="AK90" s="44" t="s">
        <v>83</v>
      </c>
      <c r="AL90" s="45">
        <v>69.8129681675168</v>
      </c>
      <c r="AM90" s="45">
        <v>98.999899999999997</v>
      </c>
      <c r="AN90" s="47">
        <f t="shared" si="28"/>
        <v>6.9813000000000001</v>
      </c>
      <c r="AO90" s="48">
        <f t="shared" si="29"/>
        <v>99</v>
      </c>
      <c r="AQ90" s="44" t="s">
        <v>888</v>
      </c>
      <c r="AR90" s="44" t="s">
        <v>85</v>
      </c>
      <c r="AS90" s="45">
        <v>85.314594708751059</v>
      </c>
      <c r="AT90" s="45">
        <v>102.9999</v>
      </c>
      <c r="AU90" s="47">
        <f t="shared" si="30"/>
        <v>8.5314999999999994</v>
      </c>
      <c r="AV90" s="48">
        <f t="shared" si="31"/>
        <v>103</v>
      </c>
      <c r="AX90" s="44" t="s">
        <v>889</v>
      </c>
      <c r="AY90" s="44" t="s">
        <v>87</v>
      </c>
      <c r="AZ90" s="45">
        <v>89.283143585537815</v>
      </c>
      <c r="BA90" s="45">
        <v>107.9999</v>
      </c>
      <c r="BB90" s="47">
        <f t="shared" si="18"/>
        <v>8.9283000000000001</v>
      </c>
      <c r="BC90" s="48">
        <f t="shared" si="19"/>
        <v>108</v>
      </c>
      <c r="BE90" s="44" t="s">
        <v>890</v>
      </c>
      <c r="BF90" s="44" t="s">
        <v>89</v>
      </c>
      <c r="BG90" s="45">
        <v>143.69228725793724</v>
      </c>
      <c r="BH90" s="45">
        <v>117.9999</v>
      </c>
      <c r="BI90" s="47">
        <f t="shared" si="32"/>
        <v>14.369199999999999</v>
      </c>
      <c r="BJ90" s="48">
        <f t="shared" si="33"/>
        <v>118</v>
      </c>
    </row>
    <row r="91" spans="1:62" x14ac:dyDescent="0.2">
      <c r="H91" s="44" t="s">
        <v>891</v>
      </c>
      <c r="I91" s="44" t="s">
        <v>75</v>
      </c>
      <c r="J91" s="45">
        <v>17.29330728666076</v>
      </c>
      <c r="K91" s="45">
        <v>88.999899999999997</v>
      </c>
      <c r="L91" s="47">
        <f t="shared" si="20"/>
        <v>1.7293000000000001</v>
      </c>
      <c r="M91" s="48">
        <f t="shared" si="21"/>
        <v>89</v>
      </c>
      <c r="O91" s="44" t="s">
        <v>892</v>
      </c>
      <c r="P91" s="44" t="s">
        <v>77</v>
      </c>
      <c r="Q91" s="45">
        <v>25.866474902315563</v>
      </c>
      <c r="R91" s="45">
        <v>91.999899999999997</v>
      </c>
      <c r="S91" s="47">
        <f t="shared" si="22"/>
        <v>2.5865999999999998</v>
      </c>
      <c r="T91" s="48">
        <f t="shared" si="23"/>
        <v>92</v>
      </c>
      <c r="V91" s="44" t="s">
        <v>893</v>
      </c>
      <c r="W91" s="44" t="s">
        <v>79</v>
      </c>
      <c r="X91" s="45">
        <v>35.82018204161659</v>
      </c>
      <c r="Y91" s="45">
        <v>92.999899999999997</v>
      </c>
      <c r="Z91" s="47">
        <f t="shared" si="24"/>
        <v>3.5819999999999999</v>
      </c>
      <c r="AA91" s="48">
        <f t="shared" si="25"/>
        <v>93</v>
      </c>
      <c r="AC91" s="44" t="s">
        <v>894</v>
      </c>
      <c r="AD91" s="44" t="s">
        <v>81</v>
      </c>
      <c r="AE91" s="45">
        <v>55.491181585607734</v>
      </c>
      <c r="AF91" s="45">
        <v>94.999899999999997</v>
      </c>
      <c r="AG91" s="47">
        <f t="shared" si="26"/>
        <v>5.5491000000000001</v>
      </c>
      <c r="AH91" s="48">
        <f t="shared" si="27"/>
        <v>95</v>
      </c>
      <c r="AJ91" s="44" t="s">
        <v>895</v>
      </c>
      <c r="AK91" s="44" t="s">
        <v>83</v>
      </c>
      <c r="AL91" s="45">
        <v>68.746301500850137</v>
      </c>
      <c r="AM91" s="45">
        <v>99.999899999999997</v>
      </c>
      <c r="AN91" s="47">
        <f t="shared" si="28"/>
        <v>6.8746</v>
      </c>
      <c r="AO91" s="48">
        <f t="shared" si="29"/>
        <v>100</v>
      </c>
      <c r="AQ91" s="44" t="s">
        <v>896</v>
      </c>
      <c r="AR91" s="44" t="s">
        <v>85</v>
      </c>
      <c r="AS91" s="45">
        <v>84.392342698027207</v>
      </c>
      <c r="AT91" s="45">
        <v>103.9999</v>
      </c>
      <c r="AU91" s="47">
        <f t="shared" si="30"/>
        <v>8.4391999999999996</v>
      </c>
      <c r="AV91" s="48">
        <f t="shared" si="31"/>
        <v>104</v>
      </c>
      <c r="AX91" s="44" t="s">
        <v>897</v>
      </c>
      <c r="AY91" s="44" t="s">
        <v>87</v>
      </c>
      <c r="AZ91" s="45">
        <v>88.30814358553782</v>
      </c>
      <c r="BA91" s="45">
        <v>108.9999</v>
      </c>
      <c r="BB91" s="47">
        <f t="shared" si="18"/>
        <v>8.8308</v>
      </c>
      <c r="BC91" s="48">
        <f t="shared" si="19"/>
        <v>109</v>
      </c>
      <c r="BE91" s="44" t="s">
        <v>898</v>
      </c>
      <c r="BF91" s="44" t="s">
        <v>89</v>
      </c>
      <c r="BG91" s="45">
        <v>143.38364528262858</v>
      </c>
      <c r="BH91" s="45">
        <v>118.9999</v>
      </c>
      <c r="BI91" s="47">
        <f t="shared" si="32"/>
        <v>14.3384</v>
      </c>
      <c r="BJ91" s="48">
        <f t="shared" si="33"/>
        <v>119</v>
      </c>
    </row>
    <row r="92" spans="1:62" x14ac:dyDescent="0.2">
      <c r="H92" s="44" t="s">
        <v>899</v>
      </c>
      <c r="I92" s="44" t="s">
        <v>75</v>
      </c>
      <c r="J92" s="45">
        <v>16.285899879253346</v>
      </c>
      <c r="K92" s="45">
        <v>89.999899999999997</v>
      </c>
      <c r="L92" s="47">
        <f t="shared" si="20"/>
        <v>1.6286</v>
      </c>
      <c r="M92" s="48">
        <f t="shared" si="21"/>
        <v>90</v>
      </c>
      <c r="O92" s="44" t="s">
        <v>900</v>
      </c>
      <c r="P92" s="44" t="s">
        <v>77</v>
      </c>
      <c r="Q92" s="45">
        <v>24.791708547175375</v>
      </c>
      <c r="R92" s="45">
        <v>92.999899999999997</v>
      </c>
      <c r="S92" s="47">
        <f t="shared" si="22"/>
        <v>2.4792000000000001</v>
      </c>
      <c r="T92" s="48">
        <f t="shared" si="23"/>
        <v>93</v>
      </c>
      <c r="V92" s="44" t="s">
        <v>901</v>
      </c>
      <c r="W92" s="44" t="s">
        <v>79</v>
      </c>
      <c r="X92" s="45">
        <v>34.842055269513146</v>
      </c>
      <c r="Y92" s="45">
        <v>93.999899999999997</v>
      </c>
      <c r="Z92" s="47">
        <f t="shared" si="24"/>
        <v>3.4842</v>
      </c>
      <c r="AA92" s="48">
        <f t="shared" si="25"/>
        <v>94</v>
      </c>
      <c r="AC92" s="44" t="s">
        <v>902</v>
      </c>
      <c r="AD92" s="44" t="s">
        <v>81</v>
      </c>
      <c r="AE92" s="45">
        <v>54.566587618090324</v>
      </c>
      <c r="AF92" s="45">
        <v>95.999899999999997</v>
      </c>
      <c r="AG92" s="47">
        <f t="shared" si="26"/>
        <v>5.4566999999999997</v>
      </c>
      <c r="AH92" s="48">
        <f t="shared" si="27"/>
        <v>96</v>
      </c>
      <c r="AJ92" s="44" t="s">
        <v>903</v>
      </c>
      <c r="AK92" s="44" t="s">
        <v>83</v>
      </c>
      <c r="AL92" s="45">
        <v>67.679634834183474</v>
      </c>
      <c r="AM92" s="45">
        <v>100.9999</v>
      </c>
      <c r="AN92" s="47">
        <f t="shared" si="28"/>
        <v>6.7679999999999998</v>
      </c>
      <c r="AO92" s="48">
        <f t="shared" si="29"/>
        <v>101</v>
      </c>
      <c r="AQ92" s="44" t="s">
        <v>904</v>
      </c>
      <c r="AR92" s="44" t="s">
        <v>85</v>
      </c>
      <c r="AS92" s="45">
        <v>83.470090687303326</v>
      </c>
      <c r="AT92" s="45">
        <v>104.9999</v>
      </c>
      <c r="AU92" s="47">
        <f t="shared" si="30"/>
        <v>8.3469999999999995</v>
      </c>
      <c r="AV92" s="48">
        <f t="shared" si="31"/>
        <v>105</v>
      </c>
      <c r="AX92" s="44" t="s">
        <v>905</v>
      </c>
      <c r="AY92" s="44" t="s">
        <v>87</v>
      </c>
      <c r="AZ92" s="45">
        <v>87.359912545956135</v>
      </c>
      <c r="BA92" s="45">
        <v>109.9999</v>
      </c>
      <c r="BB92" s="47">
        <f t="shared" si="18"/>
        <v>8.7360000000000007</v>
      </c>
      <c r="BC92" s="48">
        <f t="shared" si="19"/>
        <v>110</v>
      </c>
      <c r="BE92" s="44" t="s">
        <v>906</v>
      </c>
      <c r="BF92" s="44" t="s">
        <v>89</v>
      </c>
      <c r="BG92" s="45">
        <v>143.06921114097136</v>
      </c>
      <c r="BH92" s="45">
        <v>119.9999</v>
      </c>
      <c r="BI92" s="47">
        <f t="shared" si="32"/>
        <v>14.306900000000001</v>
      </c>
      <c r="BJ92" s="48">
        <f t="shared" si="33"/>
        <v>120</v>
      </c>
    </row>
    <row r="93" spans="1:62" x14ac:dyDescent="0.2">
      <c r="H93" s="44" t="s">
        <v>907</v>
      </c>
      <c r="I93" s="44" t="s">
        <v>75</v>
      </c>
      <c r="J93" s="45">
        <v>15.278492471845933</v>
      </c>
      <c r="K93" s="45">
        <v>90.999899999999997</v>
      </c>
      <c r="L93" s="47">
        <f t="shared" si="20"/>
        <v>1.5278</v>
      </c>
      <c r="M93" s="48">
        <f t="shared" si="21"/>
        <v>91</v>
      </c>
      <c r="O93" s="44" t="s">
        <v>908</v>
      </c>
      <c r="P93" s="44" t="s">
        <v>77</v>
      </c>
      <c r="Q93" s="45">
        <v>23.738363629264697</v>
      </c>
      <c r="R93" s="45">
        <v>93.999899999999997</v>
      </c>
      <c r="S93" s="47">
        <f t="shared" si="22"/>
        <v>2.3738000000000001</v>
      </c>
      <c r="T93" s="48">
        <f t="shared" si="23"/>
        <v>94</v>
      </c>
      <c r="V93" s="44" t="s">
        <v>909</v>
      </c>
      <c r="W93" s="44" t="s">
        <v>79</v>
      </c>
      <c r="X93" s="45">
        <v>33.872130457483074</v>
      </c>
      <c r="Y93" s="45">
        <v>94.999899999999997</v>
      </c>
      <c r="Z93" s="47">
        <f t="shared" si="24"/>
        <v>3.3872</v>
      </c>
      <c r="AA93" s="48">
        <f t="shared" si="25"/>
        <v>95</v>
      </c>
      <c r="AC93" s="44" t="s">
        <v>910</v>
      </c>
      <c r="AD93" s="44" t="s">
        <v>81</v>
      </c>
      <c r="AE93" s="45">
        <v>53.641993650572935</v>
      </c>
      <c r="AF93" s="45">
        <v>96.999899999999997</v>
      </c>
      <c r="AG93" s="47">
        <f t="shared" si="26"/>
        <v>5.3642000000000003</v>
      </c>
      <c r="AH93" s="48">
        <f t="shared" si="27"/>
        <v>97</v>
      </c>
      <c r="AJ93" s="44" t="s">
        <v>911</v>
      </c>
      <c r="AK93" s="44" t="s">
        <v>83</v>
      </c>
      <c r="AL93" s="45">
        <v>66.612968167516811</v>
      </c>
      <c r="AM93" s="45">
        <v>101.9999</v>
      </c>
      <c r="AN93" s="47">
        <f t="shared" si="28"/>
        <v>6.6612999999999998</v>
      </c>
      <c r="AO93" s="48">
        <f t="shared" si="29"/>
        <v>102</v>
      </c>
      <c r="AQ93" s="44" t="s">
        <v>912</v>
      </c>
      <c r="AR93" s="44" t="s">
        <v>85</v>
      </c>
      <c r="AS93" s="45">
        <v>82.547838676579474</v>
      </c>
      <c r="AT93" s="45">
        <v>105.9999</v>
      </c>
      <c r="AU93" s="47">
        <f t="shared" si="30"/>
        <v>8.2547999999999995</v>
      </c>
      <c r="AV93" s="48">
        <f t="shared" si="31"/>
        <v>106</v>
      </c>
      <c r="AX93" s="44" t="s">
        <v>913</v>
      </c>
      <c r="AY93" s="44" t="s">
        <v>87</v>
      </c>
      <c r="AZ93" s="45">
        <v>86.441696932573251</v>
      </c>
      <c r="BA93" s="45">
        <v>110.9999</v>
      </c>
      <c r="BB93" s="47">
        <f t="shared" si="18"/>
        <v>8.6441999999999997</v>
      </c>
      <c r="BC93" s="48">
        <f t="shared" si="19"/>
        <v>111</v>
      </c>
      <c r="BE93" s="44" t="s">
        <v>914</v>
      </c>
      <c r="BF93" s="44" t="s">
        <v>89</v>
      </c>
      <c r="BG93" s="45">
        <v>142.75460439939832</v>
      </c>
      <c r="BH93" s="45">
        <v>120.9999</v>
      </c>
      <c r="BI93" s="47">
        <f t="shared" si="32"/>
        <v>14.275499999999999</v>
      </c>
      <c r="BJ93" s="48">
        <f t="shared" si="33"/>
        <v>121</v>
      </c>
    </row>
    <row r="94" spans="1:62" x14ac:dyDescent="0.2">
      <c r="H94" s="44" t="s">
        <v>915</v>
      </c>
      <c r="I94" s="44" t="s">
        <v>75</v>
      </c>
      <c r="J94" s="45">
        <v>14.271085064438541</v>
      </c>
      <c r="K94" s="45">
        <v>91.999899999999997</v>
      </c>
      <c r="L94" s="47">
        <f t="shared" si="20"/>
        <v>1.4271</v>
      </c>
      <c r="M94" s="48">
        <f t="shared" si="21"/>
        <v>92</v>
      </c>
      <c r="O94" s="44" t="s">
        <v>916</v>
      </c>
      <c r="P94" s="44" t="s">
        <v>77</v>
      </c>
      <c r="Q94" s="45">
        <v>22.758231178933567</v>
      </c>
      <c r="R94" s="45">
        <v>94.999899999999997</v>
      </c>
      <c r="S94" s="47">
        <f t="shared" si="22"/>
        <v>2.2757999999999998</v>
      </c>
      <c r="T94" s="48">
        <f t="shared" si="23"/>
        <v>95</v>
      </c>
      <c r="V94" s="44" t="s">
        <v>917</v>
      </c>
      <c r="W94" s="44" t="s">
        <v>79</v>
      </c>
      <c r="X94" s="45">
        <v>32.90220564545298</v>
      </c>
      <c r="Y94" s="45">
        <v>95.999899999999997</v>
      </c>
      <c r="Z94" s="47">
        <f t="shared" si="24"/>
        <v>3.2902</v>
      </c>
      <c r="AA94" s="48">
        <f t="shared" si="25"/>
        <v>96</v>
      </c>
      <c r="AC94" s="44" t="s">
        <v>918</v>
      </c>
      <c r="AD94" s="44" t="s">
        <v>81</v>
      </c>
      <c r="AE94" s="45">
        <v>52.717399683055525</v>
      </c>
      <c r="AF94" s="45">
        <v>97.999899999999997</v>
      </c>
      <c r="AG94" s="47">
        <f t="shared" si="26"/>
        <v>5.2717000000000001</v>
      </c>
      <c r="AH94" s="48">
        <f t="shared" si="27"/>
        <v>98</v>
      </c>
      <c r="AJ94" s="44" t="s">
        <v>919</v>
      </c>
      <c r="AK94" s="44" t="s">
        <v>83</v>
      </c>
      <c r="AL94" s="45">
        <v>65.580686533403934</v>
      </c>
      <c r="AM94" s="45">
        <v>102.9999</v>
      </c>
      <c r="AN94" s="47">
        <f t="shared" si="28"/>
        <v>6.5580999999999996</v>
      </c>
      <c r="AO94" s="48">
        <f t="shared" si="29"/>
        <v>103</v>
      </c>
      <c r="AQ94" s="44" t="s">
        <v>920</v>
      </c>
      <c r="AR94" s="44" t="s">
        <v>85</v>
      </c>
      <c r="AS94" s="45">
        <v>81.625586665855622</v>
      </c>
      <c r="AT94" s="45">
        <v>106.9999</v>
      </c>
      <c r="AU94" s="47">
        <f t="shared" si="30"/>
        <v>8.1625999999999994</v>
      </c>
      <c r="AV94" s="48">
        <f t="shared" si="31"/>
        <v>107</v>
      </c>
      <c r="AX94" s="44" t="s">
        <v>921</v>
      </c>
      <c r="AY94" s="44" t="s">
        <v>87</v>
      </c>
      <c r="AZ94" s="45">
        <v>85.523481319190353</v>
      </c>
      <c r="BA94" s="45">
        <v>111.9999</v>
      </c>
      <c r="BB94" s="47">
        <f t="shared" si="18"/>
        <v>8.5523000000000007</v>
      </c>
      <c r="BC94" s="48">
        <f t="shared" si="19"/>
        <v>112</v>
      </c>
      <c r="BE94" s="44" t="s">
        <v>922</v>
      </c>
      <c r="BF94" s="44" t="s">
        <v>89</v>
      </c>
      <c r="BG94" s="45">
        <v>142.4399976578253</v>
      </c>
      <c r="BH94" s="45">
        <v>121.9999</v>
      </c>
      <c r="BI94" s="47">
        <f t="shared" si="32"/>
        <v>14.244</v>
      </c>
      <c r="BJ94" s="48">
        <f t="shared" si="33"/>
        <v>122</v>
      </c>
    </row>
    <row r="95" spans="1:62" x14ac:dyDescent="0.2">
      <c r="H95" s="44" t="s">
        <v>923</v>
      </c>
      <c r="I95" s="44" t="s">
        <v>75</v>
      </c>
      <c r="J95" s="45">
        <v>13.274399695627686</v>
      </c>
      <c r="K95" s="45">
        <v>92.999899999999997</v>
      </c>
      <c r="L95" s="47">
        <f t="shared" si="20"/>
        <v>1.3273999999999999</v>
      </c>
      <c r="M95" s="48">
        <f t="shared" si="21"/>
        <v>93</v>
      </c>
      <c r="O95" s="44" t="s">
        <v>924</v>
      </c>
      <c r="P95" s="44" t="s">
        <v>77</v>
      </c>
      <c r="Q95" s="45">
        <v>21.778098728602462</v>
      </c>
      <c r="R95" s="45">
        <v>95.999899999999997</v>
      </c>
      <c r="S95" s="47">
        <f t="shared" si="22"/>
        <v>2.1778</v>
      </c>
      <c r="T95" s="48">
        <f t="shared" si="23"/>
        <v>96</v>
      </c>
      <c r="V95" s="44" t="s">
        <v>925</v>
      </c>
      <c r="W95" s="44" t="s">
        <v>79</v>
      </c>
      <c r="X95" s="45">
        <v>31.932280833422919</v>
      </c>
      <c r="Y95" s="45">
        <v>96.999899999999997</v>
      </c>
      <c r="Z95" s="47">
        <f t="shared" si="24"/>
        <v>3.1932</v>
      </c>
      <c r="AA95" s="48">
        <f t="shared" si="25"/>
        <v>97</v>
      </c>
      <c r="AC95" s="44" t="s">
        <v>926</v>
      </c>
      <c r="AD95" s="44" t="s">
        <v>81</v>
      </c>
      <c r="AE95" s="45">
        <v>51.77968041991106</v>
      </c>
      <c r="AF95" s="45">
        <v>98.999899999999997</v>
      </c>
      <c r="AG95" s="47">
        <f t="shared" si="26"/>
        <v>5.1779999999999999</v>
      </c>
      <c r="AH95" s="48">
        <f t="shared" si="27"/>
        <v>99</v>
      </c>
      <c r="AJ95" s="44" t="s">
        <v>927</v>
      </c>
      <c r="AK95" s="44" t="s">
        <v>83</v>
      </c>
      <c r="AL95" s="45">
        <v>64.568565321282719</v>
      </c>
      <c r="AM95" s="45">
        <v>103.9999</v>
      </c>
      <c r="AN95" s="47">
        <f t="shared" si="28"/>
        <v>6.4569000000000001</v>
      </c>
      <c r="AO95" s="48">
        <f t="shared" si="29"/>
        <v>104</v>
      </c>
      <c r="AQ95" s="44" t="s">
        <v>928</v>
      </c>
      <c r="AR95" s="44" t="s">
        <v>85</v>
      </c>
      <c r="AS95" s="45">
        <v>80.703334655131755</v>
      </c>
      <c r="AT95" s="45">
        <v>107.9999</v>
      </c>
      <c r="AU95" s="47">
        <f t="shared" si="30"/>
        <v>8.0702999999999996</v>
      </c>
      <c r="AV95" s="48">
        <f t="shared" si="31"/>
        <v>108</v>
      </c>
      <c r="AX95" s="44" t="s">
        <v>929</v>
      </c>
      <c r="AY95" s="44" t="s">
        <v>87</v>
      </c>
      <c r="AZ95" s="45">
        <v>84.60526570580744</v>
      </c>
      <c r="BA95" s="45">
        <v>112.9999</v>
      </c>
      <c r="BB95" s="47">
        <f t="shared" si="18"/>
        <v>8.4604999999999997</v>
      </c>
      <c r="BC95" s="48">
        <f t="shared" si="19"/>
        <v>113</v>
      </c>
      <c r="BE95" s="44" t="s">
        <v>930</v>
      </c>
      <c r="BF95" s="44" t="s">
        <v>89</v>
      </c>
      <c r="BG95" s="45">
        <v>142.12539091625226</v>
      </c>
      <c r="BH95" s="45">
        <v>122.9999</v>
      </c>
      <c r="BI95" s="47">
        <f t="shared" si="32"/>
        <v>14.2125</v>
      </c>
      <c r="BJ95" s="48">
        <f t="shared" si="33"/>
        <v>123</v>
      </c>
    </row>
    <row r="96" spans="1:62" x14ac:dyDescent="0.2">
      <c r="H96" s="44" t="s">
        <v>931</v>
      </c>
      <c r="I96" s="44" t="s">
        <v>75</v>
      </c>
      <c r="J96" s="45">
        <v>12.39245525118324</v>
      </c>
      <c r="K96" s="45">
        <v>93.999899999999997</v>
      </c>
      <c r="L96" s="47">
        <f t="shared" si="20"/>
        <v>1.2392000000000001</v>
      </c>
      <c r="M96" s="48">
        <f t="shared" si="21"/>
        <v>94</v>
      </c>
      <c r="O96" s="44" t="s">
        <v>932</v>
      </c>
      <c r="P96" s="44" t="s">
        <v>77</v>
      </c>
      <c r="Q96" s="45">
        <v>20.797966278271332</v>
      </c>
      <c r="R96" s="45">
        <v>96.999899999999997</v>
      </c>
      <c r="S96" s="47">
        <f t="shared" si="22"/>
        <v>2.0798000000000001</v>
      </c>
      <c r="T96" s="48">
        <f t="shared" si="23"/>
        <v>97</v>
      </c>
      <c r="V96" s="44" t="s">
        <v>933</v>
      </c>
      <c r="W96" s="44" t="s">
        <v>79</v>
      </c>
      <c r="X96" s="45">
        <v>30.962356021392846</v>
      </c>
      <c r="Y96" s="45">
        <v>97.999899999999997</v>
      </c>
      <c r="Z96" s="47">
        <f t="shared" si="24"/>
        <v>3.0962000000000001</v>
      </c>
      <c r="AA96" s="48">
        <f t="shared" si="25"/>
        <v>98</v>
      </c>
      <c r="AC96" s="44" t="s">
        <v>934</v>
      </c>
      <c r="AD96" s="44" t="s">
        <v>81</v>
      </c>
      <c r="AE96" s="45">
        <v>50.802101944574737</v>
      </c>
      <c r="AF96" s="45">
        <v>99.999899999999997</v>
      </c>
      <c r="AG96" s="47">
        <f t="shared" si="26"/>
        <v>5.0801999999999996</v>
      </c>
      <c r="AH96" s="48">
        <f t="shared" si="27"/>
        <v>100</v>
      </c>
      <c r="AJ96" s="44" t="s">
        <v>935</v>
      </c>
      <c r="AK96" s="44" t="s">
        <v>83</v>
      </c>
      <c r="AL96" s="45">
        <v>63.556444109161525</v>
      </c>
      <c r="AM96" s="45">
        <v>104.9999</v>
      </c>
      <c r="AN96" s="47">
        <f t="shared" si="28"/>
        <v>6.3555999999999999</v>
      </c>
      <c r="AO96" s="48">
        <f t="shared" si="29"/>
        <v>105</v>
      </c>
      <c r="AQ96" s="44" t="s">
        <v>936</v>
      </c>
      <c r="AR96" s="44" t="s">
        <v>85</v>
      </c>
      <c r="AS96" s="45">
        <v>79.781082644407888</v>
      </c>
      <c r="AT96" s="45">
        <v>108.9999</v>
      </c>
      <c r="AU96" s="47">
        <f t="shared" si="30"/>
        <v>7.9781000000000004</v>
      </c>
      <c r="AV96" s="48">
        <f t="shared" si="31"/>
        <v>109</v>
      </c>
      <c r="AX96" s="44" t="s">
        <v>937</v>
      </c>
      <c r="AY96" s="44" t="s">
        <v>87</v>
      </c>
      <c r="AZ96" s="45">
        <v>83.687050092424528</v>
      </c>
      <c r="BA96" s="45">
        <v>113.9999</v>
      </c>
      <c r="BB96" s="47">
        <f t="shared" si="18"/>
        <v>8.3687000000000005</v>
      </c>
      <c r="BC96" s="48">
        <f t="shared" si="19"/>
        <v>114</v>
      </c>
      <c r="BE96" s="44" t="s">
        <v>938</v>
      </c>
      <c r="BF96" s="44" t="s">
        <v>89</v>
      </c>
      <c r="BG96" s="45">
        <v>141.81078417467921</v>
      </c>
      <c r="BH96" s="45">
        <v>123.9999</v>
      </c>
      <c r="BI96" s="47">
        <f t="shared" si="32"/>
        <v>14.181100000000001</v>
      </c>
      <c r="BJ96" s="48">
        <f t="shared" si="33"/>
        <v>124</v>
      </c>
    </row>
    <row r="97" spans="8:62" x14ac:dyDescent="0.2">
      <c r="H97" s="44" t="s">
        <v>939</v>
      </c>
      <c r="I97" s="44" t="s">
        <v>75</v>
      </c>
      <c r="J97" s="45">
        <v>11.510510806738813</v>
      </c>
      <c r="K97" s="45">
        <v>94.999899999999997</v>
      </c>
      <c r="L97" s="47">
        <f t="shared" si="20"/>
        <v>1.1511</v>
      </c>
      <c r="M97" s="48">
        <f t="shared" si="21"/>
        <v>95</v>
      </c>
      <c r="O97" s="44" t="s">
        <v>940</v>
      </c>
      <c r="P97" s="44" t="s">
        <v>77</v>
      </c>
      <c r="Q97" s="45">
        <v>19.817833827940206</v>
      </c>
      <c r="R97" s="45">
        <v>97.999899999999997</v>
      </c>
      <c r="S97" s="47">
        <f t="shared" si="22"/>
        <v>1.9818</v>
      </c>
      <c r="T97" s="48">
        <f t="shared" si="23"/>
        <v>98</v>
      </c>
      <c r="V97" s="44" t="s">
        <v>941</v>
      </c>
      <c r="W97" s="44" t="s">
        <v>79</v>
      </c>
      <c r="X97" s="45">
        <v>29.99243120936276</v>
      </c>
      <c r="Y97" s="45">
        <v>98.999899999999997</v>
      </c>
      <c r="Z97" s="47">
        <f t="shared" si="24"/>
        <v>2.9992000000000001</v>
      </c>
      <c r="AA97" s="48">
        <f t="shared" si="25"/>
        <v>99</v>
      </c>
      <c r="AC97" s="44" t="s">
        <v>942</v>
      </c>
      <c r="AD97" s="44" t="s">
        <v>81</v>
      </c>
      <c r="AE97" s="45">
        <v>49.8245234692384</v>
      </c>
      <c r="AF97" s="45">
        <v>100.9999</v>
      </c>
      <c r="AG97" s="47">
        <f t="shared" si="26"/>
        <v>4.9824999999999999</v>
      </c>
      <c r="AH97" s="48">
        <f t="shared" si="27"/>
        <v>101</v>
      </c>
      <c r="AJ97" s="44" t="s">
        <v>943</v>
      </c>
      <c r="AK97" s="44" t="s">
        <v>83</v>
      </c>
      <c r="AL97" s="45">
        <v>62.54432289704031</v>
      </c>
      <c r="AM97" s="45">
        <v>105.9999</v>
      </c>
      <c r="AN97" s="47">
        <f t="shared" si="28"/>
        <v>6.2544000000000004</v>
      </c>
      <c r="AO97" s="48">
        <f t="shared" si="29"/>
        <v>106</v>
      </c>
      <c r="AQ97" s="44" t="s">
        <v>944</v>
      </c>
      <c r="AR97" s="44" t="s">
        <v>85</v>
      </c>
      <c r="AS97" s="45">
        <v>78.858830633684022</v>
      </c>
      <c r="AT97" s="45">
        <v>109.9999</v>
      </c>
      <c r="AU97" s="47">
        <f t="shared" si="30"/>
        <v>7.8859000000000004</v>
      </c>
      <c r="AV97" s="48">
        <f t="shared" si="31"/>
        <v>110</v>
      </c>
      <c r="AX97" s="44" t="s">
        <v>945</v>
      </c>
      <c r="AY97" s="44" t="s">
        <v>87</v>
      </c>
      <c r="AZ97" s="45">
        <v>82.768834479041644</v>
      </c>
      <c r="BA97" s="45">
        <v>114.9999</v>
      </c>
      <c r="BB97" s="47">
        <f t="shared" si="18"/>
        <v>8.2768999999999995</v>
      </c>
      <c r="BC97" s="48">
        <f t="shared" si="19"/>
        <v>115</v>
      </c>
      <c r="BE97" s="44" t="s">
        <v>946</v>
      </c>
      <c r="BF97" s="44" t="s">
        <v>89</v>
      </c>
      <c r="BG97" s="45">
        <v>141.4961774331062</v>
      </c>
      <c r="BH97" s="45">
        <v>124.9999</v>
      </c>
      <c r="BI97" s="47">
        <f t="shared" si="32"/>
        <v>14.1496</v>
      </c>
      <c r="BJ97" s="48">
        <f t="shared" si="33"/>
        <v>125</v>
      </c>
    </row>
    <row r="98" spans="8:62" x14ac:dyDescent="0.2">
      <c r="H98" s="44" t="s">
        <v>947</v>
      </c>
      <c r="I98" s="44" t="s">
        <v>75</v>
      </c>
      <c r="J98" s="45">
        <v>10.628566362294366</v>
      </c>
      <c r="K98" s="45">
        <v>95.999899999999997</v>
      </c>
      <c r="L98" s="47">
        <f t="shared" si="20"/>
        <v>1.0629</v>
      </c>
      <c r="M98" s="48">
        <f t="shared" si="21"/>
        <v>96</v>
      </c>
      <c r="O98" s="44" t="s">
        <v>948</v>
      </c>
      <c r="P98" s="44" t="s">
        <v>77</v>
      </c>
      <c r="Q98" s="45">
        <v>18.837701377609076</v>
      </c>
      <c r="R98" s="45">
        <v>98.999899999999997</v>
      </c>
      <c r="S98" s="47">
        <f t="shared" si="22"/>
        <v>1.8837999999999999</v>
      </c>
      <c r="T98" s="48">
        <f t="shared" si="23"/>
        <v>99</v>
      </c>
      <c r="V98" s="44" t="s">
        <v>949</v>
      </c>
      <c r="W98" s="44" t="s">
        <v>79</v>
      </c>
      <c r="X98" s="45">
        <v>29.022506397332688</v>
      </c>
      <c r="Y98" s="45">
        <v>99.999899999999997</v>
      </c>
      <c r="Z98" s="47">
        <f t="shared" si="24"/>
        <v>2.9022999999999999</v>
      </c>
      <c r="AA98" s="48">
        <f t="shared" si="25"/>
        <v>100</v>
      </c>
      <c r="AC98" s="44" t="s">
        <v>950</v>
      </c>
      <c r="AD98" s="44" t="s">
        <v>81</v>
      </c>
      <c r="AE98" s="45">
        <v>48.846944993902085</v>
      </c>
      <c r="AF98" s="45">
        <v>101.9999</v>
      </c>
      <c r="AG98" s="47">
        <f t="shared" si="26"/>
        <v>4.8846999999999996</v>
      </c>
      <c r="AH98" s="48">
        <f t="shared" si="27"/>
        <v>102</v>
      </c>
      <c r="AJ98" s="44" t="s">
        <v>951</v>
      </c>
      <c r="AK98" s="44" t="s">
        <v>83</v>
      </c>
      <c r="AL98" s="45">
        <v>61.532201684919094</v>
      </c>
      <c r="AM98" s="45">
        <v>106.9999</v>
      </c>
      <c r="AN98" s="47">
        <f t="shared" si="28"/>
        <v>6.1532</v>
      </c>
      <c r="AO98" s="48">
        <f t="shared" si="29"/>
        <v>107</v>
      </c>
      <c r="AQ98" s="44" t="s">
        <v>952</v>
      </c>
      <c r="AR98" s="44" t="s">
        <v>85</v>
      </c>
      <c r="AS98" s="45">
        <v>77.93657862296017</v>
      </c>
      <c r="AT98" s="45">
        <v>110.9999</v>
      </c>
      <c r="AU98" s="47">
        <f t="shared" si="30"/>
        <v>7.7937000000000003</v>
      </c>
      <c r="AV98" s="48">
        <f t="shared" si="31"/>
        <v>111</v>
      </c>
      <c r="AX98" s="44" t="s">
        <v>953</v>
      </c>
      <c r="AY98" s="44" t="s">
        <v>87</v>
      </c>
      <c r="AZ98" s="45">
        <v>81.850618865658745</v>
      </c>
      <c r="BA98" s="45">
        <v>115.9999</v>
      </c>
      <c r="BB98" s="47">
        <f t="shared" si="18"/>
        <v>8.1851000000000003</v>
      </c>
      <c r="BC98" s="48">
        <f t="shared" si="19"/>
        <v>116</v>
      </c>
      <c r="BE98" s="44" t="s">
        <v>954</v>
      </c>
      <c r="BF98" s="44" t="s">
        <v>89</v>
      </c>
      <c r="BG98" s="45">
        <v>141.18157069153315</v>
      </c>
      <c r="BH98" s="45">
        <v>125.9999</v>
      </c>
      <c r="BI98" s="47">
        <f t="shared" si="32"/>
        <v>14.1182</v>
      </c>
      <c r="BJ98" s="48">
        <f t="shared" si="33"/>
        <v>126</v>
      </c>
    </row>
    <row r="99" spans="8:62" x14ac:dyDescent="0.2">
      <c r="H99" s="44" t="s">
        <v>955</v>
      </c>
      <c r="I99" s="44" t="s">
        <v>75</v>
      </c>
      <c r="J99" s="45">
        <v>9.746621917849918</v>
      </c>
      <c r="K99" s="45">
        <v>96.999899999999997</v>
      </c>
      <c r="L99" s="47">
        <f t="shared" si="20"/>
        <v>0.97470000000000001</v>
      </c>
      <c r="M99" s="48">
        <f t="shared" si="21"/>
        <v>97</v>
      </c>
      <c r="O99" s="44" t="s">
        <v>956</v>
      </c>
      <c r="P99" s="44" t="s">
        <v>77</v>
      </c>
      <c r="Q99" s="45">
        <v>17.857568927277949</v>
      </c>
      <c r="R99" s="45">
        <v>99.999899999999997</v>
      </c>
      <c r="S99" s="47">
        <f t="shared" si="22"/>
        <v>1.7858000000000001</v>
      </c>
      <c r="T99" s="48">
        <f t="shared" si="23"/>
        <v>100</v>
      </c>
      <c r="V99" s="44" t="s">
        <v>957</v>
      </c>
      <c r="W99" s="44" t="s">
        <v>79</v>
      </c>
      <c r="X99" s="45">
        <v>28.070757263504362</v>
      </c>
      <c r="Y99" s="45">
        <v>100.9999</v>
      </c>
      <c r="Z99" s="47">
        <f t="shared" si="24"/>
        <v>2.8071000000000002</v>
      </c>
      <c r="AA99" s="48">
        <f t="shared" si="25"/>
        <v>101</v>
      </c>
      <c r="AC99" s="44" t="s">
        <v>958</v>
      </c>
      <c r="AD99" s="44" t="s">
        <v>81</v>
      </c>
      <c r="AE99" s="45">
        <v>47.869366518565762</v>
      </c>
      <c r="AF99" s="45">
        <v>102.9999</v>
      </c>
      <c r="AG99" s="47">
        <f t="shared" si="26"/>
        <v>4.7869000000000002</v>
      </c>
      <c r="AH99" s="48">
        <f t="shared" si="27"/>
        <v>103</v>
      </c>
      <c r="AJ99" s="44" t="s">
        <v>959</v>
      </c>
      <c r="AK99" s="44" t="s">
        <v>83</v>
      </c>
      <c r="AL99" s="45">
        <v>60.520080472797879</v>
      </c>
      <c r="AM99" s="45">
        <v>107.9999</v>
      </c>
      <c r="AN99" s="47">
        <f t="shared" si="28"/>
        <v>6.0519999999999996</v>
      </c>
      <c r="AO99" s="48">
        <f t="shared" si="29"/>
        <v>108</v>
      </c>
      <c r="AQ99" s="44" t="s">
        <v>960</v>
      </c>
      <c r="AR99" s="44" t="s">
        <v>85</v>
      </c>
      <c r="AS99" s="45">
        <v>77.014326612236289</v>
      </c>
      <c r="AT99" s="45">
        <v>111.9999</v>
      </c>
      <c r="AU99" s="47">
        <f t="shared" si="30"/>
        <v>7.7013999999999996</v>
      </c>
      <c r="AV99" s="48">
        <f t="shared" si="31"/>
        <v>112</v>
      </c>
      <c r="AX99" s="44" t="s">
        <v>961</v>
      </c>
      <c r="AY99" s="44" t="s">
        <v>87</v>
      </c>
      <c r="AZ99" s="45">
        <v>80.932403252275833</v>
      </c>
      <c r="BA99" s="45">
        <v>116.9999</v>
      </c>
      <c r="BB99" s="47">
        <f t="shared" si="18"/>
        <v>8.0931999999999995</v>
      </c>
      <c r="BC99" s="48">
        <f t="shared" si="19"/>
        <v>117</v>
      </c>
      <c r="BE99" s="44" t="s">
        <v>962</v>
      </c>
      <c r="BF99" s="44" t="s">
        <v>89</v>
      </c>
      <c r="BG99" s="45">
        <v>140.86696394996011</v>
      </c>
      <c r="BH99" s="45">
        <v>126.9999</v>
      </c>
      <c r="BI99" s="47">
        <f t="shared" si="32"/>
        <v>14.0867</v>
      </c>
      <c r="BJ99" s="48">
        <f t="shared" si="33"/>
        <v>127</v>
      </c>
    </row>
    <row r="100" spans="8:62" x14ac:dyDescent="0.2">
      <c r="H100" s="44" t="s">
        <v>963</v>
      </c>
      <c r="I100" s="44" t="s">
        <v>75</v>
      </c>
      <c r="J100" s="45">
        <v>8.8646774734054716</v>
      </c>
      <c r="K100" s="45">
        <v>97.999899999999997</v>
      </c>
      <c r="L100" s="47">
        <f t="shared" si="20"/>
        <v>0.88649999999999995</v>
      </c>
      <c r="M100" s="48">
        <f t="shared" si="21"/>
        <v>98</v>
      </c>
      <c r="O100" s="44" t="s">
        <v>964</v>
      </c>
      <c r="P100" s="44" t="s">
        <v>77</v>
      </c>
      <c r="Q100" s="45">
        <v>16.877436476946819</v>
      </c>
      <c r="R100" s="45">
        <v>100.9999</v>
      </c>
      <c r="S100" s="47">
        <f t="shared" si="22"/>
        <v>1.6877</v>
      </c>
      <c r="T100" s="48">
        <f t="shared" si="23"/>
        <v>101</v>
      </c>
      <c r="V100" s="44" t="s">
        <v>965</v>
      </c>
      <c r="W100" s="44" t="s">
        <v>79</v>
      </c>
      <c r="X100" s="45">
        <v>27.127458294432202</v>
      </c>
      <c r="Y100" s="45">
        <v>101.9999</v>
      </c>
      <c r="Z100" s="47">
        <f t="shared" si="24"/>
        <v>2.7126999999999999</v>
      </c>
      <c r="AA100" s="48">
        <f t="shared" si="25"/>
        <v>102</v>
      </c>
      <c r="AC100" s="44" t="s">
        <v>966</v>
      </c>
      <c r="AD100" s="44" t="s">
        <v>81</v>
      </c>
      <c r="AE100" s="45">
        <v>46.891788043229425</v>
      </c>
      <c r="AF100" s="45">
        <v>103.9999</v>
      </c>
      <c r="AG100" s="47">
        <f t="shared" si="26"/>
        <v>4.6891999999999996</v>
      </c>
      <c r="AH100" s="48">
        <f t="shared" si="27"/>
        <v>104</v>
      </c>
      <c r="AJ100" s="44" t="s">
        <v>967</v>
      </c>
      <c r="AK100" s="44" t="s">
        <v>83</v>
      </c>
      <c r="AL100" s="45">
        <v>59.507959260676664</v>
      </c>
      <c r="AM100" s="45">
        <v>108.9999</v>
      </c>
      <c r="AN100" s="47">
        <f t="shared" si="28"/>
        <v>5.9508000000000001</v>
      </c>
      <c r="AO100" s="48">
        <f t="shared" si="29"/>
        <v>109</v>
      </c>
      <c r="AQ100" s="44" t="s">
        <v>968</v>
      </c>
      <c r="AR100" s="44" t="s">
        <v>85</v>
      </c>
      <c r="AS100" s="45">
        <v>76.092074601512437</v>
      </c>
      <c r="AT100" s="45">
        <v>112.9999</v>
      </c>
      <c r="AU100" s="47">
        <f t="shared" si="30"/>
        <v>7.6092000000000004</v>
      </c>
      <c r="AV100" s="48">
        <f t="shared" si="31"/>
        <v>113</v>
      </c>
      <c r="AX100" s="44" t="s">
        <v>969</v>
      </c>
      <c r="AY100" s="44" t="s">
        <v>87</v>
      </c>
      <c r="AZ100" s="45">
        <v>79.095972025510036</v>
      </c>
      <c r="BA100" s="45">
        <v>118.9999</v>
      </c>
      <c r="BB100" s="47">
        <f t="shared" si="18"/>
        <v>7.9096000000000002</v>
      </c>
      <c r="BC100" s="48">
        <f t="shared" si="19"/>
        <v>119</v>
      </c>
      <c r="BE100" s="44" t="s">
        <v>970</v>
      </c>
      <c r="BF100" s="44" t="s">
        <v>89</v>
      </c>
      <c r="BG100" s="45">
        <v>140.55235720838709</v>
      </c>
      <c r="BH100" s="45">
        <v>127.9999</v>
      </c>
      <c r="BI100" s="47">
        <f t="shared" si="32"/>
        <v>14.055199999999999</v>
      </c>
      <c r="BJ100" s="48">
        <f t="shared" si="33"/>
        <v>128</v>
      </c>
    </row>
    <row r="101" spans="8:62" x14ac:dyDescent="0.2">
      <c r="H101" s="44" t="s">
        <v>971</v>
      </c>
      <c r="I101" s="44" t="s">
        <v>75</v>
      </c>
      <c r="J101" s="45">
        <v>7.9827330289610252</v>
      </c>
      <c r="K101" s="45">
        <v>98.999899999999997</v>
      </c>
      <c r="L101" s="47">
        <f t="shared" si="20"/>
        <v>0.79830000000000001</v>
      </c>
      <c r="M101" s="48">
        <f t="shared" si="21"/>
        <v>99</v>
      </c>
      <c r="O101" s="44" t="s">
        <v>972</v>
      </c>
      <c r="P101" s="44" t="s">
        <v>77</v>
      </c>
      <c r="Q101" s="45">
        <v>15.897304026615691</v>
      </c>
      <c r="R101" s="45">
        <v>101.9999</v>
      </c>
      <c r="S101" s="47">
        <f t="shared" si="22"/>
        <v>1.5896999999999999</v>
      </c>
      <c r="T101" s="48">
        <f t="shared" si="23"/>
        <v>102</v>
      </c>
      <c r="V101" s="44" t="s">
        <v>973</v>
      </c>
      <c r="W101" s="44" t="s">
        <v>79</v>
      </c>
      <c r="X101" s="45">
        <v>26.184159325360039</v>
      </c>
      <c r="Y101" s="45">
        <v>102.9999</v>
      </c>
      <c r="Z101" s="47">
        <f t="shared" si="24"/>
        <v>2.6183999999999998</v>
      </c>
      <c r="AA101" s="48">
        <f t="shared" si="25"/>
        <v>103</v>
      </c>
      <c r="AC101" s="44" t="s">
        <v>974</v>
      </c>
      <c r="AD101" s="44" t="s">
        <v>81</v>
      </c>
      <c r="AE101" s="45">
        <v>45.91420956789311</v>
      </c>
      <c r="AF101" s="45">
        <v>104.9999</v>
      </c>
      <c r="AG101" s="47">
        <f t="shared" si="26"/>
        <v>4.5914000000000001</v>
      </c>
      <c r="AH101" s="48">
        <f t="shared" si="27"/>
        <v>105</v>
      </c>
      <c r="AJ101" s="44" t="s">
        <v>975</v>
      </c>
      <c r="AK101" s="44" t="s">
        <v>83</v>
      </c>
      <c r="AL101" s="45">
        <v>58.508988882474611</v>
      </c>
      <c r="AM101" s="45">
        <v>109.9999</v>
      </c>
      <c r="AN101" s="47">
        <f t="shared" si="28"/>
        <v>5.8509000000000002</v>
      </c>
      <c r="AO101" s="48">
        <f t="shared" si="29"/>
        <v>110</v>
      </c>
      <c r="AQ101" s="44" t="s">
        <v>976</v>
      </c>
      <c r="AR101" s="44" t="s">
        <v>85</v>
      </c>
      <c r="AS101" s="45">
        <v>75.189351252012841</v>
      </c>
      <c r="AT101" s="45">
        <v>113.9999</v>
      </c>
      <c r="AU101" s="47">
        <f t="shared" si="30"/>
        <v>7.5189000000000004</v>
      </c>
      <c r="AV101" s="48">
        <f t="shared" si="31"/>
        <v>114</v>
      </c>
      <c r="AX101" s="44" t="s">
        <v>977</v>
      </c>
      <c r="AY101" s="44" t="s">
        <v>87</v>
      </c>
      <c r="AZ101" s="45">
        <v>78.184750919074602</v>
      </c>
      <c r="BA101" s="45">
        <v>119.9999</v>
      </c>
      <c r="BB101" s="47">
        <f t="shared" si="18"/>
        <v>7.8185000000000002</v>
      </c>
      <c r="BC101" s="48">
        <f t="shared" si="19"/>
        <v>120</v>
      </c>
      <c r="BE101" s="44" t="s">
        <v>978</v>
      </c>
      <c r="BF101" s="44" t="s">
        <v>89</v>
      </c>
      <c r="BG101" s="45">
        <v>140.23775046681405</v>
      </c>
      <c r="BH101" s="45">
        <v>128.9999</v>
      </c>
      <c r="BI101" s="47">
        <f t="shared" si="32"/>
        <v>14.0238</v>
      </c>
      <c r="BJ101" s="48">
        <f t="shared" si="33"/>
        <v>129</v>
      </c>
    </row>
    <row r="102" spans="8:62" x14ac:dyDescent="0.2">
      <c r="H102" s="44" t="s">
        <v>979</v>
      </c>
      <c r="I102" s="44" t="s">
        <v>75</v>
      </c>
      <c r="J102" s="45">
        <v>7.1007885845165788</v>
      </c>
      <c r="K102" s="45">
        <v>99.999899999999997</v>
      </c>
      <c r="L102" s="47">
        <f t="shared" si="20"/>
        <v>0.71009999999999995</v>
      </c>
      <c r="M102" s="48">
        <f t="shared" si="21"/>
        <v>100</v>
      </c>
      <c r="O102" s="44" t="s">
        <v>980</v>
      </c>
      <c r="P102" s="44" t="s">
        <v>77</v>
      </c>
      <c r="Q102" s="45">
        <v>14.968041082141527</v>
      </c>
      <c r="R102" s="45">
        <v>102.9999</v>
      </c>
      <c r="S102" s="47">
        <f t="shared" si="22"/>
        <v>1.4967999999999999</v>
      </c>
      <c r="T102" s="48">
        <f t="shared" si="23"/>
        <v>103</v>
      </c>
      <c r="V102" s="44" t="s">
        <v>981</v>
      </c>
      <c r="W102" s="44" t="s">
        <v>79</v>
      </c>
      <c r="X102" s="45">
        <v>25.240860356287879</v>
      </c>
      <c r="Y102" s="45">
        <v>103.9999</v>
      </c>
      <c r="Z102" s="47">
        <f t="shared" si="24"/>
        <v>2.5240999999999998</v>
      </c>
      <c r="AA102" s="48">
        <f t="shared" si="25"/>
        <v>104</v>
      </c>
      <c r="AC102" s="44" t="s">
        <v>982</v>
      </c>
      <c r="AD102" s="44" t="s">
        <v>81</v>
      </c>
      <c r="AE102" s="45">
        <v>44.936631092556794</v>
      </c>
      <c r="AF102" s="45">
        <v>105.9999</v>
      </c>
      <c r="AG102" s="47">
        <f t="shared" si="26"/>
        <v>4.4936999999999996</v>
      </c>
      <c r="AH102" s="48">
        <f t="shared" si="27"/>
        <v>106</v>
      </c>
      <c r="AJ102" s="44" t="s">
        <v>983</v>
      </c>
      <c r="AK102" s="44" t="s">
        <v>83</v>
      </c>
      <c r="AL102" s="45">
        <v>57.591861810651395</v>
      </c>
      <c r="AM102" s="45">
        <v>110.9999</v>
      </c>
      <c r="AN102" s="47">
        <f t="shared" si="28"/>
        <v>5.7591999999999999</v>
      </c>
      <c r="AO102" s="48">
        <f t="shared" si="29"/>
        <v>111</v>
      </c>
      <c r="AQ102" s="44" t="s">
        <v>984</v>
      </c>
      <c r="AR102" s="44" t="s">
        <v>85</v>
      </c>
      <c r="AS102" s="45">
        <v>74.29268458534618</v>
      </c>
      <c r="AT102" s="45">
        <v>114.9999</v>
      </c>
      <c r="AU102" s="47">
        <f t="shared" si="30"/>
        <v>7.4292999999999996</v>
      </c>
      <c r="AV102" s="48">
        <f t="shared" si="31"/>
        <v>115</v>
      </c>
      <c r="AX102" s="44" t="s">
        <v>985</v>
      </c>
      <c r="AY102" s="44" t="s">
        <v>87</v>
      </c>
      <c r="AZ102" s="45">
        <v>77.290411296433092</v>
      </c>
      <c r="BA102" s="45">
        <v>120.9999</v>
      </c>
      <c r="BB102" s="47">
        <f t="shared" si="18"/>
        <v>7.7290000000000001</v>
      </c>
      <c r="BC102" s="48">
        <f t="shared" si="19"/>
        <v>121</v>
      </c>
      <c r="BE102" s="44" t="s">
        <v>986</v>
      </c>
      <c r="BF102" s="44" t="s">
        <v>89</v>
      </c>
      <c r="BG102" s="45">
        <v>139.923143725241</v>
      </c>
      <c r="BH102" s="45">
        <v>129.9999</v>
      </c>
      <c r="BI102" s="47">
        <f t="shared" si="32"/>
        <v>13.9923</v>
      </c>
      <c r="BJ102" s="48">
        <f t="shared" si="33"/>
        <v>130</v>
      </c>
    </row>
    <row r="103" spans="8:62" x14ac:dyDescent="0.2">
      <c r="H103" s="44" t="s">
        <v>987</v>
      </c>
      <c r="I103" s="44" t="s">
        <v>75</v>
      </c>
      <c r="J103" s="45">
        <v>6.2188441400721315</v>
      </c>
      <c r="K103" s="45">
        <v>100.9999</v>
      </c>
      <c r="L103" s="47">
        <f t="shared" si="20"/>
        <v>0.62190000000000001</v>
      </c>
      <c r="M103" s="48">
        <f t="shared" si="21"/>
        <v>101</v>
      </c>
      <c r="O103" s="44" t="s">
        <v>988</v>
      </c>
      <c r="P103" s="44" t="s">
        <v>77</v>
      </c>
      <c r="Q103" s="45">
        <v>14.03883754231852</v>
      </c>
      <c r="R103" s="45">
        <v>103.9999</v>
      </c>
      <c r="S103" s="47">
        <f t="shared" si="22"/>
        <v>1.4038999999999999</v>
      </c>
      <c r="T103" s="48">
        <f t="shared" si="23"/>
        <v>104</v>
      </c>
      <c r="V103" s="44" t="s">
        <v>989</v>
      </c>
      <c r="W103" s="44" t="s">
        <v>79</v>
      </c>
      <c r="X103" s="45">
        <v>24.297561387215715</v>
      </c>
      <c r="Y103" s="45">
        <v>104.9999</v>
      </c>
      <c r="Z103" s="47">
        <f t="shared" si="24"/>
        <v>2.4298000000000002</v>
      </c>
      <c r="AA103" s="48">
        <f t="shared" si="25"/>
        <v>105</v>
      </c>
      <c r="AC103" s="44" t="s">
        <v>990</v>
      </c>
      <c r="AD103" s="44" t="s">
        <v>81</v>
      </c>
      <c r="AE103" s="45">
        <v>43.959052617220451</v>
      </c>
      <c r="AF103" s="45">
        <v>106.9999</v>
      </c>
      <c r="AG103" s="47">
        <f t="shared" si="26"/>
        <v>4.3959000000000001</v>
      </c>
      <c r="AH103" s="48">
        <f t="shared" si="27"/>
        <v>107</v>
      </c>
      <c r="AJ103" s="44" t="s">
        <v>991</v>
      </c>
      <c r="AK103" s="44" t="s">
        <v>83</v>
      </c>
      <c r="AL103" s="45">
        <v>56.674734738828192</v>
      </c>
      <c r="AM103" s="45">
        <v>111.9999</v>
      </c>
      <c r="AN103" s="47">
        <f t="shared" si="28"/>
        <v>5.6675000000000004</v>
      </c>
      <c r="AO103" s="48">
        <f t="shared" si="29"/>
        <v>112</v>
      </c>
      <c r="AQ103" s="44" t="s">
        <v>992</v>
      </c>
      <c r="AR103" s="44" t="s">
        <v>85</v>
      </c>
      <c r="AS103" s="45">
        <v>73.396017918679519</v>
      </c>
      <c r="AT103" s="45">
        <v>115.9999</v>
      </c>
      <c r="AU103" s="47">
        <f t="shared" si="30"/>
        <v>7.3395999999999999</v>
      </c>
      <c r="AV103" s="48">
        <f t="shared" si="31"/>
        <v>116</v>
      </c>
      <c r="AX103" s="44" t="s">
        <v>993</v>
      </c>
      <c r="AY103" s="44" t="s">
        <v>87</v>
      </c>
      <c r="AZ103" s="45">
        <v>76.396071673791582</v>
      </c>
      <c r="BA103" s="45">
        <v>121.9999</v>
      </c>
      <c r="BB103" s="47">
        <f t="shared" si="18"/>
        <v>7.6395999999999997</v>
      </c>
      <c r="BC103" s="48">
        <f t="shared" si="19"/>
        <v>122</v>
      </c>
      <c r="BE103" s="44" t="s">
        <v>994</v>
      </c>
      <c r="BF103" s="44" t="s">
        <v>89</v>
      </c>
      <c r="BG103" s="45">
        <v>139.60853698366799</v>
      </c>
      <c r="BH103" s="45">
        <v>130.9999</v>
      </c>
      <c r="BI103" s="47">
        <f t="shared" si="32"/>
        <v>13.960900000000001</v>
      </c>
      <c r="BJ103" s="48">
        <f t="shared" si="33"/>
        <v>131</v>
      </c>
    </row>
    <row r="104" spans="8:62" x14ac:dyDescent="0.2">
      <c r="H104" s="44" t="s">
        <v>995</v>
      </c>
      <c r="I104" s="44" t="s">
        <v>75</v>
      </c>
      <c r="J104" s="45">
        <v>5.3368996956277046</v>
      </c>
      <c r="K104" s="45">
        <v>101.9999</v>
      </c>
      <c r="L104" s="47">
        <f t="shared" si="20"/>
        <v>0.53369999999999995</v>
      </c>
      <c r="M104" s="48">
        <f t="shared" si="21"/>
        <v>102</v>
      </c>
      <c r="O104" s="44" t="s">
        <v>996</v>
      </c>
      <c r="P104" s="44" t="s">
        <v>77</v>
      </c>
      <c r="Q104" s="45">
        <v>13.109634002495513</v>
      </c>
      <c r="R104" s="45">
        <v>104.9999</v>
      </c>
      <c r="S104" s="47">
        <f t="shared" si="22"/>
        <v>1.3109999999999999</v>
      </c>
      <c r="T104" s="48">
        <f t="shared" si="23"/>
        <v>105</v>
      </c>
      <c r="V104" s="44" t="s">
        <v>997</v>
      </c>
      <c r="W104" s="44" t="s">
        <v>79</v>
      </c>
      <c r="X104" s="45">
        <v>23.354262418143556</v>
      </c>
      <c r="Y104" s="45">
        <v>105.9999</v>
      </c>
      <c r="Z104" s="47">
        <f t="shared" si="24"/>
        <v>2.3353999999999999</v>
      </c>
      <c r="AA104" s="48">
        <f t="shared" si="25"/>
        <v>106</v>
      </c>
      <c r="AC104" s="44" t="s">
        <v>998</v>
      </c>
      <c r="AD104" s="44" t="s">
        <v>81</v>
      </c>
      <c r="AE104" s="45">
        <v>43.056895181767288</v>
      </c>
      <c r="AF104" s="45">
        <v>107.9999</v>
      </c>
      <c r="AG104" s="47">
        <f t="shared" si="26"/>
        <v>4.3056999999999999</v>
      </c>
      <c r="AH104" s="48">
        <f t="shared" si="27"/>
        <v>108</v>
      </c>
      <c r="AJ104" s="44" t="s">
        <v>999</v>
      </c>
      <c r="AK104" s="44" t="s">
        <v>83</v>
      </c>
      <c r="AL104" s="45">
        <v>55.757607667004997</v>
      </c>
      <c r="AM104" s="45">
        <v>112.9999</v>
      </c>
      <c r="AN104" s="47">
        <f t="shared" si="28"/>
        <v>5.5758000000000001</v>
      </c>
      <c r="AO104" s="48">
        <f t="shared" si="29"/>
        <v>113</v>
      </c>
      <c r="AQ104" s="44" t="s">
        <v>1000</v>
      </c>
      <c r="AR104" s="44" t="s">
        <v>85</v>
      </c>
      <c r="AS104" s="45">
        <v>72.499351252012843</v>
      </c>
      <c r="AT104" s="45">
        <v>116.9999</v>
      </c>
      <c r="AU104" s="47">
        <f t="shared" si="30"/>
        <v>7.2499000000000002</v>
      </c>
      <c r="AV104" s="48">
        <f t="shared" si="31"/>
        <v>117</v>
      </c>
      <c r="AX104" s="44" t="s">
        <v>1001</v>
      </c>
      <c r="AY104" s="44" t="s">
        <v>87</v>
      </c>
      <c r="AZ104" s="45">
        <v>75.501732051150071</v>
      </c>
      <c r="BA104" s="45">
        <v>122.9999</v>
      </c>
      <c r="BB104" s="47">
        <f t="shared" si="18"/>
        <v>7.5502000000000002</v>
      </c>
      <c r="BC104" s="48">
        <f t="shared" si="19"/>
        <v>123</v>
      </c>
      <c r="BE104" s="44" t="s">
        <v>1002</v>
      </c>
      <c r="BF104" s="44" t="s">
        <v>89</v>
      </c>
      <c r="BG104" s="45">
        <v>139.29393024209494</v>
      </c>
      <c r="BH104" s="45">
        <v>131.9999</v>
      </c>
      <c r="BI104" s="47">
        <f t="shared" si="32"/>
        <v>13.929399999999999</v>
      </c>
      <c r="BJ104" s="48">
        <f t="shared" si="33"/>
        <v>132</v>
      </c>
    </row>
    <row r="105" spans="8:62" x14ac:dyDescent="0.2">
      <c r="H105" s="44" t="s">
        <v>1003</v>
      </c>
      <c r="I105" s="44" t="s">
        <v>75</v>
      </c>
      <c r="J105" s="45">
        <v>4.4987391946602333</v>
      </c>
      <c r="K105" s="45">
        <v>102.9999</v>
      </c>
      <c r="L105" s="47">
        <f t="shared" si="20"/>
        <v>0.44990000000000002</v>
      </c>
      <c r="M105" s="48">
        <f t="shared" si="21"/>
        <v>103</v>
      </c>
      <c r="O105" s="44" t="s">
        <v>1004</v>
      </c>
      <c r="P105" s="44" t="s">
        <v>77</v>
      </c>
      <c r="Q105" s="45">
        <v>12.180430462672506</v>
      </c>
      <c r="R105" s="45">
        <v>105.9999</v>
      </c>
      <c r="S105" s="47">
        <f t="shared" si="22"/>
        <v>1.218</v>
      </c>
      <c r="T105" s="48">
        <f t="shared" si="23"/>
        <v>106</v>
      </c>
      <c r="V105" s="44" t="s">
        <v>1005</v>
      </c>
      <c r="W105" s="44" t="s">
        <v>79</v>
      </c>
      <c r="X105" s="45">
        <v>22.410963449071392</v>
      </c>
      <c r="Y105" s="45">
        <v>106.9999</v>
      </c>
      <c r="Z105" s="47">
        <f t="shared" si="24"/>
        <v>2.2410999999999999</v>
      </c>
      <c r="AA105" s="48">
        <f t="shared" si="25"/>
        <v>107</v>
      </c>
      <c r="AC105" s="44" t="s">
        <v>1006</v>
      </c>
      <c r="AD105" s="44" t="s">
        <v>81</v>
      </c>
      <c r="AE105" s="45">
        <v>42.172450737322841</v>
      </c>
      <c r="AF105" s="45">
        <v>108.9999</v>
      </c>
      <c r="AG105" s="47">
        <f t="shared" si="26"/>
        <v>4.2172000000000001</v>
      </c>
      <c r="AH105" s="48">
        <f t="shared" si="27"/>
        <v>109</v>
      </c>
      <c r="AJ105" s="44" t="s">
        <v>1007</v>
      </c>
      <c r="AK105" s="44" t="s">
        <v>83</v>
      </c>
      <c r="AL105" s="45">
        <v>54.840480595181781</v>
      </c>
      <c r="AM105" s="45">
        <v>113.9999</v>
      </c>
      <c r="AN105" s="47">
        <f t="shared" si="28"/>
        <v>5.484</v>
      </c>
      <c r="AO105" s="48">
        <f t="shared" si="29"/>
        <v>114</v>
      </c>
      <c r="AQ105" s="44" t="s">
        <v>1008</v>
      </c>
      <c r="AR105" s="44" t="s">
        <v>85</v>
      </c>
      <c r="AS105" s="45">
        <v>71.602684585346182</v>
      </c>
      <c r="AT105" s="45">
        <v>117.9999</v>
      </c>
      <c r="AU105" s="47">
        <f t="shared" si="30"/>
        <v>7.1603000000000003</v>
      </c>
      <c r="AV105" s="48">
        <f t="shared" si="31"/>
        <v>118</v>
      </c>
      <c r="AX105" s="44" t="s">
        <v>1009</v>
      </c>
      <c r="AY105" s="44" t="s">
        <v>87</v>
      </c>
      <c r="AZ105" s="45">
        <v>74.607392428508561</v>
      </c>
      <c r="BA105" s="45">
        <v>123.9999</v>
      </c>
      <c r="BB105" s="47">
        <f t="shared" si="18"/>
        <v>7.4607000000000001</v>
      </c>
      <c r="BC105" s="48">
        <f t="shared" si="19"/>
        <v>124</v>
      </c>
      <c r="BE105" s="44" t="s">
        <v>1010</v>
      </c>
      <c r="BF105" s="44" t="s">
        <v>89</v>
      </c>
      <c r="BG105" s="45">
        <v>138.97932350052193</v>
      </c>
      <c r="BH105" s="45">
        <v>132.9999</v>
      </c>
      <c r="BI105" s="47">
        <f t="shared" si="32"/>
        <v>13.8979</v>
      </c>
      <c r="BJ105" s="48">
        <f t="shared" si="33"/>
        <v>133</v>
      </c>
    </row>
    <row r="106" spans="8:62" x14ac:dyDescent="0.2">
      <c r="H106" s="44" t="s">
        <v>1011</v>
      </c>
      <c r="I106" s="44" t="s">
        <v>75</v>
      </c>
      <c r="J106" s="45">
        <v>3.6821325091970762</v>
      </c>
      <c r="K106" s="45">
        <v>103.9999</v>
      </c>
      <c r="L106" s="47">
        <f t="shared" si="20"/>
        <v>0.36820000000000003</v>
      </c>
      <c r="M106" s="48">
        <f t="shared" si="21"/>
        <v>104</v>
      </c>
      <c r="O106" s="44" t="s">
        <v>1012</v>
      </c>
      <c r="P106" s="44" t="s">
        <v>77</v>
      </c>
      <c r="Q106" s="45">
        <v>11.251226922849499</v>
      </c>
      <c r="R106" s="45">
        <v>106.9999</v>
      </c>
      <c r="S106" s="47">
        <f t="shared" si="22"/>
        <v>1.1251</v>
      </c>
      <c r="T106" s="48">
        <f t="shared" si="23"/>
        <v>107</v>
      </c>
      <c r="V106" s="44" t="s">
        <v>1013</v>
      </c>
      <c r="W106" s="44" t="s">
        <v>79</v>
      </c>
      <c r="X106" s="45">
        <v>21.467664479999232</v>
      </c>
      <c r="Y106" s="45">
        <v>107.9999</v>
      </c>
      <c r="Z106" s="47">
        <f t="shared" si="24"/>
        <v>2.1467999999999998</v>
      </c>
      <c r="AA106" s="48">
        <f t="shared" si="25"/>
        <v>108</v>
      </c>
      <c r="AC106" s="44" t="s">
        <v>1014</v>
      </c>
      <c r="AD106" s="44" t="s">
        <v>81</v>
      </c>
      <c r="AE106" s="45">
        <v>41.2880062928784</v>
      </c>
      <c r="AF106" s="45">
        <v>109.9999</v>
      </c>
      <c r="AG106" s="47">
        <f t="shared" si="26"/>
        <v>4.1288</v>
      </c>
      <c r="AH106" s="48">
        <f t="shared" si="27"/>
        <v>110</v>
      </c>
      <c r="AJ106" s="44" t="s">
        <v>1015</v>
      </c>
      <c r="AK106" s="44" t="s">
        <v>83</v>
      </c>
      <c r="AL106" s="45">
        <v>53.923353523358585</v>
      </c>
      <c r="AM106" s="45">
        <v>114.9999</v>
      </c>
      <c r="AN106" s="47">
        <f t="shared" si="28"/>
        <v>5.3922999999999996</v>
      </c>
      <c r="AO106" s="48">
        <f t="shared" si="29"/>
        <v>115</v>
      </c>
      <c r="AQ106" s="44" t="s">
        <v>1016</v>
      </c>
      <c r="AR106" s="44" t="s">
        <v>85</v>
      </c>
      <c r="AS106" s="45">
        <v>70.706017918679521</v>
      </c>
      <c r="AT106" s="45">
        <v>118.9999</v>
      </c>
      <c r="AU106" s="47">
        <f t="shared" si="30"/>
        <v>7.0705999999999998</v>
      </c>
      <c r="AV106" s="48">
        <f t="shared" si="31"/>
        <v>119</v>
      </c>
      <c r="AX106" s="44" t="s">
        <v>1017</v>
      </c>
      <c r="AY106" s="44" t="s">
        <v>87</v>
      </c>
      <c r="AZ106" s="45">
        <v>73.713052805867051</v>
      </c>
      <c r="BA106" s="45">
        <v>124.9999</v>
      </c>
      <c r="BB106" s="47">
        <f t="shared" si="18"/>
        <v>7.3712999999999997</v>
      </c>
      <c r="BC106" s="48">
        <f t="shared" si="19"/>
        <v>125</v>
      </c>
      <c r="BE106" s="44" t="s">
        <v>1018</v>
      </c>
      <c r="BF106" s="44" t="s">
        <v>89</v>
      </c>
      <c r="BG106" s="45">
        <v>138.66471675894888</v>
      </c>
      <c r="BH106" s="45">
        <v>133.9999</v>
      </c>
      <c r="BI106" s="47">
        <f t="shared" si="32"/>
        <v>13.8665</v>
      </c>
      <c r="BJ106" s="48">
        <f t="shared" si="33"/>
        <v>134</v>
      </c>
    </row>
    <row r="107" spans="8:62" x14ac:dyDescent="0.2">
      <c r="H107" s="44" t="s">
        <v>1019</v>
      </c>
      <c r="I107" s="44" t="s">
        <v>75</v>
      </c>
      <c r="J107" s="45">
        <v>2.8655258237339392</v>
      </c>
      <c r="K107" s="45">
        <v>104.9999</v>
      </c>
      <c r="L107" s="47">
        <f t="shared" si="20"/>
        <v>0.28660000000000002</v>
      </c>
      <c r="M107" s="48">
        <f t="shared" si="21"/>
        <v>105</v>
      </c>
      <c r="O107" s="44" t="s">
        <v>1020</v>
      </c>
      <c r="P107" s="44" t="s">
        <v>77</v>
      </c>
      <c r="Q107" s="45">
        <v>10.322023383026472</v>
      </c>
      <c r="R107" s="45">
        <v>107.9999</v>
      </c>
      <c r="S107" s="47">
        <f t="shared" si="22"/>
        <v>1.0322</v>
      </c>
      <c r="T107" s="48">
        <f t="shared" si="23"/>
        <v>108</v>
      </c>
      <c r="V107" s="44" t="s">
        <v>1021</v>
      </c>
      <c r="W107" s="44" t="s">
        <v>79</v>
      </c>
      <c r="X107" s="45">
        <v>20.524365510927069</v>
      </c>
      <c r="Y107" s="45">
        <v>108.9999</v>
      </c>
      <c r="Z107" s="47">
        <f t="shared" si="24"/>
        <v>2.0524</v>
      </c>
      <c r="AA107" s="48">
        <f t="shared" si="25"/>
        <v>109</v>
      </c>
      <c r="AC107" s="44" t="s">
        <v>1022</v>
      </c>
      <c r="AD107" s="44" t="s">
        <v>81</v>
      </c>
      <c r="AE107" s="45">
        <v>40.403561848433952</v>
      </c>
      <c r="AF107" s="45">
        <v>110.9999</v>
      </c>
      <c r="AG107" s="47">
        <f t="shared" si="26"/>
        <v>4.0404</v>
      </c>
      <c r="AH107" s="48">
        <f t="shared" si="27"/>
        <v>111</v>
      </c>
      <c r="AJ107" s="44" t="s">
        <v>1023</v>
      </c>
      <c r="AK107" s="44" t="s">
        <v>83</v>
      </c>
      <c r="AL107" s="45">
        <v>53.00622645153539</v>
      </c>
      <c r="AM107" s="45">
        <v>115.9999</v>
      </c>
      <c r="AN107" s="47">
        <f t="shared" si="28"/>
        <v>5.3006000000000002</v>
      </c>
      <c r="AO107" s="48">
        <f t="shared" si="29"/>
        <v>116</v>
      </c>
      <c r="AQ107" s="44" t="s">
        <v>1024</v>
      </c>
      <c r="AR107" s="44" t="s">
        <v>85</v>
      </c>
      <c r="AS107" s="45">
        <v>69.809351252012874</v>
      </c>
      <c r="AT107" s="45">
        <v>119.9999</v>
      </c>
      <c r="AU107" s="47">
        <f t="shared" si="30"/>
        <v>6.9809000000000001</v>
      </c>
      <c r="AV107" s="48">
        <f t="shared" si="31"/>
        <v>120</v>
      </c>
      <c r="AX107" s="44" t="s">
        <v>1025</v>
      </c>
      <c r="AY107" s="44" t="s">
        <v>87</v>
      </c>
      <c r="AZ107" s="45">
        <v>72.81871318322554</v>
      </c>
      <c r="BA107" s="45">
        <v>125.9999</v>
      </c>
      <c r="BB107" s="47">
        <f t="shared" si="18"/>
        <v>7.2819000000000003</v>
      </c>
      <c r="BC107" s="48">
        <f t="shared" si="19"/>
        <v>126</v>
      </c>
      <c r="BE107" s="44" t="s">
        <v>1026</v>
      </c>
      <c r="BF107" s="44" t="s">
        <v>89</v>
      </c>
      <c r="BG107" s="45">
        <v>138.34102094724381</v>
      </c>
      <c r="BH107" s="45">
        <v>134.9999</v>
      </c>
      <c r="BI107" s="47">
        <f t="shared" si="32"/>
        <v>13.834099999999999</v>
      </c>
      <c r="BJ107" s="48">
        <f t="shared" si="33"/>
        <v>135</v>
      </c>
    </row>
    <row r="108" spans="8:62" x14ac:dyDescent="0.2">
      <c r="H108" s="44" t="s">
        <v>1027</v>
      </c>
      <c r="I108" s="44" t="s">
        <v>75</v>
      </c>
      <c r="J108" s="45">
        <v>2.0489191382708021</v>
      </c>
      <c r="K108" s="45">
        <v>105.9999</v>
      </c>
      <c r="L108" s="47">
        <f t="shared" si="20"/>
        <v>0.2049</v>
      </c>
      <c r="M108" s="48">
        <f t="shared" si="21"/>
        <v>106</v>
      </c>
      <c r="O108" s="44" t="s">
        <v>1028</v>
      </c>
      <c r="P108" s="44" t="s">
        <v>77</v>
      </c>
      <c r="Q108" s="45">
        <v>9.451653660438982</v>
      </c>
      <c r="R108" s="45">
        <v>108.9999</v>
      </c>
      <c r="S108" s="47">
        <f t="shared" si="22"/>
        <v>0.94520000000000004</v>
      </c>
      <c r="T108" s="48">
        <f t="shared" si="23"/>
        <v>109</v>
      </c>
      <c r="V108" s="44" t="s">
        <v>1029</v>
      </c>
      <c r="W108" s="44" t="s">
        <v>79</v>
      </c>
      <c r="X108" s="45">
        <v>19.581066541854888</v>
      </c>
      <c r="Y108" s="45">
        <v>109.9999</v>
      </c>
      <c r="Z108" s="47">
        <f t="shared" si="24"/>
        <v>1.9581</v>
      </c>
      <c r="AA108" s="48">
        <f t="shared" si="25"/>
        <v>110</v>
      </c>
      <c r="AC108" s="44" t="s">
        <v>1030</v>
      </c>
      <c r="AD108" s="44" t="s">
        <v>81</v>
      </c>
      <c r="AE108" s="45">
        <v>39.519117403989512</v>
      </c>
      <c r="AF108" s="45">
        <v>111.9999</v>
      </c>
      <c r="AG108" s="47">
        <f t="shared" si="26"/>
        <v>3.9519000000000002</v>
      </c>
      <c r="AH108" s="48">
        <f t="shared" si="27"/>
        <v>112</v>
      </c>
      <c r="AJ108" s="44" t="s">
        <v>1031</v>
      </c>
      <c r="AK108" s="44" t="s">
        <v>83</v>
      </c>
      <c r="AL108" s="45">
        <v>52.089099379712174</v>
      </c>
      <c r="AM108" s="45">
        <v>116.9999</v>
      </c>
      <c r="AN108" s="47">
        <f t="shared" si="28"/>
        <v>5.2088999999999999</v>
      </c>
      <c r="AO108" s="48">
        <f t="shared" si="29"/>
        <v>117</v>
      </c>
      <c r="AQ108" s="44" t="s">
        <v>1032</v>
      </c>
      <c r="AR108" s="44" t="s">
        <v>85</v>
      </c>
      <c r="AS108" s="45">
        <v>68.912684585346213</v>
      </c>
      <c r="AT108" s="45">
        <v>120.9999</v>
      </c>
      <c r="AU108" s="47">
        <f t="shared" si="30"/>
        <v>6.8913000000000002</v>
      </c>
      <c r="AV108" s="48">
        <f t="shared" si="31"/>
        <v>121</v>
      </c>
      <c r="AX108" s="44" t="s">
        <v>1033</v>
      </c>
      <c r="AY108" s="44" t="s">
        <v>87</v>
      </c>
      <c r="AZ108" s="45">
        <v>71.92437356058403</v>
      </c>
      <c r="BA108" s="45">
        <v>126.9999</v>
      </c>
      <c r="BB108" s="47">
        <f t="shared" si="18"/>
        <v>7.1924000000000001</v>
      </c>
      <c r="BC108" s="48">
        <f t="shared" si="19"/>
        <v>127</v>
      </c>
      <c r="BE108" s="44" t="s">
        <v>1034</v>
      </c>
      <c r="BF108" s="44" t="s">
        <v>89</v>
      </c>
      <c r="BG108" s="45">
        <v>138.01051247266756</v>
      </c>
      <c r="BH108" s="45">
        <v>135.9999</v>
      </c>
      <c r="BI108" s="47">
        <f t="shared" si="32"/>
        <v>13.8011</v>
      </c>
      <c r="BJ108" s="48">
        <f t="shared" si="33"/>
        <v>136</v>
      </c>
    </row>
    <row r="109" spans="8:62" x14ac:dyDescent="0.2">
      <c r="H109" s="44" t="s">
        <v>1035</v>
      </c>
      <c r="I109" s="44" t="s">
        <v>75</v>
      </c>
      <c r="J109" s="45">
        <v>1.2323124528076652</v>
      </c>
      <c r="K109" s="45">
        <v>106.9999</v>
      </c>
      <c r="L109" s="47">
        <f t="shared" si="20"/>
        <v>0.1232</v>
      </c>
      <c r="M109" s="48">
        <f t="shared" si="21"/>
        <v>107</v>
      </c>
      <c r="O109" s="44" t="s">
        <v>1036</v>
      </c>
      <c r="P109" s="44" t="s">
        <v>77</v>
      </c>
      <c r="Q109" s="45">
        <v>8.5923398127196364</v>
      </c>
      <c r="R109" s="45">
        <v>109.9999</v>
      </c>
      <c r="S109" s="47">
        <f t="shared" si="22"/>
        <v>0.85919999999999996</v>
      </c>
      <c r="T109" s="48">
        <f t="shared" si="23"/>
        <v>110</v>
      </c>
      <c r="V109" s="44" t="s">
        <v>1037</v>
      </c>
      <c r="W109" s="44" t="s">
        <v>79</v>
      </c>
      <c r="X109" s="45">
        <v>18.651709321448521</v>
      </c>
      <c r="Y109" s="45">
        <v>110.9999</v>
      </c>
      <c r="Z109" s="47">
        <f t="shared" si="24"/>
        <v>1.8652</v>
      </c>
      <c r="AA109" s="48">
        <f t="shared" si="25"/>
        <v>111</v>
      </c>
      <c r="AC109" s="44" t="s">
        <v>1038</v>
      </c>
      <c r="AD109" s="44" t="s">
        <v>81</v>
      </c>
      <c r="AE109" s="45">
        <v>38.634672959545071</v>
      </c>
      <c r="AF109" s="45">
        <v>112.9999</v>
      </c>
      <c r="AG109" s="47">
        <f t="shared" si="26"/>
        <v>3.8635000000000002</v>
      </c>
      <c r="AH109" s="48">
        <f t="shared" si="27"/>
        <v>113</v>
      </c>
      <c r="AJ109" s="44" t="s">
        <v>1039</v>
      </c>
      <c r="AK109" s="44" t="s">
        <v>83</v>
      </c>
      <c r="AL109" s="45">
        <v>51.171972307888979</v>
      </c>
      <c r="AM109" s="45">
        <v>117.9999</v>
      </c>
      <c r="AN109" s="47">
        <f t="shared" si="28"/>
        <v>5.1172000000000004</v>
      </c>
      <c r="AO109" s="48">
        <f t="shared" si="29"/>
        <v>118</v>
      </c>
      <c r="AQ109" s="44" t="s">
        <v>1040</v>
      </c>
      <c r="AR109" s="44" t="s">
        <v>85</v>
      </c>
      <c r="AS109" s="45">
        <v>68.016017918679538</v>
      </c>
      <c r="AT109" s="45">
        <v>121.9999</v>
      </c>
      <c r="AU109" s="47">
        <f t="shared" si="30"/>
        <v>6.8015999999999996</v>
      </c>
      <c r="AV109" s="48">
        <f t="shared" si="31"/>
        <v>122</v>
      </c>
      <c r="AX109" s="44" t="s">
        <v>1041</v>
      </c>
      <c r="AY109" s="44" t="s">
        <v>87</v>
      </c>
      <c r="AZ109" s="45">
        <v>71.03003393794252</v>
      </c>
      <c r="BA109" s="45">
        <v>127.9999</v>
      </c>
      <c r="BB109" s="47">
        <f t="shared" si="18"/>
        <v>7.1029999999999998</v>
      </c>
      <c r="BC109" s="48">
        <f t="shared" si="19"/>
        <v>128</v>
      </c>
      <c r="BE109" s="44" t="s">
        <v>1042</v>
      </c>
      <c r="BF109" s="44" t="s">
        <v>89</v>
      </c>
      <c r="BG109" s="45">
        <v>137.68000399809128</v>
      </c>
      <c r="BH109" s="45">
        <v>136.9999</v>
      </c>
      <c r="BI109" s="47">
        <f t="shared" si="32"/>
        <v>13.768000000000001</v>
      </c>
      <c r="BJ109" s="48">
        <f t="shared" si="33"/>
        <v>137</v>
      </c>
    </row>
    <row r="110" spans="8:62" x14ac:dyDescent="0.2">
      <c r="H110" s="44" t="s">
        <v>1043</v>
      </c>
      <c r="I110" s="44" t="s">
        <v>75</v>
      </c>
      <c r="J110" s="45">
        <v>0.41570576734450815</v>
      </c>
      <c r="K110" s="45">
        <v>107.9999</v>
      </c>
      <c r="L110" s="47">
        <f t="shared" si="20"/>
        <v>4.1599999999999998E-2</v>
      </c>
      <c r="M110" s="48">
        <f t="shared" si="21"/>
        <v>108</v>
      </c>
      <c r="O110" s="44" t="s">
        <v>1044</v>
      </c>
      <c r="P110" s="44" t="s">
        <v>77</v>
      </c>
      <c r="Q110" s="45">
        <v>7.7330259650003121</v>
      </c>
      <c r="R110" s="45">
        <v>110.9999</v>
      </c>
      <c r="S110" s="47">
        <f t="shared" si="22"/>
        <v>0.77329999999999999</v>
      </c>
      <c r="T110" s="48">
        <f t="shared" si="23"/>
        <v>111</v>
      </c>
      <c r="V110" s="44" t="s">
        <v>1045</v>
      </c>
      <c r="W110" s="44" t="s">
        <v>79</v>
      </c>
      <c r="X110" s="45">
        <v>17.832704796561647</v>
      </c>
      <c r="Y110" s="45">
        <v>111.9999</v>
      </c>
      <c r="Z110" s="47">
        <f t="shared" si="24"/>
        <v>1.7833000000000001</v>
      </c>
      <c r="AA110" s="48">
        <f t="shared" si="25"/>
        <v>112</v>
      </c>
      <c r="AC110" s="44" t="s">
        <v>1046</v>
      </c>
      <c r="AD110" s="44" t="s">
        <v>81</v>
      </c>
      <c r="AE110" s="45">
        <v>37.750228515100623</v>
      </c>
      <c r="AF110" s="45">
        <v>113.9999</v>
      </c>
      <c r="AG110" s="47">
        <f t="shared" si="26"/>
        <v>3.7749999999999999</v>
      </c>
      <c r="AH110" s="48">
        <f t="shared" si="27"/>
        <v>114</v>
      </c>
      <c r="AJ110" s="44" t="s">
        <v>1047</v>
      </c>
      <c r="AK110" s="44" t="s">
        <v>83</v>
      </c>
      <c r="AL110" s="45">
        <v>50.347580925281051</v>
      </c>
      <c r="AM110" s="45">
        <v>118.9999</v>
      </c>
      <c r="AN110" s="47">
        <f t="shared" si="28"/>
        <v>5.0347999999999997</v>
      </c>
      <c r="AO110" s="48">
        <f t="shared" si="29"/>
        <v>119</v>
      </c>
      <c r="AQ110" s="44" t="s">
        <v>1048</v>
      </c>
      <c r="AR110" s="44" t="s">
        <v>85</v>
      </c>
      <c r="AS110" s="45">
        <v>67.119351252012876</v>
      </c>
      <c r="AT110" s="45">
        <v>122.9999</v>
      </c>
      <c r="AU110" s="47">
        <f t="shared" si="30"/>
        <v>6.7119</v>
      </c>
      <c r="AV110" s="48">
        <f t="shared" si="31"/>
        <v>123</v>
      </c>
      <c r="AX110" s="44" t="s">
        <v>1049</v>
      </c>
      <c r="AY110" s="44" t="s">
        <v>87</v>
      </c>
      <c r="AZ110" s="45">
        <v>70.135694315301009</v>
      </c>
      <c r="BA110" s="45">
        <v>128.9999</v>
      </c>
      <c r="BB110" s="47">
        <f t="shared" si="18"/>
        <v>7.0136000000000003</v>
      </c>
      <c r="BC110" s="48">
        <f t="shared" si="19"/>
        <v>129</v>
      </c>
      <c r="BE110" s="44" t="s">
        <v>1050</v>
      </c>
      <c r="BF110" s="44" t="s">
        <v>89</v>
      </c>
      <c r="BG110" s="45">
        <v>137.349495523515</v>
      </c>
      <c r="BH110" s="45">
        <v>137.9999</v>
      </c>
      <c r="BI110" s="47">
        <f t="shared" si="32"/>
        <v>13.7349</v>
      </c>
      <c r="BJ110" s="48">
        <f t="shared" si="33"/>
        <v>138</v>
      </c>
    </row>
    <row r="111" spans="8:62" x14ac:dyDescent="0.2">
      <c r="H111" s="44" t="s">
        <v>1051</v>
      </c>
      <c r="I111" s="44" t="s">
        <v>75</v>
      </c>
      <c r="J111" s="45">
        <v>-1E-4</v>
      </c>
      <c r="K111" s="45">
        <v>108.50908731715832</v>
      </c>
      <c r="L111" s="47">
        <f t="shared" si="20"/>
        <v>0</v>
      </c>
      <c r="M111" s="48">
        <f t="shared" si="21"/>
        <v>108.5</v>
      </c>
      <c r="O111" s="44" t="s">
        <v>1052</v>
      </c>
      <c r="P111" s="44" t="s">
        <v>77</v>
      </c>
      <c r="Q111" s="45">
        <v>6.8737121172809861</v>
      </c>
      <c r="R111" s="45">
        <v>111.9999</v>
      </c>
      <c r="S111" s="47">
        <f t="shared" si="22"/>
        <v>0.68740000000000001</v>
      </c>
      <c r="T111" s="48">
        <f t="shared" si="23"/>
        <v>112</v>
      </c>
      <c r="V111" s="44" t="s">
        <v>1053</v>
      </c>
      <c r="W111" s="44" t="s">
        <v>79</v>
      </c>
      <c r="X111" s="45">
        <v>17.013700271674772</v>
      </c>
      <c r="Y111" s="45">
        <v>112.9999</v>
      </c>
      <c r="Z111" s="47">
        <f t="shared" si="24"/>
        <v>1.7014</v>
      </c>
      <c r="AA111" s="48">
        <f t="shared" si="25"/>
        <v>113</v>
      </c>
      <c r="AC111" s="44" t="s">
        <v>1054</v>
      </c>
      <c r="AD111" s="44" t="s">
        <v>81</v>
      </c>
      <c r="AE111" s="45">
        <v>36.865784070656183</v>
      </c>
      <c r="AF111" s="45">
        <v>114.9999</v>
      </c>
      <c r="AG111" s="47">
        <f t="shared" si="26"/>
        <v>3.6865999999999999</v>
      </c>
      <c r="AH111" s="48">
        <f t="shared" si="27"/>
        <v>115</v>
      </c>
      <c r="AJ111" s="44" t="s">
        <v>1055</v>
      </c>
      <c r="AK111" s="44" t="s">
        <v>83</v>
      </c>
      <c r="AL111" s="45">
        <v>49.531254394668814</v>
      </c>
      <c r="AM111" s="45">
        <v>119.9999</v>
      </c>
      <c r="AN111" s="47">
        <f t="shared" si="28"/>
        <v>4.9531000000000001</v>
      </c>
      <c r="AO111" s="48">
        <f t="shared" si="29"/>
        <v>120</v>
      </c>
      <c r="AQ111" s="44" t="s">
        <v>1056</v>
      </c>
      <c r="AR111" s="44" t="s">
        <v>85</v>
      </c>
      <c r="AS111" s="45">
        <v>66.222684585346215</v>
      </c>
      <c r="AT111" s="45">
        <v>123.9999</v>
      </c>
      <c r="AU111" s="47">
        <f t="shared" si="30"/>
        <v>6.6223000000000001</v>
      </c>
      <c r="AV111" s="48">
        <f t="shared" si="31"/>
        <v>124</v>
      </c>
      <c r="AX111" s="44" t="s">
        <v>1057</v>
      </c>
      <c r="AY111" s="44" t="s">
        <v>87</v>
      </c>
      <c r="AZ111" s="45">
        <v>69.229644640704095</v>
      </c>
      <c r="BA111" s="45">
        <v>129.9999</v>
      </c>
      <c r="BB111" s="47">
        <f t="shared" si="18"/>
        <v>6.923</v>
      </c>
      <c r="BC111" s="48">
        <f t="shared" si="19"/>
        <v>130</v>
      </c>
      <c r="BE111" s="44" t="s">
        <v>1058</v>
      </c>
      <c r="BF111" s="44" t="s">
        <v>89</v>
      </c>
      <c r="BG111" s="45">
        <v>137.01898704893875</v>
      </c>
      <c r="BH111" s="45">
        <v>138.9999</v>
      </c>
      <c r="BI111" s="47">
        <f t="shared" si="32"/>
        <v>13.7019</v>
      </c>
      <c r="BJ111" s="48">
        <f t="shared" si="33"/>
        <v>139</v>
      </c>
    </row>
    <row r="112" spans="8:62" x14ac:dyDescent="0.2">
      <c r="O112" s="44" t="s">
        <v>1059</v>
      </c>
      <c r="P112" s="44" t="s">
        <v>77</v>
      </c>
      <c r="Q112" s="45">
        <v>6.0143982695616414</v>
      </c>
      <c r="R112" s="45">
        <v>112.9999</v>
      </c>
      <c r="S112" s="47">
        <f t="shared" si="22"/>
        <v>0.60140000000000005</v>
      </c>
      <c r="T112" s="48">
        <f t="shared" si="23"/>
        <v>113</v>
      </c>
      <c r="V112" s="44" t="s">
        <v>1060</v>
      </c>
      <c r="W112" s="44" t="s">
        <v>79</v>
      </c>
      <c r="X112" s="45">
        <v>16.194900000000001</v>
      </c>
      <c r="Y112" s="45">
        <v>113.9999</v>
      </c>
      <c r="Z112" s="47">
        <f t="shared" si="24"/>
        <v>1.6194999999999999</v>
      </c>
      <c r="AA112" s="48">
        <f t="shared" si="25"/>
        <v>114</v>
      </c>
      <c r="AC112" s="44" t="s">
        <v>1061</v>
      </c>
      <c r="AD112" s="44" t="s">
        <v>81</v>
      </c>
      <c r="AE112" s="45">
        <v>35.994183821221334</v>
      </c>
      <c r="AF112" s="45">
        <v>115.9999</v>
      </c>
      <c r="AG112" s="47">
        <f t="shared" si="26"/>
        <v>3.5994000000000002</v>
      </c>
      <c r="AH112" s="48">
        <f t="shared" si="27"/>
        <v>116</v>
      </c>
      <c r="AJ112" s="44" t="s">
        <v>1062</v>
      </c>
      <c r="AK112" s="44" t="s">
        <v>83</v>
      </c>
      <c r="AL112" s="45">
        <v>48.714927864056556</v>
      </c>
      <c r="AM112" s="45">
        <v>120.9999</v>
      </c>
      <c r="AN112" s="47">
        <f t="shared" si="28"/>
        <v>4.8715000000000002</v>
      </c>
      <c r="AO112" s="48">
        <f t="shared" si="29"/>
        <v>121</v>
      </c>
      <c r="AQ112" s="44" t="s">
        <v>1063</v>
      </c>
      <c r="AR112" s="44" t="s">
        <v>85</v>
      </c>
      <c r="AS112" s="45">
        <v>65.31876186614096</v>
      </c>
      <c r="AT112" s="45">
        <v>124.9999</v>
      </c>
      <c r="AU112" s="47">
        <f t="shared" si="30"/>
        <v>6.5319000000000003</v>
      </c>
      <c r="AV112" s="48">
        <f t="shared" si="31"/>
        <v>125</v>
      </c>
      <c r="AX112" s="44" t="s">
        <v>1064</v>
      </c>
      <c r="AY112" s="44" t="s">
        <v>87</v>
      </c>
      <c r="AZ112" s="45">
        <v>68.291256015111671</v>
      </c>
      <c r="BA112" s="45">
        <v>130.9999</v>
      </c>
      <c r="BB112" s="47">
        <f t="shared" si="18"/>
        <v>6.8291000000000004</v>
      </c>
      <c r="BC112" s="48">
        <f t="shared" si="19"/>
        <v>131</v>
      </c>
      <c r="BE112" s="44" t="s">
        <v>1065</v>
      </c>
      <c r="BF112" s="44" t="s">
        <v>89</v>
      </c>
      <c r="BG112" s="45">
        <v>136.68847857436248</v>
      </c>
      <c r="BH112" s="45">
        <v>139.9999</v>
      </c>
      <c r="BI112" s="47">
        <f t="shared" si="32"/>
        <v>13.668799999999999</v>
      </c>
      <c r="BJ112" s="48">
        <f t="shared" si="33"/>
        <v>140</v>
      </c>
    </row>
    <row r="113" spans="15:62" x14ac:dyDescent="0.2">
      <c r="O113" s="44" t="s">
        <v>1066</v>
      </c>
      <c r="P113" s="44" t="s">
        <v>77</v>
      </c>
      <c r="Q113" s="45">
        <v>5.1550817680986114</v>
      </c>
      <c r="R113" s="45">
        <v>113.9999</v>
      </c>
      <c r="S113" s="47">
        <f t="shared" si="22"/>
        <v>0.51549999999999996</v>
      </c>
      <c r="T113" s="48">
        <f t="shared" si="23"/>
        <v>114</v>
      </c>
      <c r="V113" s="44" t="s">
        <v>1067</v>
      </c>
      <c r="W113" s="44" t="s">
        <v>79</v>
      </c>
      <c r="X113" s="45">
        <v>15.375691221901024</v>
      </c>
      <c r="Y113" s="45">
        <v>114.9999</v>
      </c>
      <c r="Z113" s="47">
        <f t="shared" si="24"/>
        <v>1.5376000000000001</v>
      </c>
      <c r="AA113" s="48">
        <f t="shared" si="25"/>
        <v>115</v>
      </c>
      <c r="AC113" s="44" t="s">
        <v>1068</v>
      </c>
      <c r="AD113" s="44" t="s">
        <v>81</v>
      </c>
      <c r="AE113" s="45">
        <v>35.153098549903511</v>
      </c>
      <c r="AF113" s="45">
        <v>116.9999</v>
      </c>
      <c r="AG113" s="47">
        <f t="shared" si="26"/>
        <v>3.5152999999999999</v>
      </c>
      <c r="AH113" s="48">
        <f t="shared" si="27"/>
        <v>117</v>
      </c>
      <c r="AJ113" s="44" t="s">
        <v>1069</v>
      </c>
      <c r="AK113" s="44" t="s">
        <v>83</v>
      </c>
      <c r="AL113" s="45">
        <v>47.898601333444319</v>
      </c>
      <c r="AM113" s="45">
        <v>121.9999</v>
      </c>
      <c r="AN113" s="47">
        <f t="shared" si="28"/>
        <v>4.7899000000000003</v>
      </c>
      <c r="AO113" s="48">
        <f t="shared" si="29"/>
        <v>122</v>
      </c>
      <c r="AQ113" s="44" t="s">
        <v>1070</v>
      </c>
      <c r="AR113" s="44" t="s">
        <v>85</v>
      </c>
      <c r="AS113" s="45">
        <v>64.404476151855249</v>
      </c>
      <c r="AT113" s="45">
        <v>125.9999</v>
      </c>
      <c r="AU113" s="47">
        <f t="shared" si="30"/>
        <v>6.4404000000000003</v>
      </c>
      <c r="AV113" s="48">
        <f t="shared" si="31"/>
        <v>126</v>
      </c>
      <c r="AX113" s="44" t="s">
        <v>1071</v>
      </c>
      <c r="AY113" s="44" t="s">
        <v>87</v>
      </c>
      <c r="AZ113" s="45">
        <v>67.352867389519261</v>
      </c>
      <c r="BA113" s="45">
        <v>131.9999</v>
      </c>
      <c r="BB113" s="47">
        <f t="shared" si="18"/>
        <v>6.7352999999999996</v>
      </c>
      <c r="BC113" s="48">
        <f t="shared" si="19"/>
        <v>132</v>
      </c>
      <c r="BE113" s="44" t="s">
        <v>1072</v>
      </c>
      <c r="BF113" s="44" t="s">
        <v>89</v>
      </c>
      <c r="BG113" s="45">
        <v>136.3579700997862</v>
      </c>
      <c r="BH113" s="45">
        <v>140.9999</v>
      </c>
      <c r="BI113" s="47">
        <f t="shared" si="32"/>
        <v>13.6358</v>
      </c>
      <c r="BJ113" s="48">
        <f t="shared" si="33"/>
        <v>141</v>
      </c>
    </row>
    <row r="114" spans="15:62" x14ac:dyDescent="0.2">
      <c r="O114" s="44" t="s">
        <v>1073</v>
      </c>
      <c r="P114" s="44" t="s">
        <v>77</v>
      </c>
      <c r="Q114" s="45">
        <v>4.2954326452915934</v>
      </c>
      <c r="R114" s="45">
        <v>114.9999</v>
      </c>
      <c r="S114" s="47">
        <f t="shared" si="22"/>
        <v>0.42949999999999999</v>
      </c>
      <c r="T114" s="48">
        <f t="shared" si="23"/>
        <v>115</v>
      </c>
      <c r="V114" s="44" t="s">
        <v>1074</v>
      </c>
      <c r="W114" s="44" t="s">
        <v>79</v>
      </c>
      <c r="X114" s="45">
        <v>14.556686697014149</v>
      </c>
      <c r="Y114" s="45">
        <v>115.9999</v>
      </c>
      <c r="Z114" s="47">
        <f t="shared" si="24"/>
        <v>1.4557</v>
      </c>
      <c r="AA114" s="48">
        <f t="shared" si="25"/>
        <v>116</v>
      </c>
      <c r="AC114" s="44" t="s">
        <v>1075</v>
      </c>
      <c r="AD114" s="44" t="s">
        <v>81</v>
      </c>
      <c r="AE114" s="45">
        <v>34.312013278585674</v>
      </c>
      <c r="AF114" s="45">
        <v>117.9999</v>
      </c>
      <c r="AG114" s="47">
        <f t="shared" si="26"/>
        <v>3.4312</v>
      </c>
      <c r="AH114" s="48">
        <f t="shared" si="27"/>
        <v>118</v>
      </c>
      <c r="AJ114" s="44" t="s">
        <v>1076</v>
      </c>
      <c r="AK114" s="44" t="s">
        <v>83</v>
      </c>
      <c r="AL114" s="45">
        <v>47.082274802832075</v>
      </c>
      <c r="AM114" s="45">
        <v>122.9999</v>
      </c>
      <c r="AN114" s="47">
        <f t="shared" si="28"/>
        <v>4.7081999999999997</v>
      </c>
      <c r="AO114" s="48">
        <f t="shared" si="29"/>
        <v>123</v>
      </c>
      <c r="AQ114" s="44" t="s">
        <v>1077</v>
      </c>
      <c r="AR114" s="44" t="s">
        <v>85</v>
      </c>
      <c r="AS114" s="45">
        <v>63.490190437569538</v>
      </c>
      <c r="AT114" s="45">
        <v>126.9999</v>
      </c>
      <c r="AU114" s="47">
        <f t="shared" si="30"/>
        <v>6.3490000000000002</v>
      </c>
      <c r="AV114" s="48">
        <f t="shared" si="31"/>
        <v>127</v>
      </c>
      <c r="AX114" s="44" t="s">
        <v>1078</v>
      </c>
      <c r="AY114" s="44" t="s">
        <v>87</v>
      </c>
      <c r="AZ114" s="45">
        <v>66.414478763926837</v>
      </c>
      <c r="BA114" s="45">
        <v>132.9999</v>
      </c>
      <c r="BB114" s="47">
        <f t="shared" si="18"/>
        <v>6.6414</v>
      </c>
      <c r="BC114" s="48">
        <f t="shared" si="19"/>
        <v>133</v>
      </c>
      <c r="BE114" s="44" t="s">
        <v>1079</v>
      </c>
      <c r="BF114" s="44" t="s">
        <v>89</v>
      </c>
      <c r="BG114" s="45">
        <v>136.02746162520992</v>
      </c>
      <c r="BH114" s="45">
        <v>141.9999</v>
      </c>
      <c r="BI114" s="47">
        <f t="shared" si="32"/>
        <v>13.6027</v>
      </c>
      <c r="BJ114" s="48">
        <f t="shared" si="33"/>
        <v>142</v>
      </c>
    </row>
    <row r="115" spans="15:62" x14ac:dyDescent="0.2">
      <c r="O115" s="44" t="s">
        <v>1080</v>
      </c>
      <c r="P115" s="44" t="s">
        <v>77</v>
      </c>
      <c r="Q115" s="45">
        <v>3.435783522484575</v>
      </c>
      <c r="R115" s="45">
        <v>115.9999</v>
      </c>
      <c r="S115" s="47">
        <f t="shared" si="22"/>
        <v>0.34360000000000002</v>
      </c>
      <c r="T115" s="48">
        <f t="shared" si="23"/>
        <v>116</v>
      </c>
      <c r="V115" s="44" t="s">
        <v>1081</v>
      </c>
      <c r="W115" s="44" t="s">
        <v>79</v>
      </c>
      <c r="X115" s="45">
        <v>13.737682172127274</v>
      </c>
      <c r="Y115" s="45">
        <v>116.9999</v>
      </c>
      <c r="Z115" s="47">
        <f t="shared" si="24"/>
        <v>1.3737999999999999</v>
      </c>
      <c r="AA115" s="48">
        <f t="shared" si="25"/>
        <v>117</v>
      </c>
      <c r="AC115" s="44" t="s">
        <v>1082</v>
      </c>
      <c r="AD115" s="44" t="s">
        <v>81</v>
      </c>
      <c r="AE115" s="45">
        <v>33.470928007267851</v>
      </c>
      <c r="AF115" s="45">
        <v>118.9999</v>
      </c>
      <c r="AG115" s="47">
        <f t="shared" si="26"/>
        <v>3.3471000000000002</v>
      </c>
      <c r="AH115" s="48">
        <f t="shared" si="27"/>
        <v>119</v>
      </c>
      <c r="AJ115" s="44" t="s">
        <v>1083</v>
      </c>
      <c r="AK115" s="44" t="s">
        <v>83</v>
      </c>
      <c r="AL115" s="45">
        <v>46.265948272219816</v>
      </c>
      <c r="AM115" s="45">
        <v>123.9999</v>
      </c>
      <c r="AN115" s="47">
        <f t="shared" si="28"/>
        <v>4.6265999999999998</v>
      </c>
      <c r="AO115" s="48">
        <f t="shared" si="29"/>
        <v>124</v>
      </c>
      <c r="AQ115" s="44" t="s">
        <v>1084</v>
      </c>
      <c r="AR115" s="44" t="s">
        <v>85</v>
      </c>
      <c r="AS115" s="45">
        <v>62.57590472328382</v>
      </c>
      <c r="AT115" s="45">
        <v>127.9999</v>
      </c>
      <c r="AU115" s="47">
        <f t="shared" si="30"/>
        <v>6.2576000000000001</v>
      </c>
      <c r="AV115" s="48">
        <f t="shared" si="31"/>
        <v>128</v>
      </c>
      <c r="AX115" s="44" t="s">
        <v>1085</v>
      </c>
      <c r="AY115" s="44" t="s">
        <v>87</v>
      </c>
      <c r="AZ115" s="45">
        <v>65.476090138334428</v>
      </c>
      <c r="BA115" s="45">
        <v>133.9999</v>
      </c>
      <c r="BB115" s="47">
        <f t="shared" si="18"/>
        <v>6.5476000000000001</v>
      </c>
      <c r="BC115" s="48">
        <f t="shared" si="19"/>
        <v>134</v>
      </c>
      <c r="BE115" s="44" t="s">
        <v>1086</v>
      </c>
      <c r="BF115" s="44" t="s">
        <v>89</v>
      </c>
      <c r="BG115" s="45">
        <v>135.69695315063368</v>
      </c>
      <c r="BH115" s="45">
        <v>142.9999</v>
      </c>
      <c r="BI115" s="47">
        <f t="shared" si="32"/>
        <v>13.569699999999999</v>
      </c>
      <c r="BJ115" s="48">
        <f t="shared" si="33"/>
        <v>143</v>
      </c>
    </row>
    <row r="116" spans="15:62" x14ac:dyDescent="0.2">
      <c r="O116" s="44" t="s">
        <v>1087</v>
      </c>
      <c r="P116" s="44" t="s">
        <v>77</v>
      </c>
      <c r="Q116" s="45">
        <v>2.576134399677577</v>
      </c>
      <c r="R116" s="45">
        <v>116.9999</v>
      </c>
      <c r="S116" s="47">
        <f t="shared" si="22"/>
        <v>0.2576</v>
      </c>
      <c r="T116" s="48">
        <f t="shared" si="23"/>
        <v>117</v>
      </c>
      <c r="V116" s="44" t="s">
        <v>1088</v>
      </c>
      <c r="W116" s="44" t="s">
        <v>79</v>
      </c>
      <c r="X116" s="45">
        <v>12.918677647240379</v>
      </c>
      <c r="Y116" s="45">
        <v>117.9999</v>
      </c>
      <c r="Z116" s="47">
        <f t="shared" si="24"/>
        <v>1.2919</v>
      </c>
      <c r="AA116" s="48">
        <f t="shared" si="25"/>
        <v>118</v>
      </c>
      <c r="AC116" s="44" t="s">
        <v>1089</v>
      </c>
      <c r="AD116" s="44" t="s">
        <v>81</v>
      </c>
      <c r="AE116" s="45">
        <v>32.629842735950014</v>
      </c>
      <c r="AF116" s="45">
        <v>119.9999</v>
      </c>
      <c r="AG116" s="47">
        <f t="shared" si="26"/>
        <v>3.2629999999999999</v>
      </c>
      <c r="AH116" s="48">
        <f t="shared" si="27"/>
        <v>120</v>
      </c>
      <c r="AJ116" s="44" t="s">
        <v>1090</v>
      </c>
      <c r="AK116" s="44" t="s">
        <v>83</v>
      </c>
      <c r="AL116" s="45">
        <v>45.449621741607579</v>
      </c>
      <c r="AM116" s="45">
        <v>124.9999</v>
      </c>
      <c r="AN116" s="47">
        <f t="shared" si="28"/>
        <v>4.5449999999999999</v>
      </c>
      <c r="AO116" s="48">
        <f t="shared" si="29"/>
        <v>125</v>
      </c>
      <c r="AQ116" s="44" t="s">
        <v>1091</v>
      </c>
      <c r="AR116" s="44" t="s">
        <v>85</v>
      </c>
      <c r="AS116" s="45">
        <v>61.661619008998095</v>
      </c>
      <c r="AT116" s="45">
        <v>128.9999</v>
      </c>
      <c r="AU116" s="47">
        <f t="shared" si="30"/>
        <v>6.1661999999999999</v>
      </c>
      <c r="AV116" s="48">
        <f t="shared" si="31"/>
        <v>129</v>
      </c>
      <c r="AX116" s="44" t="s">
        <v>1092</v>
      </c>
      <c r="AY116" s="44" t="s">
        <v>87</v>
      </c>
      <c r="AZ116" s="45">
        <v>64.537701512742004</v>
      </c>
      <c r="BA116" s="45">
        <v>134.9999</v>
      </c>
      <c r="BB116" s="47">
        <f t="shared" si="18"/>
        <v>6.4538000000000002</v>
      </c>
      <c r="BC116" s="48">
        <f t="shared" si="19"/>
        <v>135</v>
      </c>
      <c r="BE116" s="44" t="s">
        <v>1093</v>
      </c>
      <c r="BF116" s="44" t="s">
        <v>89</v>
      </c>
      <c r="BG116" s="45">
        <v>135.3664446760574</v>
      </c>
      <c r="BH116" s="45">
        <v>143.9999</v>
      </c>
      <c r="BI116" s="47">
        <f t="shared" si="32"/>
        <v>13.5366</v>
      </c>
      <c r="BJ116" s="48">
        <f t="shared" si="33"/>
        <v>144</v>
      </c>
    </row>
    <row r="117" spans="15:62" x14ac:dyDescent="0.2">
      <c r="O117" s="44" t="s">
        <v>1094</v>
      </c>
      <c r="P117" s="44" t="s">
        <v>77</v>
      </c>
      <c r="Q117" s="45">
        <v>1.7164852768705592</v>
      </c>
      <c r="R117" s="45">
        <v>117.9999</v>
      </c>
      <c r="S117" s="47">
        <f t="shared" si="22"/>
        <v>0.1716</v>
      </c>
      <c r="T117" s="48">
        <f t="shared" si="23"/>
        <v>118</v>
      </c>
      <c r="V117" s="44" t="s">
        <v>1095</v>
      </c>
      <c r="W117" s="44" t="s">
        <v>79</v>
      </c>
      <c r="X117" s="45">
        <v>12.0999</v>
      </c>
      <c r="Y117" s="45">
        <v>118.9999</v>
      </c>
      <c r="Z117" s="47">
        <f t="shared" si="24"/>
        <v>1.21</v>
      </c>
      <c r="AA117" s="48">
        <f t="shared" si="25"/>
        <v>119</v>
      </c>
      <c r="AC117" s="44" t="s">
        <v>1096</v>
      </c>
      <c r="AD117" s="44" t="s">
        <v>81</v>
      </c>
      <c r="AE117" s="45">
        <v>31.788757464632194</v>
      </c>
      <c r="AF117" s="45">
        <v>120.9999</v>
      </c>
      <c r="AG117" s="47">
        <f t="shared" si="26"/>
        <v>3.1789000000000001</v>
      </c>
      <c r="AH117" s="48">
        <f t="shared" si="27"/>
        <v>121</v>
      </c>
      <c r="AJ117" s="44" t="s">
        <v>1097</v>
      </c>
      <c r="AK117" s="44" t="s">
        <v>83</v>
      </c>
      <c r="AL117" s="45">
        <v>44.633295210995342</v>
      </c>
      <c r="AM117" s="45">
        <v>125.9999</v>
      </c>
      <c r="AN117" s="47">
        <f t="shared" si="28"/>
        <v>4.4633000000000003</v>
      </c>
      <c r="AO117" s="48">
        <f t="shared" si="29"/>
        <v>126</v>
      </c>
      <c r="AQ117" s="44" t="s">
        <v>1098</v>
      </c>
      <c r="AR117" s="44" t="s">
        <v>85</v>
      </c>
      <c r="AS117" s="45">
        <v>60.747333294712391</v>
      </c>
      <c r="AT117" s="45">
        <v>129.9999</v>
      </c>
      <c r="AU117" s="47">
        <f t="shared" si="30"/>
        <v>6.0747</v>
      </c>
      <c r="AV117" s="48">
        <f t="shared" si="31"/>
        <v>130</v>
      </c>
      <c r="AX117" s="44" t="s">
        <v>1099</v>
      </c>
      <c r="AY117" s="44" t="s">
        <v>87</v>
      </c>
      <c r="AZ117" s="45">
        <v>63.599312887149587</v>
      </c>
      <c r="BA117" s="45">
        <v>135.9999</v>
      </c>
      <c r="BB117" s="47">
        <f t="shared" si="18"/>
        <v>6.3598999999999997</v>
      </c>
      <c r="BC117" s="48">
        <f t="shared" si="19"/>
        <v>136</v>
      </c>
      <c r="BE117" s="44" t="s">
        <v>1100</v>
      </c>
      <c r="BF117" s="44" t="s">
        <v>89</v>
      </c>
      <c r="BG117" s="45">
        <v>135.0388519961046</v>
      </c>
      <c r="BH117" s="45">
        <v>144.9999</v>
      </c>
      <c r="BI117" s="47">
        <f t="shared" si="32"/>
        <v>13.5039</v>
      </c>
      <c r="BJ117" s="48">
        <f t="shared" si="33"/>
        <v>145</v>
      </c>
    </row>
    <row r="118" spans="15:62" x14ac:dyDescent="0.2">
      <c r="O118" s="44" t="s">
        <v>1101</v>
      </c>
      <c r="P118" s="44" t="s">
        <v>77</v>
      </c>
      <c r="Q118" s="45">
        <v>0.85683615406354119</v>
      </c>
      <c r="R118" s="45">
        <v>118.9999</v>
      </c>
      <c r="S118" s="47">
        <f t="shared" si="22"/>
        <v>8.5699999999999998E-2</v>
      </c>
      <c r="T118" s="48">
        <f t="shared" si="23"/>
        <v>119</v>
      </c>
      <c r="V118" s="44" t="s">
        <v>1102</v>
      </c>
      <c r="W118" s="44" t="s">
        <v>79</v>
      </c>
      <c r="X118" s="45">
        <v>11.280900000000001</v>
      </c>
      <c r="Y118" s="45">
        <v>119.9999</v>
      </c>
      <c r="Z118" s="47">
        <f t="shared" si="24"/>
        <v>1.1281000000000001</v>
      </c>
      <c r="AA118" s="48">
        <f t="shared" si="25"/>
        <v>120</v>
      </c>
      <c r="AC118" s="44" t="s">
        <v>1103</v>
      </c>
      <c r="AD118" s="44" t="s">
        <v>81</v>
      </c>
      <c r="AE118" s="45">
        <v>30.947672193314375</v>
      </c>
      <c r="AF118" s="45">
        <v>121.9999</v>
      </c>
      <c r="AG118" s="47">
        <f t="shared" si="26"/>
        <v>3.0948000000000002</v>
      </c>
      <c r="AH118" s="48">
        <f t="shared" si="27"/>
        <v>122</v>
      </c>
      <c r="AJ118" s="44" t="s">
        <v>1104</v>
      </c>
      <c r="AK118" s="44" t="s">
        <v>83</v>
      </c>
      <c r="AL118" s="45">
        <v>43.815617854823749</v>
      </c>
      <c r="AM118" s="45">
        <v>126.9999</v>
      </c>
      <c r="AN118" s="47">
        <f t="shared" si="28"/>
        <v>4.3815999999999997</v>
      </c>
      <c r="AO118" s="48">
        <f t="shared" si="29"/>
        <v>127</v>
      </c>
      <c r="AQ118" s="44" t="s">
        <v>1105</v>
      </c>
      <c r="AR118" s="44" t="s">
        <v>85</v>
      </c>
      <c r="AS118" s="45">
        <v>59.833047580426665</v>
      </c>
      <c r="AT118" s="45">
        <v>130.9999</v>
      </c>
      <c r="AU118" s="47">
        <f t="shared" si="30"/>
        <v>5.9832999999999998</v>
      </c>
      <c r="AV118" s="48">
        <f t="shared" si="31"/>
        <v>131</v>
      </c>
      <c r="AX118" s="44" t="s">
        <v>1106</v>
      </c>
      <c r="AY118" s="44" t="s">
        <v>87</v>
      </c>
      <c r="AZ118" s="45">
        <v>62.66092426155717</v>
      </c>
      <c r="BA118" s="45">
        <v>136.9999</v>
      </c>
      <c r="BB118" s="47">
        <f t="shared" si="18"/>
        <v>6.2660999999999998</v>
      </c>
      <c r="BC118" s="48">
        <f t="shared" si="19"/>
        <v>137</v>
      </c>
      <c r="BE118" s="44" t="s">
        <v>1107</v>
      </c>
      <c r="BF118" s="44" t="s">
        <v>89</v>
      </c>
      <c r="BG118" s="45">
        <v>134.7163775794763</v>
      </c>
      <c r="BH118" s="45">
        <v>145.9999</v>
      </c>
      <c r="BI118" s="47">
        <f t="shared" si="32"/>
        <v>13.4716</v>
      </c>
      <c r="BJ118" s="48">
        <f t="shared" si="33"/>
        <v>146</v>
      </c>
    </row>
    <row r="119" spans="15:62" x14ac:dyDescent="0.2">
      <c r="O119" s="44" t="s">
        <v>1108</v>
      </c>
      <c r="P119" s="44" t="s">
        <v>77</v>
      </c>
      <c r="Q119" s="45">
        <v>-1E-4</v>
      </c>
      <c r="R119" s="45">
        <v>119.9999</v>
      </c>
      <c r="S119" s="47">
        <f t="shared" si="22"/>
        <v>0</v>
      </c>
      <c r="T119" s="48">
        <f t="shared" si="23"/>
        <v>120</v>
      </c>
      <c r="V119" s="44" t="s">
        <v>1109</v>
      </c>
      <c r="W119" s="44" t="s">
        <v>79</v>
      </c>
      <c r="X119" s="45">
        <v>10.461664072579755</v>
      </c>
      <c r="Y119" s="45">
        <v>120.9999</v>
      </c>
      <c r="Z119" s="47">
        <f t="shared" si="24"/>
        <v>1.0462</v>
      </c>
      <c r="AA119" s="48">
        <f t="shared" si="25"/>
        <v>121</v>
      </c>
      <c r="AC119" s="44" t="s">
        <v>1110</v>
      </c>
      <c r="AD119" s="44" t="s">
        <v>81</v>
      </c>
      <c r="AE119" s="45">
        <v>30.106586921996534</v>
      </c>
      <c r="AF119" s="45">
        <v>122.9999</v>
      </c>
      <c r="AG119" s="47">
        <f t="shared" si="26"/>
        <v>3.0106999999999999</v>
      </c>
      <c r="AH119" s="48">
        <f t="shared" si="27"/>
        <v>123</v>
      </c>
      <c r="AJ119" s="44" t="s">
        <v>1111</v>
      </c>
      <c r="AK119" s="44" t="s">
        <v>83</v>
      </c>
      <c r="AL119" s="45">
        <v>42.933264913647264</v>
      </c>
      <c r="AM119" s="45">
        <v>127.9999</v>
      </c>
      <c r="AN119" s="47">
        <f t="shared" si="28"/>
        <v>4.2933000000000003</v>
      </c>
      <c r="AO119" s="48">
        <f t="shared" si="29"/>
        <v>128</v>
      </c>
      <c r="AQ119" s="44" t="s">
        <v>1112</v>
      </c>
      <c r="AR119" s="44" t="s">
        <v>85</v>
      </c>
      <c r="AS119" s="45">
        <v>58.918761866140962</v>
      </c>
      <c r="AT119" s="45">
        <v>131.9999</v>
      </c>
      <c r="AU119" s="47">
        <f t="shared" si="30"/>
        <v>5.8918999999999997</v>
      </c>
      <c r="AV119" s="48">
        <f t="shared" si="31"/>
        <v>132</v>
      </c>
      <c r="AX119" s="44" t="s">
        <v>1113</v>
      </c>
      <c r="AY119" s="44" t="s">
        <v>87</v>
      </c>
      <c r="AZ119" s="45">
        <v>61.73119174035984</v>
      </c>
      <c r="BA119" s="45">
        <v>137.9999</v>
      </c>
      <c r="BB119" s="47">
        <f t="shared" si="18"/>
        <v>6.1730999999999998</v>
      </c>
      <c r="BC119" s="48">
        <f t="shared" si="19"/>
        <v>138</v>
      </c>
      <c r="BE119" s="44" t="s">
        <v>1114</v>
      </c>
      <c r="BF119" s="44" t="s">
        <v>89</v>
      </c>
      <c r="BG119" s="45">
        <v>134.39390316284798</v>
      </c>
      <c r="BH119" s="45">
        <v>146.9999</v>
      </c>
      <c r="BI119" s="47">
        <f t="shared" si="32"/>
        <v>13.439399999999999</v>
      </c>
      <c r="BJ119" s="48">
        <f t="shared" si="33"/>
        <v>147</v>
      </c>
    </row>
    <row r="120" spans="15:62" x14ac:dyDescent="0.2">
      <c r="V120" s="44" t="s">
        <v>1115</v>
      </c>
      <c r="W120" s="44" t="s">
        <v>79</v>
      </c>
      <c r="X120" s="45">
        <v>9.6426595476928796</v>
      </c>
      <c r="Y120" s="45">
        <v>121.9999</v>
      </c>
      <c r="Z120" s="47">
        <f t="shared" si="24"/>
        <v>0.96430000000000005</v>
      </c>
      <c r="AA120" s="48">
        <f t="shared" si="25"/>
        <v>122</v>
      </c>
      <c r="AC120" s="44" t="s">
        <v>1116</v>
      </c>
      <c r="AD120" s="44" t="s">
        <v>81</v>
      </c>
      <c r="AE120" s="45">
        <v>29.265501650678711</v>
      </c>
      <c r="AF120" s="45">
        <v>123.9999</v>
      </c>
      <c r="AG120" s="47">
        <f t="shared" si="26"/>
        <v>2.9266000000000001</v>
      </c>
      <c r="AH120" s="48">
        <f t="shared" si="27"/>
        <v>124</v>
      </c>
      <c r="AJ120" s="44" t="s">
        <v>1117</v>
      </c>
      <c r="AK120" s="44" t="s">
        <v>83</v>
      </c>
      <c r="AL120" s="45">
        <v>42.0509119724708</v>
      </c>
      <c r="AM120" s="45">
        <v>128.9999</v>
      </c>
      <c r="AN120" s="47">
        <f t="shared" si="28"/>
        <v>4.2050999999999998</v>
      </c>
      <c r="AO120" s="48">
        <f t="shared" si="29"/>
        <v>129</v>
      </c>
      <c r="AQ120" s="44" t="s">
        <v>1118</v>
      </c>
      <c r="AR120" s="44" t="s">
        <v>85</v>
      </c>
      <c r="AS120" s="45">
        <v>58.004476151855243</v>
      </c>
      <c r="AT120" s="45">
        <v>132.9999</v>
      </c>
      <c r="AU120" s="47">
        <f t="shared" si="30"/>
        <v>5.8003999999999998</v>
      </c>
      <c r="AV120" s="48">
        <f t="shared" si="31"/>
        <v>133</v>
      </c>
      <c r="AX120" s="44" t="s">
        <v>1119</v>
      </c>
      <c r="AY120" s="44" t="s">
        <v>87</v>
      </c>
      <c r="AZ120" s="45">
        <v>60.823499432667525</v>
      </c>
      <c r="BA120" s="45">
        <v>138.9999</v>
      </c>
      <c r="BB120" s="47">
        <f t="shared" si="18"/>
        <v>6.0823</v>
      </c>
      <c r="BC120" s="48">
        <f t="shared" si="19"/>
        <v>139</v>
      </c>
      <c r="BE120" s="44" t="s">
        <v>1120</v>
      </c>
      <c r="BF120" s="44" t="s">
        <v>89</v>
      </c>
      <c r="BG120" s="45">
        <v>134.07142874621968</v>
      </c>
      <c r="BH120" s="45">
        <v>147.9999</v>
      </c>
      <c r="BI120" s="47">
        <f t="shared" si="32"/>
        <v>13.4071</v>
      </c>
      <c r="BJ120" s="48">
        <f t="shared" si="33"/>
        <v>148</v>
      </c>
    </row>
    <row r="121" spans="15:62" x14ac:dyDescent="0.2">
      <c r="V121" s="44" t="s">
        <v>1121</v>
      </c>
      <c r="W121" s="44" t="s">
        <v>79</v>
      </c>
      <c r="X121" s="45">
        <v>8.8294806912721953</v>
      </c>
      <c r="Y121" s="45">
        <v>122.9999</v>
      </c>
      <c r="Z121" s="47">
        <f t="shared" si="24"/>
        <v>0.88290000000000002</v>
      </c>
      <c r="AA121" s="48">
        <f t="shared" si="25"/>
        <v>123</v>
      </c>
      <c r="AC121" s="44" t="s">
        <v>1122</v>
      </c>
      <c r="AD121" s="44" t="s">
        <v>81</v>
      </c>
      <c r="AE121" s="45">
        <v>28.424416379360871</v>
      </c>
      <c r="AF121" s="45">
        <v>124.9999</v>
      </c>
      <c r="AG121" s="47">
        <f t="shared" si="26"/>
        <v>2.8424</v>
      </c>
      <c r="AH121" s="48">
        <f t="shared" si="27"/>
        <v>125</v>
      </c>
      <c r="AJ121" s="44" t="s">
        <v>1123</v>
      </c>
      <c r="AK121" s="44" t="s">
        <v>83</v>
      </c>
      <c r="AL121" s="45">
        <v>41.168559031294329</v>
      </c>
      <c r="AM121" s="45">
        <v>129.9999</v>
      </c>
      <c r="AN121" s="47">
        <f t="shared" si="28"/>
        <v>4.1169000000000002</v>
      </c>
      <c r="AO121" s="48">
        <f t="shared" si="29"/>
        <v>130</v>
      </c>
      <c r="AQ121" s="44" t="s">
        <v>1124</v>
      </c>
      <c r="AR121" s="44" t="s">
        <v>85</v>
      </c>
      <c r="AS121" s="45">
        <v>57.090190437569539</v>
      </c>
      <c r="AT121" s="45">
        <v>133.9999</v>
      </c>
      <c r="AU121" s="47">
        <f t="shared" si="30"/>
        <v>5.7089999999999996</v>
      </c>
      <c r="AV121" s="48">
        <f t="shared" si="31"/>
        <v>134</v>
      </c>
      <c r="AX121" s="44" t="s">
        <v>1125</v>
      </c>
      <c r="AY121" s="44" t="s">
        <v>87</v>
      </c>
      <c r="AZ121" s="45">
        <v>59.915807124975224</v>
      </c>
      <c r="BA121" s="45">
        <v>139.9999</v>
      </c>
      <c r="BB121" s="47">
        <f t="shared" si="18"/>
        <v>5.9916</v>
      </c>
      <c r="BC121" s="48">
        <f t="shared" si="19"/>
        <v>140</v>
      </c>
      <c r="BE121" s="44" t="s">
        <v>1126</v>
      </c>
      <c r="BF121" s="44" t="s">
        <v>89</v>
      </c>
      <c r="BG121" s="45">
        <v>133.74895432959138</v>
      </c>
      <c r="BH121" s="45">
        <v>148.9999</v>
      </c>
      <c r="BI121" s="47">
        <f t="shared" si="32"/>
        <v>13.3749</v>
      </c>
      <c r="BJ121" s="48">
        <f t="shared" si="33"/>
        <v>149</v>
      </c>
    </row>
    <row r="122" spans="15:62" x14ac:dyDescent="0.2">
      <c r="V122" s="44" t="s">
        <v>1127</v>
      </c>
      <c r="W122" s="44" t="s">
        <v>79</v>
      </c>
      <c r="X122" s="45">
        <v>8.0930465827450639</v>
      </c>
      <c r="Y122" s="45">
        <v>123.9999</v>
      </c>
      <c r="Z122" s="47">
        <f t="shared" si="24"/>
        <v>0.80930000000000002</v>
      </c>
      <c r="AA122" s="48">
        <f t="shared" si="25"/>
        <v>124</v>
      </c>
      <c r="AC122" s="44" t="s">
        <v>1128</v>
      </c>
      <c r="AD122" s="44" t="s">
        <v>81</v>
      </c>
      <c r="AE122" s="45">
        <v>26.782215914378213</v>
      </c>
      <c r="AF122" s="45">
        <v>126.9999</v>
      </c>
      <c r="AG122" s="47">
        <f t="shared" si="26"/>
        <v>2.6781999999999999</v>
      </c>
      <c r="AH122" s="48">
        <f t="shared" si="27"/>
        <v>127</v>
      </c>
      <c r="AJ122" s="44" t="s">
        <v>1129</v>
      </c>
      <c r="AK122" s="44" t="s">
        <v>83</v>
      </c>
      <c r="AL122" s="45">
        <v>40.286206090117858</v>
      </c>
      <c r="AM122" s="45">
        <v>130.9999</v>
      </c>
      <c r="AN122" s="47">
        <f t="shared" si="28"/>
        <v>4.0286</v>
      </c>
      <c r="AO122" s="48">
        <f t="shared" si="29"/>
        <v>131</v>
      </c>
      <c r="AQ122" s="44" t="s">
        <v>1130</v>
      </c>
      <c r="AR122" s="44" t="s">
        <v>85</v>
      </c>
      <c r="AS122" s="45">
        <v>56.175904723283814</v>
      </c>
      <c r="AT122" s="45">
        <v>134.9999</v>
      </c>
      <c r="AU122" s="47">
        <f t="shared" si="30"/>
        <v>5.6176000000000004</v>
      </c>
      <c r="AV122" s="48">
        <f t="shared" si="31"/>
        <v>135</v>
      </c>
      <c r="AX122" s="44" t="s">
        <v>1131</v>
      </c>
      <c r="AY122" s="44" t="s">
        <v>87</v>
      </c>
      <c r="AZ122" s="45">
        <v>59.008114817282902</v>
      </c>
      <c r="BA122" s="45">
        <v>140.9999</v>
      </c>
      <c r="BB122" s="47">
        <f t="shared" si="18"/>
        <v>5.9008000000000003</v>
      </c>
      <c r="BC122" s="48">
        <f t="shared" si="19"/>
        <v>141</v>
      </c>
      <c r="BE122" s="44" t="s">
        <v>1132</v>
      </c>
      <c r="BF122" s="44" t="s">
        <v>89</v>
      </c>
      <c r="BG122" s="45">
        <v>133.42647991296306</v>
      </c>
      <c r="BH122" s="45">
        <v>149.9999</v>
      </c>
      <c r="BI122" s="47">
        <f t="shared" si="32"/>
        <v>13.342599999999999</v>
      </c>
      <c r="BJ122" s="48">
        <f t="shared" si="33"/>
        <v>150</v>
      </c>
    </row>
    <row r="123" spans="15:62" x14ac:dyDescent="0.2">
      <c r="V123" s="44" t="s">
        <v>1133</v>
      </c>
      <c r="W123" s="44" t="s">
        <v>79</v>
      </c>
      <c r="X123" s="45">
        <v>7.3566124742179326</v>
      </c>
      <c r="Y123" s="45">
        <v>124.9999</v>
      </c>
      <c r="Z123" s="47">
        <f t="shared" si="24"/>
        <v>0.73570000000000002</v>
      </c>
      <c r="AA123" s="48">
        <f t="shared" si="25"/>
        <v>125</v>
      </c>
      <c r="AC123" s="44" t="s">
        <v>1134</v>
      </c>
      <c r="AD123" s="44" t="s">
        <v>81</v>
      </c>
      <c r="AE123" s="45">
        <v>25.967187012644121</v>
      </c>
      <c r="AF123" s="45">
        <v>127.9999</v>
      </c>
      <c r="AG123" s="47">
        <f t="shared" si="26"/>
        <v>2.5966999999999998</v>
      </c>
      <c r="AH123" s="48">
        <f t="shared" si="27"/>
        <v>128</v>
      </c>
      <c r="AJ123" s="44" t="s">
        <v>1135</v>
      </c>
      <c r="AK123" s="44" t="s">
        <v>83</v>
      </c>
      <c r="AL123" s="45">
        <v>39.403853148941373</v>
      </c>
      <c r="AM123" s="45">
        <v>131.9999</v>
      </c>
      <c r="AN123" s="47">
        <f t="shared" si="28"/>
        <v>3.9403999999999999</v>
      </c>
      <c r="AO123" s="48">
        <f t="shared" si="29"/>
        <v>132</v>
      </c>
      <c r="AQ123" s="44" t="s">
        <v>1136</v>
      </c>
      <c r="AR123" s="44" t="s">
        <v>85</v>
      </c>
      <c r="AS123" s="45">
        <v>55.295276725710941</v>
      </c>
      <c r="AT123" s="45">
        <v>135.9999</v>
      </c>
      <c r="AU123" s="47">
        <f t="shared" si="30"/>
        <v>5.5294999999999996</v>
      </c>
      <c r="AV123" s="48">
        <f t="shared" si="31"/>
        <v>136</v>
      </c>
      <c r="AX123" s="44" t="s">
        <v>1137</v>
      </c>
      <c r="AY123" s="44" t="s">
        <v>87</v>
      </c>
      <c r="AZ123" s="45">
        <v>58.100422509590601</v>
      </c>
      <c r="BA123" s="45">
        <v>141.9999</v>
      </c>
      <c r="BB123" s="47">
        <f t="shared" si="18"/>
        <v>5.81</v>
      </c>
      <c r="BC123" s="48">
        <f t="shared" si="19"/>
        <v>142</v>
      </c>
      <c r="BE123" s="44" t="s">
        <v>1138</v>
      </c>
      <c r="BF123" s="44" t="s">
        <v>89</v>
      </c>
      <c r="BG123" s="45">
        <v>133.10400549633476</v>
      </c>
      <c r="BH123" s="45">
        <v>150.9999</v>
      </c>
      <c r="BI123" s="47">
        <f t="shared" si="32"/>
        <v>13.3104</v>
      </c>
      <c r="BJ123" s="48">
        <f t="shared" si="33"/>
        <v>151</v>
      </c>
    </row>
    <row r="124" spans="15:62" x14ac:dyDescent="0.2">
      <c r="V124" s="44" t="s">
        <v>1139</v>
      </c>
      <c r="W124" s="44" t="s">
        <v>79</v>
      </c>
      <c r="X124" s="45">
        <v>5.8837442571636505</v>
      </c>
      <c r="Y124" s="45">
        <v>126.9999</v>
      </c>
      <c r="Z124" s="47">
        <f t="shared" si="24"/>
        <v>0.58840000000000003</v>
      </c>
      <c r="AA124" s="48">
        <f t="shared" si="25"/>
        <v>127</v>
      </c>
      <c r="AC124" s="44" t="s">
        <v>1140</v>
      </c>
      <c r="AD124" s="44" t="s">
        <v>81</v>
      </c>
      <c r="AE124" s="45">
        <v>25.152158110910012</v>
      </c>
      <c r="AF124" s="45">
        <v>128.9999</v>
      </c>
      <c r="AG124" s="47">
        <f t="shared" si="26"/>
        <v>2.5152000000000001</v>
      </c>
      <c r="AH124" s="48">
        <f t="shared" si="27"/>
        <v>129</v>
      </c>
      <c r="AJ124" s="44" t="s">
        <v>1141</v>
      </c>
      <c r="AK124" s="44" t="s">
        <v>83</v>
      </c>
      <c r="AL124" s="45">
        <v>38.521500207764909</v>
      </c>
      <c r="AM124" s="45">
        <v>132.9999</v>
      </c>
      <c r="AN124" s="47">
        <f t="shared" si="28"/>
        <v>3.8521999999999998</v>
      </c>
      <c r="AO124" s="48">
        <f t="shared" si="29"/>
        <v>133</v>
      </c>
      <c r="AQ124" s="44" t="s">
        <v>1142</v>
      </c>
      <c r="AR124" s="44" t="s">
        <v>85</v>
      </c>
      <c r="AS124" s="45">
        <v>54.422180279010433</v>
      </c>
      <c r="AT124" s="45">
        <v>136.9999</v>
      </c>
      <c r="AU124" s="47">
        <f t="shared" si="30"/>
        <v>5.4421999999999997</v>
      </c>
      <c r="AV124" s="48">
        <f t="shared" si="31"/>
        <v>137</v>
      </c>
      <c r="AX124" s="44" t="s">
        <v>1143</v>
      </c>
      <c r="AY124" s="44" t="s">
        <v>87</v>
      </c>
      <c r="AZ124" s="45">
        <v>57.220577076275106</v>
      </c>
      <c r="BA124" s="45">
        <v>142.9999</v>
      </c>
      <c r="BB124" s="47">
        <f t="shared" si="18"/>
        <v>5.7221000000000002</v>
      </c>
      <c r="BC124" s="48">
        <f t="shared" si="19"/>
        <v>143</v>
      </c>
      <c r="BE124" s="44" t="s">
        <v>1144</v>
      </c>
      <c r="BF124" s="44" t="s">
        <v>89</v>
      </c>
      <c r="BG124" s="45">
        <v>132.78153107970647</v>
      </c>
      <c r="BH124" s="45">
        <v>151.9999</v>
      </c>
      <c r="BI124" s="47">
        <f t="shared" si="32"/>
        <v>13.2782</v>
      </c>
      <c r="BJ124" s="48">
        <f t="shared" si="33"/>
        <v>152</v>
      </c>
    </row>
    <row r="125" spans="15:62" x14ac:dyDescent="0.2">
      <c r="V125" s="44" t="s">
        <v>1145</v>
      </c>
      <c r="W125" s="44" t="s">
        <v>79</v>
      </c>
      <c r="X125" s="45">
        <v>5.14731014863652</v>
      </c>
      <c r="Y125" s="45">
        <v>127.9999</v>
      </c>
      <c r="Z125" s="47">
        <f t="shared" si="24"/>
        <v>0.51470000000000005</v>
      </c>
      <c r="AA125" s="48">
        <f t="shared" si="25"/>
        <v>128</v>
      </c>
      <c r="AC125" s="44" t="s">
        <v>1146</v>
      </c>
      <c r="AD125" s="44" t="s">
        <v>81</v>
      </c>
      <c r="AE125" s="45">
        <v>24.337129209175902</v>
      </c>
      <c r="AF125" s="45">
        <v>129.9999</v>
      </c>
      <c r="AG125" s="47">
        <f t="shared" si="26"/>
        <v>2.4337</v>
      </c>
      <c r="AH125" s="48">
        <f t="shared" si="27"/>
        <v>130</v>
      </c>
      <c r="AJ125" s="44" t="s">
        <v>1147</v>
      </c>
      <c r="AK125" s="44" t="s">
        <v>83</v>
      </c>
      <c r="AL125" s="45">
        <v>37.639147266588438</v>
      </c>
      <c r="AM125" s="45">
        <v>133.9999</v>
      </c>
      <c r="AN125" s="47">
        <f t="shared" si="28"/>
        <v>3.7639</v>
      </c>
      <c r="AO125" s="48">
        <f t="shared" si="29"/>
        <v>134</v>
      </c>
      <c r="AQ125" s="44" t="s">
        <v>1148</v>
      </c>
      <c r="AR125" s="44" t="s">
        <v>85</v>
      </c>
      <c r="AS125" s="45">
        <v>53.549083832309925</v>
      </c>
      <c r="AT125" s="45">
        <v>137.9999</v>
      </c>
      <c r="AU125" s="47">
        <f t="shared" si="30"/>
        <v>5.3548999999999998</v>
      </c>
      <c r="AV125" s="48">
        <f t="shared" si="31"/>
        <v>138</v>
      </c>
      <c r="AX125" s="44" t="s">
        <v>1149</v>
      </c>
      <c r="AY125" s="44" t="s">
        <v>87</v>
      </c>
      <c r="AZ125" s="45">
        <v>56.389591160782153</v>
      </c>
      <c r="BA125" s="45">
        <v>143.9999</v>
      </c>
      <c r="BB125" s="47">
        <f t="shared" si="18"/>
        <v>5.6390000000000002</v>
      </c>
      <c r="BC125" s="48">
        <f t="shared" si="19"/>
        <v>144</v>
      </c>
      <c r="BE125" s="44" t="s">
        <v>1150</v>
      </c>
      <c r="BF125" s="44" t="s">
        <v>89</v>
      </c>
      <c r="BG125" s="45">
        <v>132.45905666307814</v>
      </c>
      <c r="BH125" s="45">
        <v>152.9999</v>
      </c>
      <c r="BI125" s="47">
        <f t="shared" si="32"/>
        <v>13.245900000000001</v>
      </c>
      <c r="BJ125" s="48">
        <f t="shared" si="33"/>
        <v>153</v>
      </c>
    </row>
    <row r="126" spans="15:62" x14ac:dyDescent="0.2">
      <c r="V126" s="44" t="s">
        <v>1151</v>
      </c>
      <c r="W126" s="44" t="s">
        <v>79</v>
      </c>
      <c r="X126" s="45">
        <v>4.4108760401093896</v>
      </c>
      <c r="Y126" s="45">
        <v>128.9999</v>
      </c>
      <c r="Z126" s="47">
        <f t="shared" si="24"/>
        <v>0.44109999999999999</v>
      </c>
      <c r="AA126" s="48">
        <f t="shared" si="25"/>
        <v>129</v>
      </c>
      <c r="AC126" s="44" t="s">
        <v>1152</v>
      </c>
      <c r="AD126" s="44" t="s">
        <v>81</v>
      </c>
      <c r="AE126" s="45">
        <v>27.597244816112322</v>
      </c>
      <c r="AF126" s="45">
        <v>125.9999</v>
      </c>
      <c r="AG126" s="47">
        <f t="shared" si="26"/>
        <v>2.7597</v>
      </c>
      <c r="AH126" s="48">
        <f t="shared" si="27"/>
        <v>126</v>
      </c>
      <c r="AJ126" s="44" t="s">
        <v>1153</v>
      </c>
      <c r="AK126" s="44" t="s">
        <v>83</v>
      </c>
      <c r="AL126" s="45">
        <v>36.780772537906167</v>
      </c>
      <c r="AM126" s="45">
        <v>134.9999</v>
      </c>
      <c r="AN126" s="47">
        <f t="shared" si="28"/>
        <v>3.6781000000000001</v>
      </c>
      <c r="AO126" s="48">
        <f t="shared" si="29"/>
        <v>135</v>
      </c>
      <c r="AQ126" s="44" t="s">
        <v>1154</v>
      </c>
      <c r="AR126" s="44" t="s">
        <v>85</v>
      </c>
      <c r="AS126" s="45">
        <v>52.67598738560941</v>
      </c>
      <c r="AT126" s="45">
        <v>138.9999</v>
      </c>
      <c r="AU126" s="47">
        <f t="shared" si="30"/>
        <v>5.2675999999999998</v>
      </c>
      <c r="AV126" s="48">
        <f t="shared" si="31"/>
        <v>139</v>
      </c>
      <c r="AX126" s="44" t="s">
        <v>1155</v>
      </c>
      <c r="AY126" s="44" t="s">
        <v>87</v>
      </c>
      <c r="AZ126" s="45">
        <v>55.558605245289208</v>
      </c>
      <c r="BA126" s="45">
        <v>144.9999</v>
      </c>
      <c r="BB126" s="47">
        <f t="shared" si="18"/>
        <v>5.5559000000000003</v>
      </c>
      <c r="BC126" s="48">
        <f t="shared" si="19"/>
        <v>145</v>
      </c>
      <c r="BE126" s="44" t="s">
        <v>1156</v>
      </c>
      <c r="BF126" s="44" t="s">
        <v>89</v>
      </c>
      <c r="BG126" s="45">
        <v>132.13658224644985</v>
      </c>
      <c r="BH126" s="45">
        <v>153.9999</v>
      </c>
      <c r="BI126" s="47">
        <f t="shared" si="32"/>
        <v>13.213699999999999</v>
      </c>
      <c r="BJ126" s="48">
        <f t="shared" si="33"/>
        <v>154</v>
      </c>
    </row>
    <row r="127" spans="15:62" x14ac:dyDescent="0.2">
      <c r="V127" s="44" t="s">
        <v>1157</v>
      </c>
      <c r="W127" s="44" t="s">
        <v>79</v>
      </c>
      <c r="X127" s="45">
        <v>3.6769371556347967</v>
      </c>
      <c r="Y127" s="45">
        <v>129.9999</v>
      </c>
      <c r="Z127" s="47">
        <f t="shared" si="24"/>
        <v>0.36770000000000003</v>
      </c>
      <c r="AA127" s="48">
        <f t="shared" si="25"/>
        <v>130</v>
      </c>
      <c r="AC127" s="44" t="s">
        <v>1158</v>
      </c>
      <c r="AD127" s="44" t="s">
        <v>81</v>
      </c>
      <c r="AE127" s="45">
        <v>23.522100307441814</v>
      </c>
      <c r="AF127" s="45">
        <v>130.9999</v>
      </c>
      <c r="AG127" s="47">
        <f t="shared" si="26"/>
        <v>2.3521999999999998</v>
      </c>
      <c r="AH127" s="48">
        <f t="shared" si="27"/>
        <v>131</v>
      </c>
      <c r="AJ127" s="44" t="s">
        <v>1159</v>
      </c>
      <c r="AK127" s="44" t="s">
        <v>83</v>
      </c>
      <c r="AL127" s="45">
        <v>35.977955636497732</v>
      </c>
      <c r="AM127" s="45">
        <v>135.9999</v>
      </c>
      <c r="AN127" s="47">
        <f t="shared" si="28"/>
        <v>3.5977999999999999</v>
      </c>
      <c r="AO127" s="48">
        <f t="shared" si="29"/>
        <v>136</v>
      </c>
      <c r="AQ127" s="44" t="s">
        <v>1160</v>
      </c>
      <c r="AR127" s="44" t="s">
        <v>85</v>
      </c>
      <c r="AS127" s="45">
        <v>51.802890938908902</v>
      </c>
      <c r="AT127" s="45">
        <v>139.9999</v>
      </c>
      <c r="AU127" s="47">
        <f t="shared" si="30"/>
        <v>5.1802999999999999</v>
      </c>
      <c r="AV127" s="48">
        <f t="shared" si="31"/>
        <v>140</v>
      </c>
      <c r="AX127" s="44" t="s">
        <v>1161</v>
      </c>
      <c r="AY127" s="44" t="s">
        <v>87</v>
      </c>
      <c r="AZ127" s="45">
        <v>54.737355872377307</v>
      </c>
      <c r="BA127" s="45">
        <v>145.9999</v>
      </c>
      <c r="BB127" s="47">
        <f t="shared" si="18"/>
        <v>5.4737</v>
      </c>
      <c r="BC127" s="48">
        <f t="shared" si="19"/>
        <v>146</v>
      </c>
      <c r="BE127" s="44" t="s">
        <v>1162</v>
      </c>
      <c r="BF127" s="44" t="s">
        <v>89</v>
      </c>
      <c r="BG127" s="45">
        <v>131.81410782982152</v>
      </c>
      <c r="BH127" s="45">
        <v>154.9999</v>
      </c>
      <c r="BI127" s="47">
        <f t="shared" si="32"/>
        <v>13.1814</v>
      </c>
      <c r="BJ127" s="48">
        <f t="shared" si="33"/>
        <v>155</v>
      </c>
    </row>
    <row r="128" spans="15:62" x14ac:dyDescent="0.2">
      <c r="V128" s="44" t="s">
        <v>1163</v>
      </c>
      <c r="W128" s="44" t="s">
        <v>79</v>
      </c>
      <c r="X128" s="45">
        <v>2.3236320814175375</v>
      </c>
      <c r="Y128" s="45">
        <v>131.9999</v>
      </c>
      <c r="Z128" s="47">
        <f t="shared" si="24"/>
        <v>0.2324</v>
      </c>
      <c r="AA128" s="48">
        <f t="shared" si="25"/>
        <v>132</v>
      </c>
      <c r="AC128" s="44" t="s">
        <v>1164</v>
      </c>
      <c r="AD128" s="44" t="s">
        <v>81</v>
      </c>
      <c r="AE128" s="45">
        <v>22.707071405707705</v>
      </c>
      <c r="AF128" s="45">
        <v>131.9999</v>
      </c>
      <c r="AG128" s="47">
        <f t="shared" si="26"/>
        <v>2.2707000000000002</v>
      </c>
      <c r="AH128" s="48">
        <f t="shared" si="27"/>
        <v>132</v>
      </c>
      <c r="AJ128" s="44" t="s">
        <v>1165</v>
      </c>
      <c r="AK128" s="44" t="s">
        <v>83</v>
      </c>
      <c r="AL128" s="45">
        <v>35.175138735089277</v>
      </c>
      <c r="AM128" s="45">
        <v>136.9999</v>
      </c>
      <c r="AN128" s="47">
        <f t="shared" si="28"/>
        <v>3.5175000000000001</v>
      </c>
      <c r="AO128" s="48">
        <f t="shared" si="29"/>
        <v>137</v>
      </c>
      <c r="AQ128" s="44" t="s">
        <v>1166</v>
      </c>
      <c r="AR128" s="44" t="s">
        <v>85</v>
      </c>
      <c r="AS128" s="45">
        <v>50.929794492208394</v>
      </c>
      <c r="AT128" s="45">
        <v>140.9999</v>
      </c>
      <c r="AU128" s="47">
        <f t="shared" si="30"/>
        <v>5.093</v>
      </c>
      <c r="AV128" s="48">
        <f t="shared" si="31"/>
        <v>141</v>
      </c>
      <c r="AX128" s="44" t="s">
        <v>1167</v>
      </c>
      <c r="AY128" s="44" t="s">
        <v>87</v>
      </c>
      <c r="AZ128" s="45">
        <v>53.920761985914424</v>
      </c>
      <c r="BA128" s="45">
        <v>146.9999</v>
      </c>
      <c r="BB128" s="47">
        <f t="shared" si="18"/>
        <v>5.3921000000000001</v>
      </c>
      <c r="BC128" s="48">
        <f t="shared" si="19"/>
        <v>147</v>
      </c>
      <c r="BE128" s="44" t="s">
        <v>1168</v>
      </c>
      <c r="BF128" s="44" t="s">
        <v>89</v>
      </c>
      <c r="BG128" s="45">
        <v>131.49163341319323</v>
      </c>
      <c r="BH128" s="45">
        <v>155.9999</v>
      </c>
      <c r="BI128" s="47">
        <f t="shared" si="32"/>
        <v>13.1492</v>
      </c>
      <c r="BJ128" s="48">
        <f t="shared" si="33"/>
        <v>156</v>
      </c>
    </row>
    <row r="129" spans="22:62" x14ac:dyDescent="0.2">
      <c r="V129" s="44" t="s">
        <v>1169</v>
      </c>
      <c r="W129" s="44" t="s">
        <v>79</v>
      </c>
      <c r="X129" s="45">
        <v>1.6469795443089181</v>
      </c>
      <c r="Y129" s="45">
        <v>132.9999</v>
      </c>
      <c r="Z129" s="47">
        <f t="shared" si="24"/>
        <v>0.16470000000000001</v>
      </c>
      <c r="AA129" s="48">
        <f t="shared" si="25"/>
        <v>133</v>
      </c>
      <c r="AC129" s="44" t="s">
        <v>1170</v>
      </c>
      <c r="AD129" s="44" t="s">
        <v>81</v>
      </c>
      <c r="AE129" s="45">
        <v>21.974586084174224</v>
      </c>
      <c r="AF129" s="45">
        <v>132.9999</v>
      </c>
      <c r="AG129" s="47">
        <f t="shared" si="26"/>
        <v>2.1974999999999998</v>
      </c>
      <c r="AH129" s="48">
        <f t="shared" si="27"/>
        <v>133</v>
      </c>
      <c r="AJ129" s="44" t="s">
        <v>1171</v>
      </c>
      <c r="AK129" s="44" t="s">
        <v>83</v>
      </c>
      <c r="AL129" s="45">
        <v>34.372321833680822</v>
      </c>
      <c r="AM129" s="45">
        <v>137.9999</v>
      </c>
      <c r="AN129" s="47">
        <f t="shared" si="28"/>
        <v>3.4371999999999998</v>
      </c>
      <c r="AO129" s="48">
        <f t="shared" si="29"/>
        <v>138</v>
      </c>
      <c r="AQ129" s="44" t="s">
        <v>1172</v>
      </c>
      <c r="AR129" s="44" t="s">
        <v>85</v>
      </c>
      <c r="AS129" s="45">
        <v>50.056698045507886</v>
      </c>
      <c r="AT129" s="45">
        <v>141.9999</v>
      </c>
      <c r="AU129" s="47">
        <f t="shared" si="30"/>
        <v>5.0057</v>
      </c>
      <c r="AV129" s="48">
        <f t="shared" si="31"/>
        <v>142</v>
      </c>
      <c r="AX129" s="44" t="s">
        <v>1173</v>
      </c>
      <c r="AY129" s="44" t="s">
        <v>87</v>
      </c>
      <c r="AZ129" s="45">
        <v>53.104168099451549</v>
      </c>
      <c r="BA129" s="45">
        <v>147.9999</v>
      </c>
      <c r="BB129" s="47">
        <f t="shared" si="18"/>
        <v>5.3103999999999996</v>
      </c>
      <c r="BC129" s="48">
        <f t="shared" si="19"/>
        <v>148</v>
      </c>
      <c r="BE129" s="44" t="s">
        <v>1174</v>
      </c>
      <c r="BF129" s="44" t="s">
        <v>89</v>
      </c>
      <c r="BG129" s="45">
        <v>131.16915899656493</v>
      </c>
      <c r="BH129" s="45">
        <v>156.9999</v>
      </c>
      <c r="BI129" s="47">
        <f t="shared" si="32"/>
        <v>13.116899999999999</v>
      </c>
      <c r="BJ129" s="48">
        <f t="shared" si="33"/>
        <v>157</v>
      </c>
    </row>
    <row r="130" spans="22:62" x14ac:dyDescent="0.2">
      <c r="V130" s="44" t="s">
        <v>1175</v>
      </c>
      <c r="W130" s="44" t="s">
        <v>79</v>
      </c>
      <c r="X130" s="45">
        <v>0.97032700720029852</v>
      </c>
      <c r="Y130" s="45">
        <v>133.9999</v>
      </c>
      <c r="Z130" s="47">
        <f t="shared" si="24"/>
        <v>9.7000000000000003E-2</v>
      </c>
      <c r="AA130" s="48">
        <f t="shared" si="25"/>
        <v>134</v>
      </c>
      <c r="AC130" s="44" t="s">
        <v>1176</v>
      </c>
      <c r="AD130" s="44" t="s">
        <v>81</v>
      </c>
      <c r="AE130" s="45">
        <v>21.243104602692746</v>
      </c>
      <c r="AF130" s="45">
        <v>133.9999</v>
      </c>
      <c r="AG130" s="47">
        <f t="shared" si="26"/>
        <v>2.1242999999999999</v>
      </c>
      <c r="AH130" s="48">
        <f t="shared" si="27"/>
        <v>134</v>
      </c>
      <c r="AJ130" s="44" t="s">
        <v>1177</v>
      </c>
      <c r="AK130" s="44" t="s">
        <v>83</v>
      </c>
      <c r="AL130" s="45">
        <v>33.569504932272388</v>
      </c>
      <c r="AM130" s="45">
        <v>138.9999</v>
      </c>
      <c r="AN130" s="47">
        <f t="shared" si="28"/>
        <v>3.3570000000000002</v>
      </c>
      <c r="AO130" s="48">
        <f t="shared" si="29"/>
        <v>139</v>
      </c>
      <c r="AQ130" s="44" t="s">
        <v>1178</v>
      </c>
      <c r="AR130" s="44" t="s">
        <v>85</v>
      </c>
      <c r="AS130" s="45">
        <v>49.217759613613097</v>
      </c>
      <c r="AT130" s="45">
        <v>142.9999</v>
      </c>
      <c r="AU130" s="47">
        <f t="shared" si="30"/>
        <v>4.9218000000000002</v>
      </c>
      <c r="AV130" s="48">
        <f t="shared" si="31"/>
        <v>143</v>
      </c>
      <c r="AX130" s="44" t="s">
        <v>1179</v>
      </c>
      <c r="AY130" s="44" t="s">
        <v>87</v>
      </c>
      <c r="AZ130" s="45">
        <v>52.287574212988652</v>
      </c>
      <c r="BA130" s="45">
        <v>148.9999</v>
      </c>
      <c r="BB130" s="47">
        <f t="shared" ref="BB130:BB193" si="36">ROUND(AZ130/10,4)</f>
        <v>5.2287999999999997</v>
      </c>
      <c r="BC130" s="48">
        <f t="shared" ref="BC130:BC193" si="37">ROUND(BA130,1)</f>
        <v>149</v>
      </c>
      <c r="BE130" s="44" t="s">
        <v>1180</v>
      </c>
      <c r="BF130" s="44" t="s">
        <v>89</v>
      </c>
      <c r="BG130" s="45">
        <v>130.84668457993661</v>
      </c>
      <c r="BH130" s="45">
        <v>157.9999</v>
      </c>
      <c r="BI130" s="47">
        <f t="shared" si="32"/>
        <v>13.0847</v>
      </c>
      <c r="BJ130" s="48">
        <f t="shared" si="33"/>
        <v>158</v>
      </c>
    </row>
    <row r="131" spans="22:62" x14ac:dyDescent="0.2">
      <c r="V131" s="44" t="s">
        <v>1181</v>
      </c>
      <c r="W131" s="44" t="s">
        <v>79</v>
      </c>
      <c r="X131" s="45">
        <v>0.29367447009167891</v>
      </c>
      <c r="Y131" s="45">
        <v>134.9999</v>
      </c>
      <c r="Z131" s="47">
        <f>ROUND(X131/10,4)</f>
        <v>2.9399999999999999E-2</v>
      </c>
      <c r="AA131" s="48">
        <f>ROUND(Y131,1)</f>
        <v>135</v>
      </c>
      <c r="AC131" s="44" t="s">
        <v>1182</v>
      </c>
      <c r="AD131" s="44" t="s">
        <v>81</v>
      </c>
      <c r="AE131" s="45">
        <v>20.511623121211269</v>
      </c>
      <c r="AF131" s="45">
        <v>134.9999</v>
      </c>
      <c r="AG131" s="47">
        <f t="shared" ref="AG131:AG160" si="38">ROUND(AE131/10,4)</f>
        <v>2.0512000000000001</v>
      </c>
      <c r="AH131" s="48">
        <f t="shared" ref="AH131:AH160" si="39">ROUND(AF131,1)</f>
        <v>135</v>
      </c>
      <c r="AJ131" s="44" t="s">
        <v>1183</v>
      </c>
      <c r="AK131" s="44" t="s">
        <v>83</v>
      </c>
      <c r="AL131" s="45">
        <v>32.766688030863925</v>
      </c>
      <c r="AM131" s="45">
        <v>139.9999</v>
      </c>
      <c r="AN131" s="47">
        <f t="shared" ref="AN131:AN180" si="40">ROUND(AL131/10,4)</f>
        <v>3.2766999999999999</v>
      </c>
      <c r="AO131" s="48">
        <f t="shared" ref="AO131:AO180" si="41">ROUND(AM131,1)</f>
        <v>140</v>
      </c>
      <c r="AQ131" s="44" t="s">
        <v>1184</v>
      </c>
      <c r="AR131" s="44" t="s">
        <v>85</v>
      </c>
      <c r="AS131" s="45">
        <v>48.438754088751224</v>
      </c>
      <c r="AT131" s="45">
        <v>143.9999</v>
      </c>
      <c r="AU131" s="47">
        <f t="shared" ref="AU131:AU194" si="42">ROUND(AS131/10,4)</f>
        <v>4.8438999999999997</v>
      </c>
      <c r="AV131" s="48">
        <f t="shared" ref="AV131:AV194" si="43">ROUND(AT131,1)</f>
        <v>144</v>
      </c>
      <c r="AX131" s="44" t="s">
        <v>1185</v>
      </c>
      <c r="AY131" s="44" t="s">
        <v>87</v>
      </c>
      <c r="AZ131" s="45">
        <v>51.470980326525776</v>
      </c>
      <c r="BA131" s="45">
        <v>149.9999</v>
      </c>
      <c r="BB131" s="47">
        <f t="shared" si="36"/>
        <v>5.1471</v>
      </c>
      <c r="BC131" s="48">
        <f t="shared" si="37"/>
        <v>150</v>
      </c>
      <c r="BE131" s="44" t="s">
        <v>1186</v>
      </c>
      <c r="BF131" s="44" t="s">
        <v>89</v>
      </c>
      <c r="BG131" s="45">
        <v>130.52421016330831</v>
      </c>
      <c r="BH131" s="45">
        <v>158.9999</v>
      </c>
      <c r="BI131" s="47">
        <f t="shared" ref="BI131:BI166" si="44">ROUND(BG131/10,4)</f>
        <v>13.0524</v>
      </c>
      <c r="BJ131" s="48">
        <f t="shared" ref="BJ131:BJ166" si="45">ROUND(BH131,1)</f>
        <v>159</v>
      </c>
    </row>
    <row r="132" spans="22:62" x14ac:dyDescent="0.2">
      <c r="V132" s="44" t="s">
        <v>1187</v>
      </c>
      <c r="W132" s="44" t="s">
        <v>79</v>
      </c>
      <c r="X132" s="45">
        <v>-1E-4</v>
      </c>
      <c r="Y132" s="45">
        <v>135.43405852890609</v>
      </c>
      <c r="Z132" s="47">
        <f>ROUND(X132/10,4)</f>
        <v>0</v>
      </c>
      <c r="AA132" s="48">
        <f>ROUND(Y132,1)</f>
        <v>135.4</v>
      </c>
      <c r="AC132" s="44" t="s">
        <v>1188</v>
      </c>
      <c r="AD132" s="44" t="s">
        <v>81</v>
      </c>
      <c r="AE132" s="45">
        <v>19.780141639729791</v>
      </c>
      <c r="AF132" s="45">
        <v>135.9999</v>
      </c>
      <c r="AG132" s="47">
        <f t="shared" si="38"/>
        <v>1.978</v>
      </c>
      <c r="AH132" s="48">
        <f t="shared" si="39"/>
        <v>136</v>
      </c>
      <c r="AJ132" s="44" t="s">
        <v>1189</v>
      </c>
      <c r="AK132" s="44" t="s">
        <v>83</v>
      </c>
      <c r="AL132" s="45">
        <v>31.963871129455477</v>
      </c>
      <c r="AM132" s="45">
        <v>140.9999</v>
      </c>
      <c r="AN132" s="47">
        <f t="shared" si="40"/>
        <v>3.1964000000000001</v>
      </c>
      <c r="AO132" s="48">
        <f t="shared" si="41"/>
        <v>141</v>
      </c>
      <c r="AQ132" s="44" t="s">
        <v>1190</v>
      </c>
      <c r="AR132" s="44" t="s">
        <v>85</v>
      </c>
      <c r="AS132" s="45">
        <v>47.659748563889345</v>
      </c>
      <c r="AT132" s="45">
        <v>144.9999</v>
      </c>
      <c r="AU132" s="47">
        <f t="shared" si="42"/>
        <v>4.766</v>
      </c>
      <c r="AV132" s="48">
        <f t="shared" si="43"/>
        <v>145</v>
      </c>
      <c r="AX132" s="44" t="s">
        <v>1191</v>
      </c>
      <c r="AY132" s="44" t="s">
        <v>87</v>
      </c>
      <c r="AZ132" s="45">
        <v>50.654386440062893</v>
      </c>
      <c r="BA132" s="45">
        <v>150.9999</v>
      </c>
      <c r="BB132" s="47">
        <f t="shared" si="36"/>
        <v>5.0654000000000003</v>
      </c>
      <c r="BC132" s="48">
        <f t="shared" si="37"/>
        <v>151</v>
      </c>
      <c r="BE132" s="44" t="s">
        <v>1192</v>
      </c>
      <c r="BF132" s="44" t="s">
        <v>89</v>
      </c>
      <c r="BG132" s="45">
        <v>130.20173574668001</v>
      </c>
      <c r="BH132" s="45">
        <v>159.9999</v>
      </c>
      <c r="BI132" s="47">
        <f t="shared" si="44"/>
        <v>13.020200000000001</v>
      </c>
      <c r="BJ132" s="48">
        <f t="shared" si="45"/>
        <v>160</v>
      </c>
    </row>
    <row r="133" spans="22:62" x14ac:dyDescent="0.2">
      <c r="AC133" s="44" t="s">
        <v>1193</v>
      </c>
      <c r="AD133" s="44" t="s">
        <v>81</v>
      </c>
      <c r="AE133" s="45">
        <v>18.991516042268231</v>
      </c>
      <c r="AF133" s="45">
        <v>136.9999</v>
      </c>
      <c r="AG133" s="47">
        <f t="shared" si="38"/>
        <v>1.8992</v>
      </c>
      <c r="AH133" s="48">
        <f t="shared" si="39"/>
        <v>137</v>
      </c>
      <c r="AJ133" s="44" t="s">
        <v>1194</v>
      </c>
      <c r="AK133" s="44" t="s">
        <v>83</v>
      </c>
      <c r="AL133" s="45">
        <v>31.18706195362217</v>
      </c>
      <c r="AM133" s="45">
        <v>141.9999</v>
      </c>
      <c r="AN133" s="47">
        <f t="shared" si="40"/>
        <v>3.1187</v>
      </c>
      <c r="AO133" s="48">
        <f t="shared" si="41"/>
        <v>142</v>
      </c>
      <c r="AQ133" s="44" t="s">
        <v>1195</v>
      </c>
      <c r="AR133" s="44" t="s">
        <v>85</v>
      </c>
      <c r="AS133" s="45">
        <v>46.880743039027472</v>
      </c>
      <c r="AT133" s="45">
        <v>145.9999</v>
      </c>
      <c r="AU133" s="47">
        <f t="shared" si="42"/>
        <v>4.6881000000000004</v>
      </c>
      <c r="AV133" s="48">
        <f t="shared" si="43"/>
        <v>146</v>
      </c>
      <c r="AX133" s="44" t="s">
        <v>1196</v>
      </c>
      <c r="AY133" s="44" t="s">
        <v>87</v>
      </c>
      <c r="AZ133" s="45">
        <v>49.837792553600018</v>
      </c>
      <c r="BA133" s="45">
        <v>151.9999</v>
      </c>
      <c r="BB133" s="47">
        <f t="shared" si="36"/>
        <v>4.9837999999999996</v>
      </c>
      <c r="BC133" s="48">
        <f t="shared" si="37"/>
        <v>152</v>
      </c>
      <c r="BE133" s="44" t="s">
        <v>1197</v>
      </c>
      <c r="BF133" s="44" t="s">
        <v>89</v>
      </c>
      <c r="BG133" s="45">
        <v>129.87926133005169</v>
      </c>
      <c r="BH133" s="45">
        <v>160.9999</v>
      </c>
      <c r="BI133" s="47">
        <f t="shared" si="44"/>
        <v>12.9879</v>
      </c>
      <c r="BJ133" s="48">
        <f t="shared" si="45"/>
        <v>161</v>
      </c>
    </row>
    <row r="134" spans="22:62" x14ac:dyDescent="0.2">
      <c r="AC134" s="44" t="s">
        <v>1198</v>
      </c>
      <c r="AD134" s="44" t="s">
        <v>81</v>
      </c>
      <c r="AE134" s="45">
        <v>18.196644247396431</v>
      </c>
      <c r="AF134" s="45">
        <v>137.9999</v>
      </c>
      <c r="AG134" s="47">
        <f t="shared" si="38"/>
        <v>1.8197000000000001</v>
      </c>
      <c r="AH134" s="48">
        <f t="shared" si="39"/>
        <v>138</v>
      </c>
      <c r="AJ134" s="44" t="s">
        <v>1199</v>
      </c>
      <c r="AK134" s="44" t="s">
        <v>83</v>
      </c>
      <c r="AL134" s="45">
        <v>30.414704230044929</v>
      </c>
      <c r="AM134" s="45">
        <v>142.9999</v>
      </c>
      <c r="AN134" s="47">
        <f t="shared" si="40"/>
        <v>3.0415000000000001</v>
      </c>
      <c r="AO134" s="48">
        <f t="shared" si="41"/>
        <v>143</v>
      </c>
      <c r="AQ134" s="44" t="s">
        <v>1200</v>
      </c>
      <c r="AR134" s="44" t="s">
        <v>85</v>
      </c>
      <c r="AS134" s="45">
        <v>46.101737514165592</v>
      </c>
      <c r="AT134" s="45">
        <v>146.9999</v>
      </c>
      <c r="AU134" s="47">
        <f t="shared" si="42"/>
        <v>4.6101999999999999</v>
      </c>
      <c r="AV134" s="48">
        <f t="shared" si="43"/>
        <v>147</v>
      </c>
      <c r="AX134" s="44" t="s">
        <v>1201</v>
      </c>
      <c r="AY134" s="44" t="s">
        <v>87</v>
      </c>
      <c r="AZ134" s="45">
        <v>49.021198667137121</v>
      </c>
      <c r="BA134" s="45">
        <v>152.9999</v>
      </c>
      <c r="BB134" s="47">
        <f t="shared" si="36"/>
        <v>4.9020999999999999</v>
      </c>
      <c r="BC134" s="48">
        <f t="shared" si="37"/>
        <v>153</v>
      </c>
      <c r="BE134" s="44" t="s">
        <v>1202</v>
      </c>
      <c r="BF134" s="44" t="s">
        <v>89</v>
      </c>
      <c r="BG134" s="45">
        <v>129.55678691342339</v>
      </c>
      <c r="BH134" s="45">
        <v>161.9999</v>
      </c>
      <c r="BI134" s="47">
        <f t="shared" si="44"/>
        <v>12.9557</v>
      </c>
      <c r="BJ134" s="48">
        <f t="shared" si="45"/>
        <v>162</v>
      </c>
    </row>
    <row r="135" spans="22:62" x14ac:dyDescent="0.2">
      <c r="AC135" s="44" t="s">
        <v>1203</v>
      </c>
      <c r="AD135" s="44" t="s">
        <v>81</v>
      </c>
      <c r="AE135" s="45">
        <v>17.401772452524654</v>
      </c>
      <c r="AF135" s="45">
        <v>138.9999</v>
      </c>
      <c r="AG135" s="47">
        <f t="shared" si="38"/>
        <v>1.7402</v>
      </c>
      <c r="AH135" s="48">
        <f t="shared" si="39"/>
        <v>139</v>
      </c>
      <c r="AJ135" s="44" t="s">
        <v>1204</v>
      </c>
      <c r="AK135" s="44" t="s">
        <v>83</v>
      </c>
      <c r="AL135" s="45">
        <v>29.642346506467685</v>
      </c>
      <c r="AM135" s="45">
        <v>143.9999</v>
      </c>
      <c r="AN135" s="47">
        <f t="shared" si="40"/>
        <v>2.9641999999999999</v>
      </c>
      <c r="AO135" s="48">
        <f t="shared" si="41"/>
        <v>144</v>
      </c>
      <c r="AQ135" s="44" t="s">
        <v>1205</v>
      </c>
      <c r="AR135" s="44" t="s">
        <v>85</v>
      </c>
      <c r="AS135" s="45">
        <v>45.322731989303719</v>
      </c>
      <c r="AT135" s="45">
        <v>147.9999</v>
      </c>
      <c r="AU135" s="47">
        <f t="shared" si="42"/>
        <v>4.5323000000000002</v>
      </c>
      <c r="AV135" s="48">
        <f t="shared" si="43"/>
        <v>148</v>
      </c>
      <c r="AX135" s="44" t="s">
        <v>1206</v>
      </c>
      <c r="AY135" s="44" t="s">
        <v>87</v>
      </c>
      <c r="AZ135" s="45">
        <v>48.204099355351971</v>
      </c>
      <c r="BA135" s="45">
        <v>153.9999</v>
      </c>
      <c r="BB135" s="47">
        <f t="shared" si="36"/>
        <v>4.8204000000000002</v>
      </c>
      <c r="BC135" s="48">
        <f t="shared" si="37"/>
        <v>154</v>
      </c>
      <c r="BE135" s="44" t="s">
        <v>1207</v>
      </c>
      <c r="BF135" s="44" t="s">
        <v>89</v>
      </c>
      <c r="BG135" s="45">
        <v>129.23431249679507</v>
      </c>
      <c r="BH135" s="45">
        <v>162.9999</v>
      </c>
      <c r="BI135" s="47">
        <f t="shared" si="44"/>
        <v>12.923400000000001</v>
      </c>
      <c r="BJ135" s="48">
        <f t="shared" si="45"/>
        <v>163</v>
      </c>
    </row>
    <row r="136" spans="22:62" x14ac:dyDescent="0.2">
      <c r="AC136" s="44" t="s">
        <v>1208</v>
      </c>
      <c r="AD136" s="44" t="s">
        <v>81</v>
      </c>
      <c r="AE136" s="45">
        <v>16.606900657652854</v>
      </c>
      <c r="AF136" s="45">
        <v>139.9999</v>
      </c>
      <c r="AG136" s="47">
        <f t="shared" si="38"/>
        <v>1.6607000000000001</v>
      </c>
      <c r="AH136" s="48">
        <f t="shared" si="39"/>
        <v>140</v>
      </c>
      <c r="AJ136" s="44" t="s">
        <v>1209</v>
      </c>
      <c r="AK136" s="44" t="s">
        <v>83</v>
      </c>
      <c r="AL136" s="45">
        <v>28.869988782890445</v>
      </c>
      <c r="AM136" s="45">
        <v>144.9999</v>
      </c>
      <c r="AN136" s="47">
        <f t="shared" si="40"/>
        <v>2.887</v>
      </c>
      <c r="AO136" s="48">
        <f t="shared" si="41"/>
        <v>145</v>
      </c>
      <c r="AQ136" s="44" t="s">
        <v>1210</v>
      </c>
      <c r="AR136" s="44" t="s">
        <v>85</v>
      </c>
      <c r="AS136" s="45">
        <v>44.543726464441825</v>
      </c>
      <c r="AT136" s="45">
        <v>148.9999</v>
      </c>
      <c r="AU136" s="47">
        <f t="shared" si="42"/>
        <v>4.4543999999999997</v>
      </c>
      <c r="AV136" s="48">
        <f t="shared" si="43"/>
        <v>149</v>
      </c>
      <c r="AX136" s="44" t="s">
        <v>1211</v>
      </c>
      <c r="AY136" s="44" t="s">
        <v>87</v>
      </c>
      <c r="AZ136" s="45">
        <v>47.343884301588531</v>
      </c>
      <c r="BA136" s="45">
        <v>154.9999</v>
      </c>
      <c r="BB136" s="47">
        <f t="shared" si="36"/>
        <v>4.7343999999999999</v>
      </c>
      <c r="BC136" s="48">
        <f t="shared" si="37"/>
        <v>155</v>
      </c>
      <c r="BE136" s="44" t="s">
        <v>1212</v>
      </c>
      <c r="BF136" s="44" t="s">
        <v>89</v>
      </c>
      <c r="BG136" s="45">
        <v>128.91183808016677</v>
      </c>
      <c r="BH136" s="45">
        <v>163.9999</v>
      </c>
      <c r="BI136" s="47">
        <f t="shared" si="44"/>
        <v>12.8912</v>
      </c>
      <c r="BJ136" s="48">
        <f t="shared" si="45"/>
        <v>164</v>
      </c>
    </row>
    <row r="137" spans="22:62" x14ac:dyDescent="0.2">
      <c r="AC137" s="44" t="s">
        <v>1213</v>
      </c>
      <c r="AD137" s="44" t="s">
        <v>81</v>
      </c>
      <c r="AE137" s="45">
        <v>15.83461937786797</v>
      </c>
      <c r="AF137" s="45">
        <v>140.9999</v>
      </c>
      <c r="AG137" s="47">
        <f t="shared" si="38"/>
        <v>1.5834999999999999</v>
      </c>
      <c r="AH137" s="48">
        <f t="shared" si="39"/>
        <v>141</v>
      </c>
      <c r="AJ137" s="44" t="s">
        <v>1214</v>
      </c>
      <c r="AK137" s="44" t="s">
        <v>83</v>
      </c>
      <c r="AL137" s="45">
        <v>28.097631059313223</v>
      </c>
      <c r="AM137" s="45">
        <v>145.9999</v>
      </c>
      <c r="AN137" s="47">
        <f t="shared" si="40"/>
        <v>2.8098000000000001</v>
      </c>
      <c r="AO137" s="48">
        <f t="shared" si="41"/>
        <v>146</v>
      </c>
      <c r="AQ137" s="44" t="s">
        <v>1215</v>
      </c>
      <c r="AR137" s="44" t="s">
        <v>85</v>
      </c>
      <c r="AS137" s="45">
        <v>43.764720939579945</v>
      </c>
      <c r="AT137" s="45">
        <v>149.9999</v>
      </c>
      <c r="AU137" s="47">
        <f t="shared" si="42"/>
        <v>4.3765000000000001</v>
      </c>
      <c r="AV137" s="48">
        <f t="shared" si="43"/>
        <v>150</v>
      </c>
      <c r="AX137" s="44" t="s">
        <v>1216</v>
      </c>
      <c r="AY137" s="44" t="s">
        <v>87</v>
      </c>
      <c r="AZ137" s="45">
        <v>46.483669247825098</v>
      </c>
      <c r="BA137" s="45">
        <v>155.9999</v>
      </c>
      <c r="BB137" s="47">
        <f t="shared" si="36"/>
        <v>4.6483999999999996</v>
      </c>
      <c r="BC137" s="48">
        <f t="shared" si="37"/>
        <v>156</v>
      </c>
      <c r="BE137" s="44" t="s">
        <v>1217</v>
      </c>
      <c r="BF137" s="44" t="s">
        <v>89</v>
      </c>
      <c r="BG137" s="45">
        <v>128.58936366353848</v>
      </c>
      <c r="BH137" s="45">
        <v>164.9999</v>
      </c>
      <c r="BI137" s="47">
        <f t="shared" si="44"/>
        <v>12.8589</v>
      </c>
      <c r="BJ137" s="48">
        <f t="shared" si="45"/>
        <v>165</v>
      </c>
    </row>
    <row r="138" spans="22:62" x14ac:dyDescent="0.2">
      <c r="AC138" s="44" t="s">
        <v>1218</v>
      </c>
      <c r="AD138" s="44" t="s">
        <v>81</v>
      </c>
      <c r="AE138" s="45">
        <v>15.087366630615225</v>
      </c>
      <c r="AF138" s="45">
        <v>141.9999</v>
      </c>
      <c r="AG138" s="47">
        <f t="shared" si="38"/>
        <v>1.5086999999999999</v>
      </c>
      <c r="AH138" s="48">
        <f t="shared" si="39"/>
        <v>142</v>
      </c>
      <c r="AJ138" s="44" t="s">
        <v>1219</v>
      </c>
      <c r="AK138" s="44" t="s">
        <v>83</v>
      </c>
      <c r="AL138" s="45">
        <v>27.325273335735982</v>
      </c>
      <c r="AM138" s="45">
        <v>146.9999</v>
      </c>
      <c r="AN138" s="47">
        <f t="shared" si="40"/>
        <v>2.7324999999999999</v>
      </c>
      <c r="AO138" s="48">
        <f t="shared" si="41"/>
        <v>147</v>
      </c>
      <c r="AQ138" s="44" t="s">
        <v>1220</v>
      </c>
      <c r="AR138" s="44" t="s">
        <v>85</v>
      </c>
      <c r="AS138" s="45">
        <v>42.985715414718072</v>
      </c>
      <c r="AT138" s="45">
        <v>150.9999</v>
      </c>
      <c r="AU138" s="47">
        <f t="shared" si="42"/>
        <v>4.2986000000000004</v>
      </c>
      <c r="AV138" s="48">
        <f t="shared" si="43"/>
        <v>151</v>
      </c>
      <c r="AX138" s="44" t="s">
        <v>1221</v>
      </c>
      <c r="AY138" s="44" t="s">
        <v>87</v>
      </c>
      <c r="AZ138" s="45">
        <v>45.623454194061665</v>
      </c>
      <c r="BA138" s="45">
        <v>156.9999</v>
      </c>
      <c r="BB138" s="47">
        <f t="shared" si="36"/>
        <v>4.5622999999999996</v>
      </c>
      <c r="BC138" s="48">
        <f t="shared" si="37"/>
        <v>157</v>
      </c>
      <c r="BE138" s="44" t="s">
        <v>1222</v>
      </c>
      <c r="BF138" s="44" t="s">
        <v>89</v>
      </c>
      <c r="BG138" s="45">
        <v>128.26688924691015</v>
      </c>
      <c r="BH138" s="45">
        <v>165.9999</v>
      </c>
      <c r="BI138" s="47">
        <f t="shared" si="44"/>
        <v>12.826700000000001</v>
      </c>
      <c r="BJ138" s="48">
        <f t="shared" si="45"/>
        <v>166</v>
      </c>
    </row>
    <row r="139" spans="22:62" x14ac:dyDescent="0.2">
      <c r="AC139" s="44" t="s">
        <v>1223</v>
      </c>
      <c r="AD139" s="44" t="s">
        <v>81</v>
      </c>
      <c r="AE139" s="45">
        <v>14.340113883362481</v>
      </c>
      <c r="AF139" s="45">
        <v>142.9999</v>
      </c>
      <c r="AG139" s="47">
        <f t="shared" si="38"/>
        <v>1.4339999999999999</v>
      </c>
      <c r="AH139" s="48">
        <f t="shared" si="39"/>
        <v>143</v>
      </c>
      <c r="AJ139" s="44" t="s">
        <v>1224</v>
      </c>
      <c r="AK139" s="44" t="s">
        <v>83</v>
      </c>
      <c r="AL139" s="45">
        <v>26.552915612158738</v>
      </c>
      <c r="AM139" s="45">
        <v>147.9999</v>
      </c>
      <c r="AN139" s="47">
        <f t="shared" si="40"/>
        <v>2.6553</v>
      </c>
      <c r="AO139" s="48">
        <f t="shared" si="41"/>
        <v>148</v>
      </c>
      <c r="AQ139" s="44" t="s">
        <v>1225</v>
      </c>
      <c r="AR139" s="44" t="s">
        <v>85</v>
      </c>
      <c r="AS139" s="45">
        <v>42.206709889856199</v>
      </c>
      <c r="AT139" s="45">
        <v>151.9999</v>
      </c>
      <c r="AU139" s="47">
        <f t="shared" si="42"/>
        <v>4.2206999999999999</v>
      </c>
      <c r="AV139" s="48">
        <f t="shared" si="43"/>
        <v>152</v>
      </c>
      <c r="AX139" s="44" t="s">
        <v>1226</v>
      </c>
      <c r="AY139" s="44" t="s">
        <v>87</v>
      </c>
      <c r="AZ139" s="45">
        <v>44.835541135335255</v>
      </c>
      <c r="BA139" s="45">
        <v>157.9999</v>
      </c>
      <c r="BB139" s="47">
        <f t="shared" si="36"/>
        <v>4.4836</v>
      </c>
      <c r="BC139" s="48">
        <f t="shared" si="37"/>
        <v>158</v>
      </c>
      <c r="BE139" s="44" t="s">
        <v>1227</v>
      </c>
      <c r="BF139" s="44" t="s">
        <v>89</v>
      </c>
      <c r="BG139" s="45">
        <v>127.94441483028184</v>
      </c>
      <c r="BH139" s="45">
        <v>166.9999</v>
      </c>
      <c r="BI139" s="47">
        <f t="shared" si="44"/>
        <v>12.7944</v>
      </c>
      <c r="BJ139" s="48">
        <f t="shared" si="45"/>
        <v>167</v>
      </c>
    </row>
    <row r="140" spans="22:62" x14ac:dyDescent="0.2">
      <c r="AC140" s="44" t="s">
        <v>1228</v>
      </c>
      <c r="AD140" s="44" t="s">
        <v>81</v>
      </c>
      <c r="AE140" s="45">
        <v>13.592861136109736</v>
      </c>
      <c r="AF140" s="45">
        <v>143.9999</v>
      </c>
      <c r="AG140" s="47">
        <f t="shared" si="38"/>
        <v>1.3593</v>
      </c>
      <c r="AH140" s="48">
        <f t="shared" si="39"/>
        <v>144</v>
      </c>
      <c r="AJ140" s="44" t="s">
        <v>1229</v>
      </c>
      <c r="AK140" s="44" t="s">
        <v>83</v>
      </c>
      <c r="AL140" s="45">
        <v>25.780557888581516</v>
      </c>
      <c r="AM140" s="45">
        <v>148.9999</v>
      </c>
      <c r="AN140" s="47">
        <f t="shared" si="40"/>
        <v>2.5781000000000001</v>
      </c>
      <c r="AO140" s="48">
        <f t="shared" si="41"/>
        <v>149</v>
      </c>
      <c r="AQ140" s="44" t="s">
        <v>1230</v>
      </c>
      <c r="AR140" s="44" t="s">
        <v>85</v>
      </c>
      <c r="AS140" s="45">
        <v>41.42770436499432</v>
      </c>
      <c r="AT140" s="45">
        <v>152.9999</v>
      </c>
      <c r="AU140" s="47">
        <f t="shared" si="42"/>
        <v>4.1428000000000003</v>
      </c>
      <c r="AV140" s="48">
        <f t="shared" si="43"/>
        <v>153</v>
      </c>
      <c r="AX140" s="44" t="s">
        <v>1231</v>
      </c>
      <c r="AY140" s="44" t="s">
        <v>87</v>
      </c>
      <c r="AZ140" s="45">
        <v>44.122090842937595</v>
      </c>
      <c r="BA140" s="45">
        <v>158.9999</v>
      </c>
      <c r="BB140" s="47">
        <f t="shared" si="36"/>
        <v>4.4122000000000003</v>
      </c>
      <c r="BC140" s="48">
        <f t="shared" si="37"/>
        <v>159</v>
      </c>
      <c r="BE140" s="44" t="s">
        <v>1232</v>
      </c>
      <c r="BF140" s="44" t="s">
        <v>89</v>
      </c>
      <c r="BG140" s="45">
        <v>127.62194041365355</v>
      </c>
      <c r="BH140" s="45">
        <v>167.9999</v>
      </c>
      <c r="BI140" s="47">
        <f t="shared" si="44"/>
        <v>12.7622</v>
      </c>
      <c r="BJ140" s="48">
        <f t="shared" si="45"/>
        <v>168</v>
      </c>
    </row>
    <row r="141" spans="22:62" x14ac:dyDescent="0.2">
      <c r="AC141" s="44" t="s">
        <v>1233</v>
      </c>
      <c r="AD141" s="44" t="s">
        <v>81</v>
      </c>
      <c r="AE141" s="45">
        <v>12.845608388856991</v>
      </c>
      <c r="AF141" s="45">
        <v>144.9999</v>
      </c>
      <c r="AG141" s="47">
        <f t="shared" si="38"/>
        <v>1.2846</v>
      </c>
      <c r="AH141" s="48">
        <f t="shared" si="39"/>
        <v>145</v>
      </c>
      <c r="AJ141" s="44" t="s">
        <v>1234</v>
      </c>
      <c r="AK141" s="44" t="s">
        <v>83</v>
      </c>
      <c r="AL141" s="45">
        <v>25.008200165004276</v>
      </c>
      <c r="AM141" s="45">
        <v>149.9999</v>
      </c>
      <c r="AN141" s="47">
        <f t="shared" si="40"/>
        <v>2.5007999999999999</v>
      </c>
      <c r="AO141" s="48">
        <f t="shared" si="41"/>
        <v>150</v>
      </c>
      <c r="AQ141" s="44" t="s">
        <v>1235</v>
      </c>
      <c r="AR141" s="44" t="s">
        <v>85</v>
      </c>
      <c r="AS141" s="45">
        <v>40.648698840132447</v>
      </c>
      <c r="AT141" s="45">
        <v>153.9999</v>
      </c>
      <c r="AU141" s="47">
        <f t="shared" si="42"/>
        <v>4.0648999999999997</v>
      </c>
      <c r="AV141" s="48">
        <f t="shared" si="43"/>
        <v>154</v>
      </c>
      <c r="AX141" s="44" t="s">
        <v>1236</v>
      </c>
      <c r="AY141" s="44" t="s">
        <v>87</v>
      </c>
      <c r="AZ141" s="45">
        <v>43.408640550539928</v>
      </c>
      <c r="BA141" s="45">
        <v>159.9999</v>
      </c>
      <c r="BB141" s="47">
        <f t="shared" si="36"/>
        <v>4.3409000000000004</v>
      </c>
      <c r="BC141" s="48">
        <f t="shared" si="37"/>
        <v>160</v>
      </c>
      <c r="BE141" s="44" t="s">
        <v>1237</v>
      </c>
      <c r="BF141" s="44" t="s">
        <v>89</v>
      </c>
      <c r="BG141" s="45">
        <v>127.29946599702524</v>
      </c>
      <c r="BH141" s="45">
        <v>168.9999</v>
      </c>
      <c r="BI141" s="47">
        <f t="shared" si="44"/>
        <v>12.729900000000001</v>
      </c>
      <c r="BJ141" s="48">
        <f t="shared" si="45"/>
        <v>169</v>
      </c>
    </row>
    <row r="142" spans="22:62" x14ac:dyDescent="0.2">
      <c r="AC142" s="44" t="s">
        <v>1238</v>
      </c>
      <c r="AD142" s="44" t="s">
        <v>81</v>
      </c>
      <c r="AE142" s="45">
        <v>12.098355641604247</v>
      </c>
      <c r="AF142" s="45">
        <v>145.9999</v>
      </c>
      <c r="AG142" s="47">
        <f t="shared" si="38"/>
        <v>1.2098</v>
      </c>
      <c r="AH142" s="48">
        <f t="shared" si="39"/>
        <v>146</v>
      </c>
      <c r="AJ142" s="44" t="s">
        <v>1239</v>
      </c>
      <c r="AK142" s="44" t="s">
        <v>83</v>
      </c>
      <c r="AL142" s="45">
        <v>24.235842441427035</v>
      </c>
      <c r="AM142" s="45">
        <v>150.9999</v>
      </c>
      <c r="AN142" s="47">
        <f t="shared" si="40"/>
        <v>2.4236</v>
      </c>
      <c r="AO142" s="48">
        <f t="shared" si="41"/>
        <v>151</v>
      </c>
      <c r="AQ142" s="44" t="s">
        <v>1240</v>
      </c>
      <c r="AR142" s="44" t="s">
        <v>85</v>
      </c>
      <c r="AS142" s="45">
        <v>39.869693315270574</v>
      </c>
      <c r="AT142" s="45">
        <v>154.9999</v>
      </c>
      <c r="AU142" s="47">
        <f t="shared" si="42"/>
        <v>3.9870000000000001</v>
      </c>
      <c r="AV142" s="48">
        <f t="shared" si="43"/>
        <v>155</v>
      </c>
      <c r="AX142" s="44" t="s">
        <v>1241</v>
      </c>
      <c r="AY142" s="44" t="s">
        <v>87</v>
      </c>
      <c r="AZ142" s="45">
        <v>42.695190258142269</v>
      </c>
      <c r="BA142" s="45">
        <v>160.9999</v>
      </c>
      <c r="BB142" s="47">
        <f t="shared" si="36"/>
        <v>4.2694999999999999</v>
      </c>
      <c r="BC142" s="48">
        <f t="shared" si="37"/>
        <v>161</v>
      </c>
      <c r="BE142" s="44" t="s">
        <v>1242</v>
      </c>
      <c r="BF142" s="44" t="s">
        <v>89</v>
      </c>
      <c r="BG142" s="45">
        <v>126.97699158039694</v>
      </c>
      <c r="BH142" s="45">
        <v>169.9999</v>
      </c>
      <c r="BI142" s="47">
        <f t="shared" si="44"/>
        <v>12.697699999999999</v>
      </c>
      <c r="BJ142" s="48">
        <f t="shared" si="45"/>
        <v>170</v>
      </c>
    </row>
    <row r="143" spans="22:62" x14ac:dyDescent="0.2">
      <c r="AC143" s="44" t="s">
        <v>1243</v>
      </c>
      <c r="AD143" s="44" t="s">
        <v>81</v>
      </c>
      <c r="AE143" s="45">
        <v>11.351102894351502</v>
      </c>
      <c r="AF143" s="45">
        <v>146.9999</v>
      </c>
      <c r="AG143" s="47">
        <f t="shared" si="38"/>
        <v>1.1351</v>
      </c>
      <c r="AH143" s="48">
        <f t="shared" si="39"/>
        <v>147</v>
      </c>
      <c r="AJ143" s="44" t="s">
        <v>1244</v>
      </c>
      <c r="AK143" s="44" t="s">
        <v>83</v>
      </c>
      <c r="AL143" s="45">
        <v>23.463484717849813</v>
      </c>
      <c r="AM143" s="45">
        <v>151.9999</v>
      </c>
      <c r="AN143" s="47">
        <f t="shared" si="40"/>
        <v>2.3462999999999998</v>
      </c>
      <c r="AO143" s="48">
        <f t="shared" si="41"/>
        <v>152</v>
      </c>
      <c r="AQ143" s="44" t="s">
        <v>1245</v>
      </c>
      <c r="AR143" s="44" t="s">
        <v>85</v>
      </c>
      <c r="AS143" s="45">
        <v>39.090687790408673</v>
      </c>
      <c r="AT143" s="45">
        <v>155.9999</v>
      </c>
      <c r="AU143" s="47">
        <f t="shared" si="42"/>
        <v>3.9091</v>
      </c>
      <c r="AV143" s="48">
        <f t="shared" si="43"/>
        <v>156</v>
      </c>
      <c r="AX143" s="44" t="s">
        <v>1246</v>
      </c>
      <c r="AY143" s="44" t="s">
        <v>87</v>
      </c>
      <c r="AZ143" s="45">
        <v>41.981739965744623</v>
      </c>
      <c r="BA143" s="45">
        <v>161.9999</v>
      </c>
      <c r="BB143" s="47">
        <f t="shared" si="36"/>
        <v>4.1981999999999999</v>
      </c>
      <c r="BC143" s="48">
        <f t="shared" si="37"/>
        <v>162</v>
      </c>
      <c r="BE143" s="44" t="s">
        <v>1247</v>
      </c>
      <c r="BF143" s="44" t="s">
        <v>89</v>
      </c>
      <c r="BG143" s="45">
        <v>126.65451716376863</v>
      </c>
      <c r="BH143" s="45">
        <v>170.9999</v>
      </c>
      <c r="BI143" s="47">
        <f t="shared" si="44"/>
        <v>12.6655</v>
      </c>
      <c r="BJ143" s="48">
        <f t="shared" si="45"/>
        <v>171</v>
      </c>
    </row>
    <row r="144" spans="22:62" x14ac:dyDescent="0.2">
      <c r="AC144" s="44" t="s">
        <v>1248</v>
      </c>
      <c r="AD144" s="44" t="s">
        <v>81</v>
      </c>
      <c r="AE144" s="45">
        <v>10.610349749576645</v>
      </c>
      <c r="AF144" s="45">
        <v>147.9999</v>
      </c>
      <c r="AG144" s="47">
        <f t="shared" si="38"/>
        <v>1.0609999999999999</v>
      </c>
      <c r="AH144" s="48">
        <f t="shared" si="39"/>
        <v>148</v>
      </c>
      <c r="AJ144" s="44" t="s">
        <v>1249</v>
      </c>
      <c r="AK144" s="44" t="s">
        <v>83</v>
      </c>
      <c r="AL144" s="45">
        <v>22.714970826526255</v>
      </c>
      <c r="AM144" s="45">
        <v>152.9999</v>
      </c>
      <c r="AN144" s="47">
        <f t="shared" si="40"/>
        <v>2.2715000000000001</v>
      </c>
      <c r="AO144" s="48">
        <f t="shared" si="41"/>
        <v>153</v>
      </c>
      <c r="AQ144" s="44" t="s">
        <v>1250</v>
      </c>
      <c r="AR144" s="44" t="s">
        <v>85</v>
      </c>
      <c r="AS144" s="45">
        <v>38.312499480203705</v>
      </c>
      <c r="AT144" s="45">
        <v>156.9999</v>
      </c>
      <c r="AU144" s="47">
        <f t="shared" si="42"/>
        <v>3.8311999999999999</v>
      </c>
      <c r="AV144" s="48">
        <f t="shared" si="43"/>
        <v>157</v>
      </c>
      <c r="AX144" s="44" t="s">
        <v>1251</v>
      </c>
      <c r="AY144" s="44" t="s">
        <v>87</v>
      </c>
      <c r="AZ144" s="45">
        <v>41.268289673346956</v>
      </c>
      <c r="BA144" s="45">
        <v>162.9999</v>
      </c>
      <c r="BB144" s="47">
        <f t="shared" si="36"/>
        <v>4.1268000000000002</v>
      </c>
      <c r="BC144" s="48">
        <f t="shared" si="37"/>
        <v>163</v>
      </c>
      <c r="BE144" s="44" t="s">
        <v>1252</v>
      </c>
      <c r="BF144" s="44" t="s">
        <v>89</v>
      </c>
      <c r="BG144" s="45">
        <v>126.33204274714032</v>
      </c>
      <c r="BH144" s="45">
        <v>171.9999</v>
      </c>
      <c r="BI144" s="47">
        <f t="shared" si="44"/>
        <v>12.6332</v>
      </c>
      <c r="BJ144" s="48">
        <f t="shared" si="45"/>
        <v>172</v>
      </c>
    </row>
    <row r="145" spans="29:62" x14ac:dyDescent="0.2">
      <c r="AC145" s="44" t="s">
        <v>1253</v>
      </c>
      <c r="AD145" s="44" t="s">
        <v>81</v>
      </c>
      <c r="AE145" s="45">
        <v>9.8741534305582377</v>
      </c>
      <c r="AF145" s="45">
        <v>148.9999</v>
      </c>
      <c r="AG145" s="47">
        <f t="shared" si="38"/>
        <v>0.98740000000000006</v>
      </c>
      <c r="AH145" s="48">
        <f t="shared" si="39"/>
        <v>149</v>
      </c>
      <c r="AJ145" s="44" t="s">
        <v>1254</v>
      </c>
      <c r="AK145" s="44" t="s">
        <v>83</v>
      </c>
      <c r="AL145" s="45">
        <v>21.977470826526257</v>
      </c>
      <c r="AM145" s="45">
        <v>153.9999</v>
      </c>
      <c r="AN145" s="47">
        <f t="shared" si="40"/>
        <v>2.1977000000000002</v>
      </c>
      <c r="AO145" s="48">
        <f t="shared" si="41"/>
        <v>154</v>
      </c>
      <c r="AQ145" s="44" t="s">
        <v>1255</v>
      </c>
      <c r="AR145" s="44" t="s">
        <v>85</v>
      </c>
      <c r="AS145" s="45">
        <v>37.534721702425927</v>
      </c>
      <c r="AT145" s="45">
        <v>157.9999</v>
      </c>
      <c r="AU145" s="47">
        <f t="shared" si="42"/>
        <v>3.7534999999999998</v>
      </c>
      <c r="AV145" s="48">
        <f t="shared" si="43"/>
        <v>158</v>
      </c>
      <c r="AX145" s="44" t="s">
        <v>1256</v>
      </c>
      <c r="AY145" s="44" t="s">
        <v>87</v>
      </c>
      <c r="AZ145" s="45">
        <v>40.554216149371612</v>
      </c>
      <c r="BA145" s="45">
        <v>163.9999</v>
      </c>
      <c r="BB145" s="47">
        <f t="shared" si="36"/>
        <v>4.0553999999999997</v>
      </c>
      <c r="BC145" s="48">
        <f t="shared" si="37"/>
        <v>164</v>
      </c>
      <c r="BE145" s="44" t="s">
        <v>1257</v>
      </c>
      <c r="BF145" s="44" t="s">
        <v>89</v>
      </c>
      <c r="BG145" s="45">
        <v>126.00956833051201</v>
      </c>
      <c r="BH145" s="45">
        <v>172.9999</v>
      </c>
      <c r="BI145" s="47">
        <f t="shared" si="44"/>
        <v>12.601000000000001</v>
      </c>
      <c r="BJ145" s="48">
        <f t="shared" si="45"/>
        <v>173</v>
      </c>
    </row>
    <row r="146" spans="29:62" x14ac:dyDescent="0.2">
      <c r="AC146" s="44" t="s">
        <v>1258</v>
      </c>
      <c r="AD146" s="44" t="s">
        <v>81</v>
      </c>
      <c r="AE146" s="45">
        <v>9.1379571115398512</v>
      </c>
      <c r="AF146" s="45">
        <v>149.9999</v>
      </c>
      <c r="AG146" s="47">
        <f t="shared" si="38"/>
        <v>0.91379999999999995</v>
      </c>
      <c r="AH146" s="48">
        <f t="shared" si="39"/>
        <v>150</v>
      </c>
      <c r="AJ146" s="44" t="s">
        <v>1259</v>
      </c>
      <c r="AK146" s="44" t="s">
        <v>83</v>
      </c>
      <c r="AL146" s="45">
        <v>21.239970826526264</v>
      </c>
      <c r="AM146" s="45">
        <v>154.9999</v>
      </c>
      <c r="AN146" s="47">
        <f t="shared" si="40"/>
        <v>2.1240000000000001</v>
      </c>
      <c r="AO146" s="48">
        <f t="shared" si="41"/>
        <v>155</v>
      </c>
      <c r="AQ146" s="44" t="s">
        <v>1260</v>
      </c>
      <c r="AR146" s="44" t="s">
        <v>85</v>
      </c>
      <c r="AS146" s="45">
        <v>36.756943924648148</v>
      </c>
      <c r="AT146" s="45">
        <v>158.9999</v>
      </c>
      <c r="AU146" s="47">
        <f t="shared" si="42"/>
        <v>3.6757</v>
      </c>
      <c r="AV146" s="48">
        <f t="shared" si="43"/>
        <v>159</v>
      </c>
      <c r="AX146" s="44" t="s">
        <v>1261</v>
      </c>
      <c r="AY146" s="44" t="s">
        <v>87</v>
      </c>
      <c r="AZ146" s="45">
        <v>39.81283683902678</v>
      </c>
      <c r="BA146" s="45">
        <v>164.9999</v>
      </c>
      <c r="BB146" s="47">
        <f t="shared" si="36"/>
        <v>3.9813000000000001</v>
      </c>
      <c r="BC146" s="48">
        <f t="shared" si="37"/>
        <v>165</v>
      </c>
      <c r="BE146" s="44" t="s">
        <v>1262</v>
      </c>
      <c r="BF146" s="44" t="s">
        <v>89</v>
      </c>
      <c r="BG146" s="45">
        <v>125.6870939138837</v>
      </c>
      <c r="BH146" s="45">
        <v>173.9999</v>
      </c>
      <c r="BI146" s="47">
        <f t="shared" si="44"/>
        <v>12.5687</v>
      </c>
      <c r="BJ146" s="48">
        <f t="shared" si="45"/>
        <v>174</v>
      </c>
    </row>
    <row r="147" spans="29:62" x14ac:dyDescent="0.2">
      <c r="AC147" s="44" t="s">
        <v>1263</v>
      </c>
      <c r="AD147" s="44" t="s">
        <v>81</v>
      </c>
      <c r="AE147" s="45">
        <v>8.4017607925214435</v>
      </c>
      <c r="AF147" s="45">
        <v>150.9999</v>
      </c>
      <c r="AG147" s="47">
        <f t="shared" si="38"/>
        <v>0.84019999999999995</v>
      </c>
      <c r="AH147" s="48">
        <f t="shared" si="39"/>
        <v>151</v>
      </c>
      <c r="AJ147" s="44" t="s">
        <v>1264</v>
      </c>
      <c r="AK147" s="44" t="s">
        <v>83</v>
      </c>
      <c r="AL147" s="45">
        <v>20.502470826526267</v>
      </c>
      <c r="AM147" s="45">
        <v>155.9999</v>
      </c>
      <c r="AN147" s="47">
        <f t="shared" si="40"/>
        <v>2.0501999999999998</v>
      </c>
      <c r="AO147" s="48">
        <f t="shared" si="41"/>
        <v>156</v>
      </c>
      <c r="AQ147" s="44" t="s">
        <v>1265</v>
      </c>
      <c r="AR147" s="44" t="s">
        <v>85</v>
      </c>
      <c r="AS147" s="45">
        <v>35.979166146870377</v>
      </c>
      <c r="AT147" s="45">
        <v>159.9999</v>
      </c>
      <c r="AU147" s="47">
        <f t="shared" si="42"/>
        <v>3.5979000000000001</v>
      </c>
      <c r="AV147" s="48">
        <f t="shared" si="43"/>
        <v>160</v>
      </c>
      <c r="AX147" s="44" t="s">
        <v>1266</v>
      </c>
      <c r="AY147" s="44" t="s">
        <v>87</v>
      </c>
      <c r="AZ147" s="45">
        <v>39.071457528681947</v>
      </c>
      <c r="BA147" s="45">
        <v>165.9999</v>
      </c>
      <c r="BB147" s="47">
        <f t="shared" si="36"/>
        <v>3.9070999999999998</v>
      </c>
      <c r="BC147" s="48">
        <f t="shared" si="37"/>
        <v>166</v>
      </c>
      <c r="BE147" s="44" t="s">
        <v>1267</v>
      </c>
      <c r="BF147" s="44" t="s">
        <v>89</v>
      </c>
      <c r="BG147" s="45">
        <v>125.3646194972554</v>
      </c>
      <c r="BH147" s="45">
        <v>174.9999</v>
      </c>
      <c r="BI147" s="47">
        <f t="shared" si="44"/>
        <v>12.5365</v>
      </c>
      <c r="BJ147" s="48">
        <f t="shared" si="45"/>
        <v>175</v>
      </c>
    </row>
    <row r="148" spans="29:62" x14ac:dyDescent="0.2">
      <c r="AC148" s="44" t="s">
        <v>1268</v>
      </c>
      <c r="AD148" s="44" t="s">
        <v>81</v>
      </c>
      <c r="AE148" s="45">
        <v>7.6655644735030357</v>
      </c>
      <c r="AF148" s="45">
        <v>151.9999</v>
      </c>
      <c r="AG148" s="47">
        <f t="shared" si="38"/>
        <v>0.76659999999999995</v>
      </c>
      <c r="AH148" s="48">
        <f t="shared" si="39"/>
        <v>152</v>
      </c>
      <c r="AJ148" s="44" t="s">
        <v>1269</v>
      </c>
      <c r="AK148" s="44" t="s">
        <v>83</v>
      </c>
      <c r="AL148" s="45">
        <v>19.764970826526252</v>
      </c>
      <c r="AM148" s="45">
        <v>156.9999</v>
      </c>
      <c r="AN148" s="47">
        <f t="shared" si="40"/>
        <v>1.9764999999999999</v>
      </c>
      <c r="AO148" s="48">
        <f t="shared" si="41"/>
        <v>157</v>
      </c>
      <c r="AQ148" s="44" t="s">
        <v>1270</v>
      </c>
      <c r="AR148" s="44" t="s">
        <v>85</v>
      </c>
      <c r="AS148" s="45">
        <v>35.201388369092598</v>
      </c>
      <c r="AT148" s="45">
        <v>160.9999</v>
      </c>
      <c r="AU148" s="47">
        <f t="shared" si="42"/>
        <v>3.5200999999999998</v>
      </c>
      <c r="AV148" s="48">
        <f t="shared" si="43"/>
        <v>161</v>
      </c>
      <c r="AX148" s="44" t="s">
        <v>1271</v>
      </c>
      <c r="AY148" s="44" t="s">
        <v>87</v>
      </c>
      <c r="AZ148" s="45">
        <v>38.330078218337114</v>
      </c>
      <c r="BA148" s="45">
        <v>166.9999</v>
      </c>
      <c r="BB148" s="47">
        <f t="shared" si="36"/>
        <v>3.8330000000000002</v>
      </c>
      <c r="BC148" s="48">
        <f t="shared" si="37"/>
        <v>167</v>
      </c>
      <c r="BE148" s="44" t="s">
        <v>1272</v>
      </c>
      <c r="BF148" s="44" t="s">
        <v>89</v>
      </c>
      <c r="BG148" s="45">
        <v>125.04214508062709</v>
      </c>
      <c r="BH148" s="45">
        <v>175.9999</v>
      </c>
      <c r="BI148" s="47">
        <f t="shared" si="44"/>
        <v>12.504200000000001</v>
      </c>
      <c r="BJ148" s="48">
        <f t="shared" si="45"/>
        <v>176</v>
      </c>
    </row>
    <row r="149" spans="29:62" x14ac:dyDescent="0.2">
      <c r="AC149" s="44" t="s">
        <v>1273</v>
      </c>
      <c r="AD149" s="44" t="s">
        <v>81</v>
      </c>
      <c r="AE149" s="45">
        <v>6.929368154484628</v>
      </c>
      <c r="AF149" s="45">
        <v>152.9999</v>
      </c>
      <c r="AG149" s="47">
        <f t="shared" si="38"/>
        <v>0.69289999999999996</v>
      </c>
      <c r="AH149" s="48">
        <f t="shared" si="39"/>
        <v>153</v>
      </c>
      <c r="AJ149" s="44" t="s">
        <v>1274</v>
      </c>
      <c r="AK149" s="44" t="s">
        <v>83</v>
      </c>
      <c r="AL149" s="45">
        <v>19.027470826526258</v>
      </c>
      <c r="AM149" s="45">
        <v>157.9999</v>
      </c>
      <c r="AN149" s="47">
        <f t="shared" si="40"/>
        <v>1.9027000000000001</v>
      </c>
      <c r="AO149" s="48">
        <f t="shared" si="41"/>
        <v>158</v>
      </c>
      <c r="AQ149" s="44" t="s">
        <v>1275</v>
      </c>
      <c r="AR149" s="44" t="s">
        <v>85</v>
      </c>
      <c r="AS149" s="45">
        <v>34.423610591314841</v>
      </c>
      <c r="AT149" s="45">
        <v>161.9999</v>
      </c>
      <c r="AU149" s="47">
        <f t="shared" si="42"/>
        <v>3.4424000000000001</v>
      </c>
      <c r="AV149" s="48">
        <f t="shared" si="43"/>
        <v>162</v>
      </c>
      <c r="AX149" s="44" t="s">
        <v>1276</v>
      </c>
      <c r="AY149" s="44" t="s">
        <v>87</v>
      </c>
      <c r="AZ149" s="45">
        <v>37.588698907992303</v>
      </c>
      <c r="BA149" s="45">
        <v>167.9999</v>
      </c>
      <c r="BB149" s="47">
        <f t="shared" si="36"/>
        <v>3.7589000000000001</v>
      </c>
      <c r="BC149" s="48">
        <f t="shared" si="37"/>
        <v>168</v>
      </c>
      <c r="BE149" s="44" t="s">
        <v>1277</v>
      </c>
      <c r="BF149" s="44" t="s">
        <v>89</v>
      </c>
      <c r="BG149" s="45">
        <v>124.71967066399878</v>
      </c>
      <c r="BH149" s="45">
        <v>176.9999</v>
      </c>
      <c r="BI149" s="47">
        <f t="shared" si="44"/>
        <v>12.472</v>
      </c>
      <c r="BJ149" s="48">
        <f t="shared" si="45"/>
        <v>177</v>
      </c>
    </row>
    <row r="150" spans="29:62" x14ac:dyDescent="0.2">
      <c r="AC150" s="44" t="s">
        <v>1278</v>
      </c>
      <c r="AD150" s="44" t="s">
        <v>81</v>
      </c>
      <c r="AE150" s="45">
        <v>6.2203046145683309</v>
      </c>
      <c r="AF150" s="45">
        <v>153.9999</v>
      </c>
      <c r="AG150" s="47">
        <f t="shared" si="38"/>
        <v>0.622</v>
      </c>
      <c r="AH150" s="48">
        <f t="shared" si="39"/>
        <v>154</v>
      </c>
      <c r="AJ150" s="44" t="s">
        <v>1279</v>
      </c>
      <c r="AK150" s="44" t="s">
        <v>83</v>
      </c>
      <c r="AL150" s="45">
        <v>18.289970826526261</v>
      </c>
      <c r="AM150" s="45">
        <v>158.9999</v>
      </c>
      <c r="AN150" s="47">
        <f t="shared" si="40"/>
        <v>1.829</v>
      </c>
      <c r="AO150" s="48">
        <f t="shared" si="41"/>
        <v>159</v>
      </c>
      <c r="AQ150" s="44" t="s">
        <v>1280</v>
      </c>
      <c r="AR150" s="44" t="s">
        <v>85</v>
      </c>
      <c r="AS150" s="45">
        <v>33.645832813537062</v>
      </c>
      <c r="AT150" s="45">
        <v>162.9999</v>
      </c>
      <c r="AU150" s="47">
        <f t="shared" si="42"/>
        <v>3.3645999999999998</v>
      </c>
      <c r="AV150" s="48">
        <f t="shared" si="43"/>
        <v>163</v>
      </c>
      <c r="AX150" s="44" t="s">
        <v>1281</v>
      </c>
      <c r="AY150" s="44" t="s">
        <v>87</v>
      </c>
      <c r="AZ150" s="45">
        <v>36.84731959764747</v>
      </c>
      <c r="BA150" s="45">
        <v>168.9999</v>
      </c>
      <c r="BB150" s="47">
        <f t="shared" si="36"/>
        <v>3.6846999999999999</v>
      </c>
      <c r="BC150" s="48">
        <f t="shared" si="37"/>
        <v>169</v>
      </c>
      <c r="BE150" s="44" t="s">
        <v>1282</v>
      </c>
      <c r="BF150" s="44" t="s">
        <v>89</v>
      </c>
      <c r="BG150" s="45">
        <v>124.39719624737049</v>
      </c>
      <c r="BH150" s="45">
        <v>177.9999</v>
      </c>
      <c r="BI150" s="47">
        <f t="shared" si="44"/>
        <v>12.4397</v>
      </c>
      <c r="BJ150" s="48">
        <f t="shared" si="45"/>
        <v>178</v>
      </c>
    </row>
    <row r="151" spans="29:62" x14ac:dyDescent="0.2">
      <c r="AC151" s="44" t="s">
        <v>1283</v>
      </c>
      <c r="AD151" s="44" t="s">
        <v>81</v>
      </c>
      <c r="AE151" s="45">
        <v>5.548673451526021</v>
      </c>
      <c r="AF151" s="45">
        <v>154.9999</v>
      </c>
      <c r="AG151" s="47">
        <f t="shared" si="38"/>
        <v>0.55489999999999995</v>
      </c>
      <c r="AH151" s="48">
        <f t="shared" si="39"/>
        <v>155</v>
      </c>
      <c r="AJ151" s="44" t="s">
        <v>1284</v>
      </c>
      <c r="AK151" s="44" t="s">
        <v>83</v>
      </c>
      <c r="AL151" s="45">
        <v>17.606009315956321</v>
      </c>
      <c r="AM151" s="45">
        <v>159.9999</v>
      </c>
      <c r="AN151" s="47">
        <f t="shared" si="40"/>
        <v>1.7605999999999999</v>
      </c>
      <c r="AO151" s="48">
        <f t="shared" si="41"/>
        <v>160</v>
      </c>
      <c r="AQ151" s="44" t="s">
        <v>1285</v>
      </c>
      <c r="AR151" s="44" t="s">
        <v>85</v>
      </c>
      <c r="AS151" s="45">
        <v>32.88199598029604</v>
      </c>
      <c r="AT151" s="45">
        <v>163.9999</v>
      </c>
      <c r="AU151" s="47">
        <f t="shared" si="42"/>
        <v>3.2881999999999998</v>
      </c>
      <c r="AV151" s="48">
        <f t="shared" si="43"/>
        <v>164</v>
      </c>
      <c r="AX151" s="44" t="s">
        <v>1286</v>
      </c>
      <c r="AY151" s="44" t="s">
        <v>87</v>
      </c>
      <c r="AZ151" s="45">
        <v>36.105940287302637</v>
      </c>
      <c r="BA151" s="45">
        <v>169.9999</v>
      </c>
      <c r="BB151" s="47">
        <f t="shared" si="36"/>
        <v>3.6105999999999998</v>
      </c>
      <c r="BC151" s="48">
        <f t="shared" si="37"/>
        <v>170</v>
      </c>
      <c r="BE151" s="44" t="s">
        <v>1287</v>
      </c>
      <c r="BF151" s="44" t="s">
        <v>89</v>
      </c>
      <c r="BG151" s="45">
        <v>124.07472183074216</v>
      </c>
      <c r="BH151" s="45">
        <v>178.9999</v>
      </c>
      <c r="BI151" s="47">
        <f t="shared" si="44"/>
        <v>12.407500000000001</v>
      </c>
      <c r="BJ151" s="48">
        <f t="shared" si="45"/>
        <v>179</v>
      </c>
    </row>
    <row r="152" spans="29:62" x14ac:dyDescent="0.2">
      <c r="AC152" s="44" t="s">
        <v>1288</v>
      </c>
      <c r="AD152" s="44" t="s">
        <v>81</v>
      </c>
      <c r="AE152" s="45">
        <v>4.8770422884836915</v>
      </c>
      <c r="AF152" s="45">
        <v>155.9999</v>
      </c>
      <c r="AG152" s="47">
        <f t="shared" si="38"/>
        <v>0.48770000000000002</v>
      </c>
      <c r="AH152" s="48">
        <f t="shared" si="39"/>
        <v>156</v>
      </c>
      <c r="AJ152" s="44" t="s">
        <v>1289</v>
      </c>
      <c r="AK152" s="44" t="s">
        <v>83</v>
      </c>
      <c r="AL152" s="45">
        <v>16.996253218395346</v>
      </c>
      <c r="AM152" s="45">
        <v>160.9999</v>
      </c>
      <c r="AN152" s="47">
        <f t="shared" si="40"/>
        <v>1.6996</v>
      </c>
      <c r="AO152" s="48">
        <f t="shared" si="41"/>
        <v>161</v>
      </c>
      <c r="AQ152" s="44" t="s">
        <v>1290</v>
      </c>
      <c r="AR152" s="44" t="s">
        <v>85</v>
      </c>
      <c r="AS152" s="45">
        <v>32.120528090387786</v>
      </c>
      <c r="AT152" s="45">
        <v>164.9999</v>
      </c>
      <c r="AU152" s="47">
        <f t="shared" si="42"/>
        <v>3.2121</v>
      </c>
      <c r="AV152" s="48">
        <f t="shared" si="43"/>
        <v>165</v>
      </c>
      <c r="AX152" s="44" t="s">
        <v>1291</v>
      </c>
      <c r="AY152" s="44" t="s">
        <v>87</v>
      </c>
      <c r="AZ152" s="45">
        <v>35.3788919952922</v>
      </c>
      <c r="BA152" s="45">
        <v>170.9999</v>
      </c>
      <c r="BB152" s="47">
        <f t="shared" si="36"/>
        <v>3.5379</v>
      </c>
      <c r="BC152" s="48">
        <f t="shared" si="37"/>
        <v>171</v>
      </c>
      <c r="BE152" s="44" t="s">
        <v>1292</v>
      </c>
      <c r="BF152" s="44" t="s">
        <v>89</v>
      </c>
      <c r="BG152" s="45">
        <v>123.75224741411387</v>
      </c>
      <c r="BH152" s="45">
        <v>179.9999</v>
      </c>
      <c r="BI152" s="47">
        <f t="shared" si="44"/>
        <v>12.3752</v>
      </c>
      <c r="BJ152" s="48">
        <f t="shared" si="45"/>
        <v>180</v>
      </c>
    </row>
    <row r="153" spans="29:62" x14ac:dyDescent="0.2">
      <c r="AC153" s="44" t="s">
        <v>1293</v>
      </c>
      <c r="AD153" s="44" t="s">
        <v>81</v>
      </c>
      <c r="AE153" s="45">
        <v>4.205411125441362</v>
      </c>
      <c r="AF153" s="45">
        <v>156.9999</v>
      </c>
      <c r="AG153" s="47">
        <f t="shared" si="38"/>
        <v>0.42049999999999998</v>
      </c>
      <c r="AH153" s="48">
        <f t="shared" si="39"/>
        <v>157</v>
      </c>
      <c r="AJ153" s="44" t="s">
        <v>1294</v>
      </c>
      <c r="AK153" s="44" t="s">
        <v>83</v>
      </c>
      <c r="AL153" s="45">
        <v>16.386497120834353</v>
      </c>
      <c r="AM153" s="45">
        <v>161.9999</v>
      </c>
      <c r="AN153" s="47">
        <f t="shared" si="40"/>
        <v>1.6386000000000001</v>
      </c>
      <c r="AO153" s="48">
        <f t="shared" si="41"/>
        <v>162</v>
      </c>
      <c r="AQ153" s="44" t="s">
        <v>1295</v>
      </c>
      <c r="AR153" s="44" t="s">
        <v>85</v>
      </c>
      <c r="AS153" s="45">
        <v>31.359060200479526</v>
      </c>
      <c r="AT153" s="45">
        <v>165.9999</v>
      </c>
      <c r="AU153" s="47">
        <f t="shared" si="42"/>
        <v>3.1358999999999999</v>
      </c>
      <c r="AV153" s="48">
        <f t="shared" si="43"/>
        <v>166</v>
      </c>
      <c r="AX153" s="44" t="s">
        <v>1296</v>
      </c>
      <c r="AY153" s="44" t="s">
        <v>87</v>
      </c>
      <c r="AZ153" s="45">
        <v>34.670196343118292</v>
      </c>
      <c r="BA153" s="45">
        <v>171.9999</v>
      </c>
      <c r="BB153" s="47">
        <f t="shared" si="36"/>
        <v>3.4670000000000001</v>
      </c>
      <c r="BC153" s="48">
        <f t="shared" si="37"/>
        <v>172</v>
      </c>
      <c r="BE153" s="44" t="s">
        <v>1297</v>
      </c>
      <c r="BF153" s="44" t="s">
        <v>89</v>
      </c>
      <c r="BG153" s="45">
        <v>123.42977299748556</v>
      </c>
      <c r="BH153" s="45">
        <v>180.9999</v>
      </c>
      <c r="BI153" s="47">
        <f t="shared" si="44"/>
        <v>12.343</v>
      </c>
      <c r="BJ153" s="48">
        <f t="shared" si="45"/>
        <v>181</v>
      </c>
    </row>
    <row r="154" spans="29:62" x14ac:dyDescent="0.2">
      <c r="AC154" s="44" t="s">
        <v>1298</v>
      </c>
      <c r="AD154" s="44" t="s">
        <v>81</v>
      </c>
      <c r="AE154" s="45">
        <v>3.5337799623990511</v>
      </c>
      <c r="AF154" s="45">
        <v>157.9999</v>
      </c>
      <c r="AG154" s="47">
        <f t="shared" si="38"/>
        <v>0.35339999999999999</v>
      </c>
      <c r="AH154" s="48">
        <f t="shared" si="39"/>
        <v>158</v>
      </c>
      <c r="AJ154" s="44" t="s">
        <v>1299</v>
      </c>
      <c r="AK154" s="44" t="s">
        <v>83</v>
      </c>
      <c r="AL154" s="45">
        <v>15.776741023273377</v>
      </c>
      <c r="AM154" s="45">
        <v>162.9999</v>
      </c>
      <c r="AN154" s="47">
        <f t="shared" si="40"/>
        <v>1.5777000000000001</v>
      </c>
      <c r="AO154" s="48">
        <f t="shared" si="41"/>
        <v>163</v>
      </c>
      <c r="AQ154" s="44" t="s">
        <v>1300</v>
      </c>
      <c r="AR154" s="44" t="s">
        <v>85</v>
      </c>
      <c r="AS154" s="45">
        <v>30.597592310571279</v>
      </c>
      <c r="AT154" s="45">
        <v>166.9999</v>
      </c>
      <c r="AU154" s="47">
        <f t="shared" si="42"/>
        <v>3.0598000000000001</v>
      </c>
      <c r="AV154" s="48">
        <f t="shared" si="43"/>
        <v>167</v>
      </c>
      <c r="AX154" s="44" t="s">
        <v>1301</v>
      </c>
      <c r="AY154" s="44" t="s">
        <v>87</v>
      </c>
      <c r="AZ154" s="45">
        <v>33.961500690944384</v>
      </c>
      <c r="BA154" s="45">
        <v>172.9999</v>
      </c>
      <c r="BB154" s="47">
        <f t="shared" si="36"/>
        <v>3.3961999999999999</v>
      </c>
      <c r="BC154" s="48">
        <f t="shared" si="37"/>
        <v>173</v>
      </c>
      <c r="BE154" s="44" t="s">
        <v>1302</v>
      </c>
      <c r="BF154" s="44" t="s">
        <v>89</v>
      </c>
      <c r="BG154" s="45">
        <v>123.10729858085725</v>
      </c>
      <c r="BH154" s="45">
        <v>181.9999</v>
      </c>
      <c r="BI154" s="47">
        <f t="shared" si="44"/>
        <v>12.310700000000001</v>
      </c>
      <c r="BJ154" s="48">
        <f t="shared" si="45"/>
        <v>182</v>
      </c>
    </row>
    <row r="155" spans="29:62" x14ac:dyDescent="0.2">
      <c r="AC155" s="44" t="s">
        <v>1303</v>
      </c>
      <c r="AD155" s="44" t="s">
        <v>81</v>
      </c>
      <c r="AE155" s="45">
        <v>2.8621487993567212</v>
      </c>
      <c r="AF155" s="45">
        <v>158.9999</v>
      </c>
      <c r="AG155" s="47">
        <f t="shared" si="38"/>
        <v>0.28620000000000001</v>
      </c>
      <c r="AH155" s="48">
        <f t="shared" si="39"/>
        <v>159</v>
      </c>
      <c r="AJ155" s="44" t="s">
        <v>1304</v>
      </c>
      <c r="AK155" s="44" t="s">
        <v>83</v>
      </c>
      <c r="AL155" s="45">
        <v>15.166984925712404</v>
      </c>
      <c r="AM155" s="45">
        <v>163.9999</v>
      </c>
      <c r="AN155" s="47">
        <f t="shared" si="40"/>
        <v>1.5166999999999999</v>
      </c>
      <c r="AO155" s="48">
        <f t="shared" si="41"/>
        <v>164</v>
      </c>
      <c r="AQ155" s="44" t="s">
        <v>1305</v>
      </c>
      <c r="AR155" s="44" t="s">
        <v>85</v>
      </c>
      <c r="AS155" s="45">
        <v>29.836124420663012</v>
      </c>
      <c r="AT155" s="45">
        <v>167.9999</v>
      </c>
      <c r="AU155" s="47">
        <f t="shared" si="42"/>
        <v>2.9836</v>
      </c>
      <c r="AV155" s="48">
        <f t="shared" si="43"/>
        <v>168</v>
      </c>
      <c r="AX155" s="44" t="s">
        <v>1306</v>
      </c>
      <c r="AY155" s="44" t="s">
        <v>87</v>
      </c>
      <c r="AZ155" s="45">
        <v>33.252805038770461</v>
      </c>
      <c r="BA155" s="45">
        <v>173.9999</v>
      </c>
      <c r="BB155" s="47">
        <f t="shared" si="36"/>
        <v>3.3252999999999999</v>
      </c>
      <c r="BC155" s="48">
        <f t="shared" si="37"/>
        <v>174</v>
      </c>
      <c r="BE155" s="44" t="s">
        <v>1307</v>
      </c>
      <c r="BF155" s="44" t="s">
        <v>89</v>
      </c>
      <c r="BG155" s="45">
        <v>122.78482416422895</v>
      </c>
      <c r="BH155" s="45">
        <v>182.9999</v>
      </c>
      <c r="BI155" s="47">
        <f t="shared" si="44"/>
        <v>12.278499999999999</v>
      </c>
      <c r="BJ155" s="48">
        <f t="shared" si="45"/>
        <v>183</v>
      </c>
    </row>
    <row r="156" spans="29:62" x14ac:dyDescent="0.2">
      <c r="AC156" s="44" t="s">
        <v>1308</v>
      </c>
      <c r="AD156" s="44" t="s">
        <v>81</v>
      </c>
      <c r="AE156" s="45">
        <v>2.1878127211686631</v>
      </c>
      <c r="AF156" s="45">
        <v>159.9999</v>
      </c>
      <c r="AG156" s="47">
        <f t="shared" si="38"/>
        <v>0.21879999999999999</v>
      </c>
      <c r="AH156" s="48">
        <f t="shared" si="39"/>
        <v>160</v>
      </c>
      <c r="AJ156" s="44" t="s">
        <v>1309</v>
      </c>
      <c r="AK156" s="44" t="s">
        <v>83</v>
      </c>
      <c r="AL156" s="45">
        <v>14.55722882815143</v>
      </c>
      <c r="AM156" s="45">
        <v>164.9999</v>
      </c>
      <c r="AN156" s="47">
        <f t="shared" si="40"/>
        <v>1.4557</v>
      </c>
      <c r="AO156" s="48">
        <f t="shared" si="41"/>
        <v>165</v>
      </c>
      <c r="AQ156" s="44" t="s">
        <v>1310</v>
      </c>
      <c r="AR156" s="44" t="s">
        <v>85</v>
      </c>
      <c r="AS156" s="45">
        <v>29.074656530754766</v>
      </c>
      <c r="AT156" s="45">
        <v>168.9999</v>
      </c>
      <c r="AU156" s="47">
        <f t="shared" si="42"/>
        <v>2.9075000000000002</v>
      </c>
      <c r="AV156" s="48">
        <f t="shared" si="43"/>
        <v>169</v>
      </c>
      <c r="AX156" s="44" t="s">
        <v>1311</v>
      </c>
      <c r="AY156" s="44" t="s">
        <v>87</v>
      </c>
      <c r="AZ156" s="45">
        <v>32.544109386596553</v>
      </c>
      <c r="BA156" s="45">
        <v>174.9999</v>
      </c>
      <c r="BB156" s="47">
        <f t="shared" si="36"/>
        <v>3.2544</v>
      </c>
      <c r="BC156" s="48">
        <f t="shared" si="37"/>
        <v>175</v>
      </c>
      <c r="BE156" s="44" t="s">
        <v>1312</v>
      </c>
      <c r="BF156" s="44" t="s">
        <v>89</v>
      </c>
      <c r="BG156" s="45">
        <v>122.46234974760063</v>
      </c>
      <c r="BH156" s="45">
        <v>183.9999</v>
      </c>
      <c r="BI156" s="47">
        <f t="shared" si="44"/>
        <v>12.2462</v>
      </c>
      <c r="BJ156" s="48">
        <f t="shared" si="45"/>
        <v>184</v>
      </c>
    </row>
    <row r="157" spans="29:62" x14ac:dyDescent="0.2">
      <c r="AC157" s="44" t="s">
        <v>1313</v>
      </c>
      <c r="AD157" s="44" t="s">
        <v>81</v>
      </c>
      <c r="AE157" s="45">
        <v>1.4906698640257983</v>
      </c>
      <c r="AF157" s="45">
        <v>160.9999</v>
      </c>
      <c r="AG157" s="47">
        <f t="shared" si="38"/>
        <v>0.14910000000000001</v>
      </c>
      <c r="AH157" s="48">
        <f t="shared" si="39"/>
        <v>161</v>
      </c>
      <c r="AJ157" s="44" t="s">
        <v>1314</v>
      </c>
      <c r="AK157" s="44" t="s">
        <v>83</v>
      </c>
      <c r="AL157" s="45">
        <v>13.947472730590457</v>
      </c>
      <c r="AM157" s="45">
        <v>165.9999</v>
      </c>
      <c r="AN157" s="47">
        <f t="shared" si="40"/>
        <v>1.3947000000000001</v>
      </c>
      <c r="AO157" s="48">
        <f t="shared" si="41"/>
        <v>166</v>
      </c>
      <c r="AQ157" s="44" t="s">
        <v>1315</v>
      </c>
      <c r="AR157" s="44" t="s">
        <v>85</v>
      </c>
      <c r="AS157" s="45">
        <v>28.313188640846498</v>
      </c>
      <c r="AT157" s="45">
        <v>169.9999</v>
      </c>
      <c r="AU157" s="47">
        <f t="shared" si="42"/>
        <v>2.8313000000000001</v>
      </c>
      <c r="AV157" s="48">
        <f t="shared" si="43"/>
        <v>170</v>
      </c>
      <c r="AX157" s="44" t="s">
        <v>1316</v>
      </c>
      <c r="AY157" s="44" t="s">
        <v>87</v>
      </c>
      <c r="AZ157" s="45">
        <v>31.835413734422648</v>
      </c>
      <c r="BA157" s="45">
        <v>175.9999</v>
      </c>
      <c r="BB157" s="47">
        <f t="shared" si="36"/>
        <v>3.1835</v>
      </c>
      <c r="BC157" s="48">
        <f t="shared" si="37"/>
        <v>176</v>
      </c>
      <c r="BE157" s="44" t="s">
        <v>1317</v>
      </c>
      <c r="BF157" s="44" t="s">
        <v>89</v>
      </c>
      <c r="BG157" s="45">
        <v>122.13987533097233</v>
      </c>
      <c r="BH157" s="45">
        <v>184.9999</v>
      </c>
      <c r="BI157" s="47">
        <f t="shared" si="44"/>
        <v>12.214</v>
      </c>
      <c r="BJ157" s="48">
        <f t="shared" si="45"/>
        <v>185</v>
      </c>
    </row>
    <row r="158" spans="29:62" x14ac:dyDescent="0.2">
      <c r="AC158" s="44" t="s">
        <v>1318</v>
      </c>
      <c r="AD158" s="44" t="s">
        <v>81</v>
      </c>
      <c r="AE158" s="45">
        <v>0.79340607368887439</v>
      </c>
      <c r="AF158" s="45">
        <v>161.9999</v>
      </c>
      <c r="AG158" s="47">
        <f t="shared" si="38"/>
        <v>7.9299999999999995E-2</v>
      </c>
      <c r="AH158" s="48">
        <f t="shared" si="39"/>
        <v>162</v>
      </c>
      <c r="AJ158" s="44" t="s">
        <v>1319</v>
      </c>
      <c r="AK158" s="44" t="s">
        <v>83</v>
      </c>
      <c r="AL158" s="45">
        <v>13.337716633029483</v>
      </c>
      <c r="AM158" s="45">
        <v>166.9999</v>
      </c>
      <c r="AN158" s="47">
        <f t="shared" si="40"/>
        <v>1.3338000000000001</v>
      </c>
      <c r="AO158" s="48">
        <f t="shared" si="41"/>
        <v>167</v>
      </c>
      <c r="AQ158" s="44" t="s">
        <v>1320</v>
      </c>
      <c r="AR158" s="44" t="s">
        <v>85</v>
      </c>
      <c r="AS158" s="45">
        <v>27.551720750938248</v>
      </c>
      <c r="AT158" s="45">
        <v>170.9999</v>
      </c>
      <c r="AU158" s="47">
        <f t="shared" si="42"/>
        <v>2.7551999999999999</v>
      </c>
      <c r="AV158" s="48">
        <f t="shared" si="43"/>
        <v>171</v>
      </c>
      <c r="AX158" s="44" t="s">
        <v>1321</v>
      </c>
      <c r="AY158" s="44" t="s">
        <v>87</v>
      </c>
      <c r="AZ158" s="45">
        <v>31.12671808224874</v>
      </c>
      <c r="BA158" s="45">
        <v>176.9999</v>
      </c>
      <c r="BB158" s="47">
        <f t="shared" si="36"/>
        <v>3.1126999999999998</v>
      </c>
      <c r="BC158" s="48">
        <f t="shared" si="37"/>
        <v>177</v>
      </c>
      <c r="BE158" s="44" t="s">
        <v>1322</v>
      </c>
      <c r="BF158" s="44" t="s">
        <v>89</v>
      </c>
      <c r="BG158" s="45">
        <v>121.81740091434402</v>
      </c>
      <c r="BH158" s="45">
        <v>185.9999</v>
      </c>
      <c r="BI158" s="47">
        <f t="shared" si="44"/>
        <v>12.181699999999999</v>
      </c>
      <c r="BJ158" s="48">
        <f t="shared" si="45"/>
        <v>186</v>
      </c>
    </row>
    <row r="159" spans="29:62" x14ac:dyDescent="0.2">
      <c r="AC159" s="44" t="s">
        <v>1323</v>
      </c>
      <c r="AD159" s="44" t="s">
        <v>81</v>
      </c>
      <c r="AE159" s="45">
        <v>9.6205794098991979E-2</v>
      </c>
      <c r="AF159" s="45">
        <v>162.9999</v>
      </c>
      <c r="AG159" s="47">
        <f t="shared" si="38"/>
        <v>9.5999999999999992E-3</v>
      </c>
      <c r="AH159" s="48">
        <f t="shared" si="39"/>
        <v>163</v>
      </c>
      <c r="AJ159" s="44" t="s">
        <v>1324</v>
      </c>
      <c r="AK159" s="44" t="s">
        <v>83</v>
      </c>
      <c r="AL159" s="45">
        <v>12.727960535468508</v>
      </c>
      <c r="AM159" s="45">
        <v>167.9999</v>
      </c>
      <c r="AN159" s="47">
        <f t="shared" si="40"/>
        <v>1.2727999999999999</v>
      </c>
      <c r="AO159" s="48">
        <f t="shared" si="41"/>
        <v>168</v>
      </c>
      <c r="AQ159" s="44" t="s">
        <v>1325</v>
      </c>
      <c r="AR159" s="44" t="s">
        <v>85</v>
      </c>
      <c r="AS159" s="45">
        <v>26.790252861029984</v>
      </c>
      <c r="AT159" s="45">
        <v>171.9999</v>
      </c>
      <c r="AU159" s="47">
        <f t="shared" si="42"/>
        <v>2.6789999999999998</v>
      </c>
      <c r="AV159" s="48">
        <f t="shared" si="43"/>
        <v>172</v>
      </c>
      <c r="AX159" s="44" t="s">
        <v>1326</v>
      </c>
      <c r="AY159" s="44" t="s">
        <v>87</v>
      </c>
      <c r="AZ159" s="45">
        <v>30.418022430074814</v>
      </c>
      <c r="BA159" s="45">
        <v>177.9999</v>
      </c>
      <c r="BB159" s="47">
        <f t="shared" si="36"/>
        <v>3.0417999999999998</v>
      </c>
      <c r="BC159" s="48">
        <f t="shared" si="37"/>
        <v>178</v>
      </c>
      <c r="BE159" s="44" t="s">
        <v>1327</v>
      </c>
      <c r="BF159" s="44" t="s">
        <v>89</v>
      </c>
      <c r="BG159" s="45">
        <v>121.49492649771571</v>
      </c>
      <c r="BH159" s="45">
        <v>186.9999</v>
      </c>
      <c r="BI159" s="47">
        <f t="shared" si="44"/>
        <v>12.1495</v>
      </c>
      <c r="BJ159" s="48">
        <f t="shared" si="45"/>
        <v>187</v>
      </c>
    </row>
    <row r="160" spans="29:62" x14ac:dyDescent="0.2">
      <c r="AC160" s="44" t="s">
        <v>1328</v>
      </c>
      <c r="AD160" s="44" t="s">
        <v>81</v>
      </c>
      <c r="AE160" s="45">
        <v>-1E-4</v>
      </c>
      <c r="AF160" s="45">
        <v>163.13803217940136</v>
      </c>
      <c r="AG160" s="47">
        <f t="shared" si="38"/>
        <v>0</v>
      </c>
      <c r="AH160" s="48">
        <f t="shared" si="39"/>
        <v>163.1</v>
      </c>
      <c r="AJ160" s="44" t="s">
        <v>1329</v>
      </c>
      <c r="AK160" s="44" t="s">
        <v>83</v>
      </c>
      <c r="AL160" s="45">
        <v>12.112732080334746</v>
      </c>
      <c r="AM160" s="45">
        <v>168.9999</v>
      </c>
      <c r="AN160" s="47">
        <f t="shared" si="40"/>
        <v>1.2113</v>
      </c>
      <c r="AO160" s="48">
        <f t="shared" si="41"/>
        <v>169</v>
      </c>
      <c r="AQ160" s="44" t="s">
        <v>1330</v>
      </c>
      <c r="AR160" s="44" t="s">
        <v>85</v>
      </c>
      <c r="AS160" s="45">
        <v>26.028784971121716</v>
      </c>
      <c r="AT160" s="45">
        <v>172.9999</v>
      </c>
      <c r="AU160" s="47">
        <f t="shared" si="42"/>
        <v>2.6029</v>
      </c>
      <c r="AV160" s="48">
        <f t="shared" si="43"/>
        <v>173</v>
      </c>
      <c r="AX160" s="44" t="s">
        <v>1331</v>
      </c>
      <c r="AY160" s="44" t="s">
        <v>87</v>
      </c>
      <c r="AZ160" s="45">
        <v>29.709326777900905</v>
      </c>
      <c r="BA160" s="45">
        <v>178.9999</v>
      </c>
      <c r="BB160" s="47">
        <f t="shared" si="36"/>
        <v>2.9708999999999999</v>
      </c>
      <c r="BC160" s="48">
        <f t="shared" si="37"/>
        <v>179</v>
      </c>
      <c r="BE160" s="44" t="s">
        <v>1332</v>
      </c>
      <c r="BF160" s="44" t="s">
        <v>89</v>
      </c>
      <c r="BG160" s="45">
        <v>121.17245208108741</v>
      </c>
      <c r="BH160" s="45">
        <v>187.9999</v>
      </c>
      <c r="BI160" s="47">
        <f t="shared" si="44"/>
        <v>12.1172</v>
      </c>
      <c r="BJ160" s="48">
        <f t="shared" si="45"/>
        <v>188</v>
      </c>
    </row>
    <row r="161" spans="36:62" x14ac:dyDescent="0.2">
      <c r="AJ161" s="44" t="s">
        <v>1333</v>
      </c>
      <c r="AK161" s="44" t="s">
        <v>83</v>
      </c>
      <c r="AL161" s="45">
        <v>11.453641171243831</v>
      </c>
      <c r="AM161" s="45">
        <v>169.9999</v>
      </c>
      <c r="AN161" s="47">
        <f t="shared" si="40"/>
        <v>1.1454</v>
      </c>
      <c r="AO161" s="48">
        <f t="shared" si="41"/>
        <v>170</v>
      </c>
      <c r="AQ161" s="44" t="s">
        <v>1334</v>
      </c>
      <c r="AR161" s="44" t="s">
        <v>85</v>
      </c>
      <c r="AS161" s="45">
        <v>25.286618190229532</v>
      </c>
      <c r="AT161" s="45">
        <v>173.9999</v>
      </c>
      <c r="AU161" s="47">
        <f t="shared" si="42"/>
        <v>2.5287000000000002</v>
      </c>
      <c r="AV161" s="48">
        <f t="shared" si="43"/>
        <v>174</v>
      </c>
      <c r="AX161" s="44" t="s">
        <v>1335</v>
      </c>
      <c r="AY161" s="44" t="s">
        <v>87</v>
      </c>
      <c r="AZ161" s="45">
        <v>29.011314174891751</v>
      </c>
      <c r="BA161" s="45">
        <v>179.9999</v>
      </c>
      <c r="BB161" s="47">
        <f t="shared" si="36"/>
        <v>2.9011</v>
      </c>
      <c r="BC161" s="48">
        <f t="shared" si="37"/>
        <v>180</v>
      </c>
      <c r="BE161" s="44" t="s">
        <v>1336</v>
      </c>
      <c r="BF161" s="44" t="s">
        <v>89</v>
      </c>
      <c r="BG161" s="45">
        <v>120.8499776644591</v>
      </c>
      <c r="BH161" s="45">
        <v>188.9999</v>
      </c>
      <c r="BI161" s="47">
        <f t="shared" si="44"/>
        <v>12.085000000000001</v>
      </c>
      <c r="BJ161" s="48">
        <f t="shared" si="45"/>
        <v>189</v>
      </c>
    </row>
    <row r="162" spans="36:62" x14ac:dyDescent="0.2">
      <c r="AJ162" s="44" t="s">
        <v>1337</v>
      </c>
      <c r="AK162" s="44" t="s">
        <v>83</v>
      </c>
      <c r="AL162" s="45">
        <v>10.794550262152914</v>
      </c>
      <c r="AM162" s="45">
        <v>170.9999</v>
      </c>
      <c r="AN162" s="47">
        <f t="shared" si="40"/>
        <v>1.0794999999999999</v>
      </c>
      <c r="AO162" s="48">
        <f t="shared" si="41"/>
        <v>171</v>
      </c>
      <c r="AQ162" s="44" t="s">
        <v>1338</v>
      </c>
      <c r="AR162" s="44" t="s">
        <v>85</v>
      </c>
      <c r="AS162" s="45">
        <v>24.560639542542713</v>
      </c>
      <c r="AT162" s="45">
        <v>174.9999</v>
      </c>
      <c r="AU162" s="47">
        <f t="shared" si="42"/>
        <v>2.4561000000000002</v>
      </c>
      <c r="AV162" s="48">
        <f t="shared" si="43"/>
        <v>175</v>
      </c>
      <c r="AX162" s="44" t="s">
        <v>1339</v>
      </c>
      <c r="AY162" s="44" t="s">
        <v>87</v>
      </c>
      <c r="AZ162" s="45">
        <v>28.317139417610196</v>
      </c>
      <c r="BA162" s="45">
        <v>180.9999</v>
      </c>
      <c r="BB162" s="47">
        <f t="shared" si="36"/>
        <v>2.8317000000000001</v>
      </c>
      <c r="BC162" s="48">
        <f t="shared" si="37"/>
        <v>181</v>
      </c>
      <c r="BE162" s="44" t="s">
        <v>1340</v>
      </c>
      <c r="BF162" s="44" t="s">
        <v>89</v>
      </c>
      <c r="BG162" s="45">
        <v>120.52750324783079</v>
      </c>
      <c r="BH162" s="45">
        <v>189.9999</v>
      </c>
      <c r="BI162" s="47">
        <f t="shared" si="44"/>
        <v>12.0528</v>
      </c>
      <c r="BJ162" s="48">
        <f t="shared" si="45"/>
        <v>190</v>
      </c>
    </row>
    <row r="163" spans="36:62" x14ac:dyDescent="0.2">
      <c r="AJ163" s="44" t="s">
        <v>1341</v>
      </c>
      <c r="AK163" s="44" t="s">
        <v>83</v>
      </c>
      <c r="AL163" s="45">
        <v>10.135459353062018</v>
      </c>
      <c r="AM163" s="45">
        <v>171.9999</v>
      </c>
      <c r="AN163" s="47">
        <f t="shared" si="40"/>
        <v>1.0135000000000001</v>
      </c>
      <c r="AO163" s="48">
        <f t="shared" si="41"/>
        <v>172</v>
      </c>
      <c r="AQ163" s="44" t="s">
        <v>1342</v>
      </c>
      <c r="AR163" s="44" t="s">
        <v>85</v>
      </c>
      <c r="AS163" s="45">
        <v>23.834660894855869</v>
      </c>
      <c r="AT163" s="45">
        <v>175.9999</v>
      </c>
      <c r="AU163" s="47">
        <f t="shared" si="42"/>
        <v>2.3835000000000002</v>
      </c>
      <c r="AV163" s="48">
        <f t="shared" si="43"/>
        <v>176</v>
      </c>
      <c r="AX163" s="44" t="s">
        <v>1343</v>
      </c>
      <c r="AY163" s="44" t="s">
        <v>87</v>
      </c>
      <c r="AZ163" s="45">
        <v>27.622964660328659</v>
      </c>
      <c r="BA163" s="45">
        <v>181.9999</v>
      </c>
      <c r="BB163" s="47">
        <f t="shared" si="36"/>
        <v>2.7623000000000002</v>
      </c>
      <c r="BC163" s="48">
        <f t="shared" si="37"/>
        <v>182</v>
      </c>
      <c r="BE163" s="44" t="s">
        <v>1344</v>
      </c>
      <c r="BF163" s="44" t="s">
        <v>89</v>
      </c>
      <c r="BG163" s="45">
        <v>120.20502883120248</v>
      </c>
      <c r="BH163" s="45">
        <v>190.9999</v>
      </c>
      <c r="BI163" s="47">
        <f t="shared" si="44"/>
        <v>12.0205</v>
      </c>
      <c r="BJ163" s="48">
        <f t="shared" si="45"/>
        <v>191</v>
      </c>
    </row>
    <row r="164" spans="36:62" x14ac:dyDescent="0.2">
      <c r="AJ164" s="44" t="s">
        <v>1345</v>
      </c>
      <c r="AK164" s="44" t="s">
        <v>83</v>
      </c>
      <c r="AL164" s="45">
        <v>9.4763684439711025</v>
      </c>
      <c r="AM164" s="45">
        <v>172.9999</v>
      </c>
      <c r="AN164" s="47">
        <f t="shared" si="40"/>
        <v>0.9476</v>
      </c>
      <c r="AO164" s="48">
        <f t="shared" si="41"/>
        <v>173</v>
      </c>
      <c r="AQ164" s="44" t="s">
        <v>1346</v>
      </c>
      <c r="AR164" s="44" t="s">
        <v>85</v>
      </c>
      <c r="AS164" s="45">
        <v>23.108682247169025</v>
      </c>
      <c r="AT164" s="45">
        <v>176.9999</v>
      </c>
      <c r="AU164" s="47">
        <f t="shared" si="42"/>
        <v>2.3109000000000002</v>
      </c>
      <c r="AV164" s="48">
        <f t="shared" si="43"/>
        <v>177</v>
      </c>
      <c r="AX164" s="44" t="s">
        <v>1347</v>
      </c>
      <c r="AY164" s="44" t="s">
        <v>87</v>
      </c>
      <c r="AZ164" s="45">
        <v>26.928789903047104</v>
      </c>
      <c r="BA164" s="45">
        <v>182.9999</v>
      </c>
      <c r="BB164" s="47">
        <f t="shared" si="36"/>
        <v>2.6928999999999998</v>
      </c>
      <c r="BC164" s="48">
        <f t="shared" si="37"/>
        <v>183</v>
      </c>
      <c r="BE164" s="44" t="s">
        <v>1348</v>
      </c>
      <c r="BF164" s="44" t="s">
        <v>89</v>
      </c>
      <c r="BG164" s="45">
        <v>119.88255441457419</v>
      </c>
      <c r="BH164" s="45">
        <v>191.9999</v>
      </c>
      <c r="BI164" s="47">
        <f t="shared" si="44"/>
        <v>11.988300000000001</v>
      </c>
      <c r="BJ164" s="48">
        <f t="shared" si="45"/>
        <v>192</v>
      </c>
    </row>
    <row r="165" spans="36:62" x14ac:dyDescent="0.2">
      <c r="AJ165" s="44" t="s">
        <v>1349</v>
      </c>
      <c r="AK165" s="44" t="s">
        <v>83</v>
      </c>
      <c r="AL165" s="45">
        <v>8.8172775348801871</v>
      </c>
      <c r="AM165" s="45">
        <v>173.9999</v>
      </c>
      <c r="AN165" s="47">
        <f t="shared" si="40"/>
        <v>0.88170000000000004</v>
      </c>
      <c r="AO165" s="48">
        <f t="shared" si="41"/>
        <v>174</v>
      </c>
      <c r="AQ165" s="44" t="s">
        <v>1350</v>
      </c>
      <c r="AR165" s="44" t="s">
        <v>85</v>
      </c>
      <c r="AS165" s="45">
        <v>22.382703599482205</v>
      </c>
      <c r="AT165" s="45">
        <v>177.9999</v>
      </c>
      <c r="AU165" s="47">
        <f t="shared" si="42"/>
        <v>2.2383000000000002</v>
      </c>
      <c r="AV165" s="48">
        <f t="shared" si="43"/>
        <v>178</v>
      </c>
      <c r="AX165" s="44" t="s">
        <v>1351</v>
      </c>
      <c r="AY165" s="44" t="s">
        <v>87</v>
      </c>
      <c r="AZ165" s="45">
        <v>26.234615145765549</v>
      </c>
      <c r="BA165" s="45">
        <v>183.9999</v>
      </c>
      <c r="BB165" s="47">
        <f t="shared" si="36"/>
        <v>2.6234999999999999</v>
      </c>
      <c r="BC165" s="48">
        <f t="shared" si="37"/>
        <v>184</v>
      </c>
      <c r="BE165" s="44" t="s">
        <v>1352</v>
      </c>
      <c r="BF165" s="44" t="s">
        <v>89</v>
      </c>
      <c r="BG165" s="45">
        <v>119.56007999794588</v>
      </c>
      <c r="BH165" s="45">
        <v>192.9999</v>
      </c>
      <c r="BI165" s="47">
        <f t="shared" si="44"/>
        <v>11.956</v>
      </c>
      <c r="BJ165" s="48">
        <f t="shared" si="45"/>
        <v>193</v>
      </c>
    </row>
    <row r="166" spans="36:62" x14ac:dyDescent="0.2">
      <c r="AJ166" s="44" t="s">
        <v>1353</v>
      </c>
      <c r="AK166" s="44" t="s">
        <v>83</v>
      </c>
      <c r="AL166" s="45">
        <v>8.1581866257892912</v>
      </c>
      <c r="AM166" s="45">
        <v>174.9999</v>
      </c>
      <c r="AN166" s="47">
        <f t="shared" si="40"/>
        <v>0.81579999999999997</v>
      </c>
      <c r="AO166" s="48">
        <f t="shared" si="41"/>
        <v>175</v>
      </c>
      <c r="AQ166" s="44" t="s">
        <v>1354</v>
      </c>
      <c r="AR166" s="44" t="s">
        <v>85</v>
      </c>
      <c r="AS166" s="45">
        <v>21.656724951795361</v>
      </c>
      <c r="AT166" s="45">
        <v>178.9999</v>
      </c>
      <c r="AU166" s="47">
        <f t="shared" si="42"/>
        <v>2.1657000000000002</v>
      </c>
      <c r="AV166" s="48">
        <f t="shared" si="43"/>
        <v>179</v>
      </c>
      <c r="AX166" s="44" t="s">
        <v>1355</v>
      </c>
      <c r="AY166" s="44" t="s">
        <v>87</v>
      </c>
      <c r="AZ166" s="45">
        <v>25.540440388483994</v>
      </c>
      <c r="BA166" s="45">
        <v>184.9999</v>
      </c>
      <c r="BB166" s="47">
        <f t="shared" si="36"/>
        <v>2.5539999999999998</v>
      </c>
      <c r="BC166" s="48">
        <f t="shared" si="37"/>
        <v>185</v>
      </c>
      <c r="BE166" s="44" t="s">
        <v>1356</v>
      </c>
      <c r="BF166" s="44" t="s">
        <v>89</v>
      </c>
      <c r="BG166" s="45">
        <v>119.39823348070709</v>
      </c>
      <c r="BH166" s="45">
        <v>193.50178947988806</v>
      </c>
      <c r="BI166" s="47">
        <f t="shared" si="44"/>
        <v>11.9398</v>
      </c>
      <c r="BJ166" s="48">
        <f t="shared" si="45"/>
        <v>193.5</v>
      </c>
    </row>
    <row r="167" spans="36:62" x14ac:dyDescent="0.2">
      <c r="AJ167" s="44" t="s">
        <v>1357</v>
      </c>
      <c r="AK167" s="44" t="s">
        <v>83</v>
      </c>
      <c r="AL167" s="45">
        <v>7.4990957166983749</v>
      </c>
      <c r="AM167" s="45">
        <v>175.9999</v>
      </c>
      <c r="AN167" s="47">
        <f t="shared" si="40"/>
        <v>0.74990000000000001</v>
      </c>
      <c r="AO167" s="48">
        <f t="shared" si="41"/>
        <v>176</v>
      </c>
      <c r="AQ167" s="44" t="s">
        <v>1358</v>
      </c>
      <c r="AR167" s="44" t="s">
        <v>85</v>
      </c>
      <c r="AS167" s="45">
        <v>20.930746304108538</v>
      </c>
      <c r="AT167" s="45">
        <v>179.9999</v>
      </c>
      <c r="AU167" s="47">
        <f t="shared" si="42"/>
        <v>2.0931000000000002</v>
      </c>
      <c r="AV167" s="48">
        <f t="shared" si="43"/>
        <v>180</v>
      </c>
      <c r="AX167" s="44" t="s">
        <v>1359</v>
      </c>
      <c r="AY167" s="44" t="s">
        <v>87</v>
      </c>
      <c r="AZ167" s="45">
        <v>24.846265631202435</v>
      </c>
      <c r="BA167" s="45">
        <v>185.9999</v>
      </c>
      <c r="BB167" s="47">
        <f t="shared" si="36"/>
        <v>2.4845999999999999</v>
      </c>
      <c r="BC167" s="48">
        <f t="shared" si="37"/>
        <v>186</v>
      </c>
    </row>
    <row r="168" spans="36:62" x14ac:dyDescent="0.2">
      <c r="AJ168" s="44" t="s">
        <v>1360</v>
      </c>
      <c r="AK168" s="44" t="s">
        <v>83</v>
      </c>
      <c r="AL168" s="45">
        <v>6.8400048076074587</v>
      </c>
      <c r="AM168" s="45">
        <v>176.9999</v>
      </c>
      <c r="AN168" s="47">
        <f t="shared" si="40"/>
        <v>0.68400000000000005</v>
      </c>
      <c r="AO168" s="48">
        <f t="shared" si="41"/>
        <v>177</v>
      </c>
      <c r="AQ168" s="44" t="s">
        <v>1361</v>
      </c>
      <c r="AR168" s="44" t="s">
        <v>85</v>
      </c>
      <c r="AS168" s="45">
        <v>20.204767656421698</v>
      </c>
      <c r="AT168" s="45">
        <v>180.9999</v>
      </c>
      <c r="AU168" s="47">
        <f t="shared" si="42"/>
        <v>2.0205000000000002</v>
      </c>
      <c r="AV168" s="48">
        <f t="shared" si="43"/>
        <v>181</v>
      </c>
      <c r="AX168" s="44" t="s">
        <v>1362</v>
      </c>
      <c r="AY168" s="44" t="s">
        <v>87</v>
      </c>
      <c r="AZ168" s="45">
        <v>24.152090873920901</v>
      </c>
      <c r="BA168" s="45">
        <v>186.9999</v>
      </c>
      <c r="BB168" s="47">
        <f t="shared" si="36"/>
        <v>2.4152</v>
      </c>
      <c r="BC168" s="48">
        <f t="shared" si="37"/>
        <v>187</v>
      </c>
    </row>
    <row r="169" spans="36:62" x14ac:dyDescent="0.2">
      <c r="AJ169" s="44" t="s">
        <v>1363</v>
      </c>
      <c r="AK169" s="44" t="s">
        <v>83</v>
      </c>
      <c r="AL169" s="45">
        <v>6.1809138985165628</v>
      </c>
      <c r="AM169" s="45">
        <v>177.9999</v>
      </c>
      <c r="AN169" s="47">
        <f t="shared" si="40"/>
        <v>0.61809999999999998</v>
      </c>
      <c r="AO169" s="48">
        <f t="shared" si="41"/>
        <v>178</v>
      </c>
      <c r="AQ169" s="44" t="s">
        <v>1364</v>
      </c>
      <c r="AR169" s="44" t="s">
        <v>85</v>
      </c>
      <c r="AS169" s="45">
        <v>19.478789008734875</v>
      </c>
      <c r="AT169" s="45">
        <v>181.9999</v>
      </c>
      <c r="AU169" s="47">
        <f t="shared" si="42"/>
        <v>1.9479</v>
      </c>
      <c r="AV169" s="48">
        <f t="shared" si="43"/>
        <v>182</v>
      </c>
      <c r="AX169" s="44" t="s">
        <v>1365</v>
      </c>
      <c r="AY169" s="44" t="s">
        <v>87</v>
      </c>
      <c r="AZ169" s="45">
        <v>23.51957303630337</v>
      </c>
      <c r="BA169" s="45">
        <v>187.9999</v>
      </c>
      <c r="BB169" s="47">
        <f t="shared" si="36"/>
        <v>2.3519999999999999</v>
      </c>
      <c r="BC169" s="48">
        <f t="shared" si="37"/>
        <v>188</v>
      </c>
    </row>
    <row r="170" spans="36:62" x14ac:dyDescent="0.2">
      <c r="AJ170" s="44" t="s">
        <v>1366</v>
      </c>
      <c r="AK170" s="44" t="s">
        <v>83</v>
      </c>
      <c r="AL170" s="45">
        <v>5.5367689108465115</v>
      </c>
      <c r="AM170" s="45">
        <v>178.9999</v>
      </c>
      <c r="AN170" s="47">
        <f t="shared" si="40"/>
        <v>0.55369999999999997</v>
      </c>
      <c r="AO170" s="48">
        <f t="shared" si="41"/>
        <v>179</v>
      </c>
      <c r="AQ170" s="44" t="s">
        <v>1367</v>
      </c>
      <c r="AR170" s="44" t="s">
        <v>85</v>
      </c>
      <c r="AS170" s="45">
        <v>18.726536502645985</v>
      </c>
      <c r="AT170" s="45">
        <v>182.9999</v>
      </c>
      <c r="AU170" s="47">
        <f t="shared" si="42"/>
        <v>1.8727</v>
      </c>
      <c r="AV170" s="48">
        <f t="shared" si="43"/>
        <v>183</v>
      </c>
      <c r="AX170" s="44" t="s">
        <v>1368</v>
      </c>
      <c r="AY170" s="44" t="s">
        <v>87</v>
      </c>
      <c r="AZ170" s="45">
        <v>22.890918065543126</v>
      </c>
      <c r="BA170" s="45">
        <v>188.9999</v>
      </c>
      <c r="BB170" s="47">
        <f t="shared" si="36"/>
        <v>2.2890999999999999</v>
      </c>
      <c r="BC170" s="48">
        <f t="shared" si="37"/>
        <v>189</v>
      </c>
    </row>
    <row r="171" spans="36:62" x14ac:dyDescent="0.2">
      <c r="AJ171" s="44" t="s">
        <v>1369</v>
      </c>
      <c r="AK171" s="44" t="s">
        <v>83</v>
      </c>
      <c r="AL171" s="45">
        <v>5.0005370267885416</v>
      </c>
      <c r="AM171" s="45">
        <v>179.9999</v>
      </c>
      <c r="AN171" s="47">
        <f t="shared" si="40"/>
        <v>0.50009999999999999</v>
      </c>
      <c r="AO171" s="48">
        <f t="shared" si="41"/>
        <v>180</v>
      </c>
      <c r="AQ171" s="44" t="s">
        <v>1370</v>
      </c>
      <c r="AR171" s="44" t="s">
        <v>85</v>
      </c>
      <c r="AS171" s="45">
        <v>17.962113425722922</v>
      </c>
      <c r="AT171" s="45">
        <v>183.9999</v>
      </c>
      <c r="AU171" s="47">
        <f t="shared" si="42"/>
        <v>1.7962</v>
      </c>
      <c r="AV171" s="48">
        <f t="shared" si="43"/>
        <v>184</v>
      </c>
      <c r="AX171" s="44" t="s">
        <v>1371</v>
      </c>
      <c r="AY171" s="44" t="s">
        <v>87</v>
      </c>
      <c r="AZ171" s="45">
        <v>22.262263094782899</v>
      </c>
      <c r="BA171" s="45">
        <v>189.9999</v>
      </c>
      <c r="BB171" s="47">
        <f t="shared" si="36"/>
        <v>2.2262</v>
      </c>
      <c r="BC171" s="48">
        <f t="shared" si="37"/>
        <v>190</v>
      </c>
    </row>
    <row r="172" spans="36:62" x14ac:dyDescent="0.2">
      <c r="AJ172" s="44" t="s">
        <v>1372</v>
      </c>
      <c r="AK172" s="44" t="s">
        <v>83</v>
      </c>
      <c r="AL172" s="45">
        <v>4.4643051427305718</v>
      </c>
      <c r="AM172" s="45">
        <v>180.9999</v>
      </c>
      <c r="AN172" s="47">
        <f t="shared" si="40"/>
        <v>0.44640000000000002</v>
      </c>
      <c r="AO172" s="48">
        <f t="shared" si="41"/>
        <v>181</v>
      </c>
      <c r="AQ172" s="44" t="s">
        <v>1373</v>
      </c>
      <c r="AR172" s="44" t="s">
        <v>85</v>
      </c>
      <c r="AS172" s="45">
        <v>17.197690348799838</v>
      </c>
      <c r="AT172" s="45">
        <v>184.9999</v>
      </c>
      <c r="AU172" s="47">
        <f t="shared" si="42"/>
        <v>1.7198</v>
      </c>
      <c r="AV172" s="48">
        <f t="shared" si="43"/>
        <v>185</v>
      </c>
      <c r="AX172" s="44" t="s">
        <v>1374</v>
      </c>
      <c r="AY172" s="44" t="s">
        <v>87</v>
      </c>
      <c r="AZ172" s="45">
        <v>21.633608124022654</v>
      </c>
      <c r="BA172" s="45">
        <v>190.9999</v>
      </c>
      <c r="BB172" s="47">
        <f t="shared" si="36"/>
        <v>2.1634000000000002</v>
      </c>
      <c r="BC172" s="48">
        <f t="shared" si="37"/>
        <v>191</v>
      </c>
    </row>
    <row r="173" spans="36:62" x14ac:dyDescent="0.2">
      <c r="AJ173" s="44" t="s">
        <v>1375</v>
      </c>
      <c r="AK173" s="44" t="s">
        <v>83</v>
      </c>
      <c r="AL173" s="45">
        <v>3.9280732586726024</v>
      </c>
      <c r="AM173" s="45">
        <v>181.9999</v>
      </c>
      <c r="AN173" s="47">
        <f t="shared" si="40"/>
        <v>0.39279999999999998</v>
      </c>
      <c r="AO173" s="48">
        <f t="shared" si="41"/>
        <v>182</v>
      </c>
      <c r="AQ173" s="44" t="s">
        <v>1376</v>
      </c>
      <c r="AR173" s="44" t="s">
        <v>85</v>
      </c>
      <c r="AS173" s="45">
        <v>16.433267271876772</v>
      </c>
      <c r="AT173" s="45">
        <v>185.9999</v>
      </c>
      <c r="AU173" s="47">
        <f t="shared" si="42"/>
        <v>1.6433</v>
      </c>
      <c r="AV173" s="48">
        <f t="shared" si="43"/>
        <v>186</v>
      </c>
      <c r="AX173" s="44" t="s">
        <v>1377</v>
      </c>
      <c r="AY173" s="44" t="s">
        <v>87</v>
      </c>
      <c r="AZ173" s="45">
        <v>21.004953153262431</v>
      </c>
      <c r="BA173" s="45">
        <v>191.9999</v>
      </c>
      <c r="BB173" s="47">
        <f t="shared" si="36"/>
        <v>2.1004999999999998</v>
      </c>
      <c r="BC173" s="48">
        <f t="shared" si="37"/>
        <v>192</v>
      </c>
    </row>
    <row r="174" spans="36:62" x14ac:dyDescent="0.2">
      <c r="AJ174" s="44" t="s">
        <v>1378</v>
      </c>
      <c r="AK174" s="44" t="s">
        <v>83</v>
      </c>
      <c r="AL174" s="45">
        <v>3.3623737571241534</v>
      </c>
      <c r="AM174" s="45">
        <v>182.9999</v>
      </c>
      <c r="AN174" s="47">
        <f t="shared" si="40"/>
        <v>0.3362</v>
      </c>
      <c r="AO174" s="48">
        <f t="shared" si="41"/>
        <v>183</v>
      </c>
      <c r="AQ174" s="44" t="s">
        <v>1379</v>
      </c>
      <c r="AR174" s="44" t="s">
        <v>85</v>
      </c>
      <c r="AS174" s="45">
        <v>15.668844194953689</v>
      </c>
      <c r="AT174" s="45">
        <v>186.9999</v>
      </c>
      <c r="AU174" s="47">
        <f t="shared" si="42"/>
        <v>1.5669</v>
      </c>
      <c r="AV174" s="48">
        <f t="shared" si="43"/>
        <v>187</v>
      </c>
      <c r="AX174" s="44" t="s">
        <v>1380</v>
      </c>
      <c r="AY174" s="44" t="s">
        <v>87</v>
      </c>
      <c r="AZ174" s="45">
        <v>20.376298182502186</v>
      </c>
      <c r="BA174" s="45">
        <v>192.9999</v>
      </c>
      <c r="BB174" s="47">
        <f t="shared" si="36"/>
        <v>2.0375999999999999</v>
      </c>
      <c r="BC174" s="48">
        <f t="shared" si="37"/>
        <v>193</v>
      </c>
    </row>
    <row r="175" spans="36:62" x14ac:dyDescent="0.2">
      <c r="AJ175" s="44" t="s">
        <v>1381</v>
      </c>
      <c r="AK175" s="44" t="s">
        <v>83</v>
      </c>
      <c r="AL175" s="45">
        <v>2.796336021275097</v>
      </c>
      <c r="AM175" s="45">
        <v>183.9999</v>
      </c>
      <c r="AN175" s="47">
        <f t="shared" si="40"/>
        <v>0.27960000000000002</v>
      </c>
      <c r="AO175" s="48">
        <f t="shared" si="41"/>
        <v>184</v>
      </c>
      <c r="AQ175" s="44" t="s">
        <v>1382</v>
      </c>
      <c r="AR175" s="44" t="s">
        <v>85</v>
      </c>
      <c r="AS175" s="45">
        <v>14.904421118030625</v>
      </c>
      <c r="AT175" s="45">
        <v>187.9999</v>
      </c>
      <c r="AU175" s="47">
        <f t="shared" si="42"/>
        <v>1.4903999999999999</v>
      </c>
      <c r="AV175" s="48">
        <f t="shared" si="43"/>
        <v>188</v>
      </c>
      <c r="AX175" s="44" t="s">
        <v>1383</v>
      </c>
      <c r="AY175" s="44" t="s">
        <v>87</v>
      </c>
      <c r="AZ175" s="45">
        <v>19.747643211741959</v>
      </c>
      <c r="BA175" s="45">
        <v>193.9999</v>
      </c>
      <c r="BB175" s="47">
        <f t="shared" si="36"/>
        <v>1.9748000000000001</v>
      </c>
      <c r="BC175" s="48">
        <f t="shared" si="37"/>
        <v>194</v>
      </c>
    </row>
    <row r="176" spans="36:62" x14ac:dyDescent="0.2">
      <c r="AJ176" s="44" t="s">
        <v>1384</v>
      </c>
      <c r="AK176" s="44" t="s">
        <v>83</v>
      </c>
      <c r="AL176" s="45">
        <v>2.2302982854260405</v>
      </c>
      <c r="AM176" s="45">
        <v>184.9999</v>
      </c>
      <c r="AN176" s="47">
        <f t="shared" si="40"/>
        <v>0.223</v>
      </c>
      <c r="AO176" s="48">
        <f t="shared" si="41"/>
        <v>185</v>
      </c>
      <c r="AQ176" s="44" t="s">
        <v>1385</v>
      </c>
      <c r="AR176" s="44" t="s">
        <v>85</v>
      </c>
      <c r="AS176" s="45">
        <v>14.151948539476106</v>
      </c>
      <c r="AT176" s="45">
        <v>188.9999</v>
      </c>
      <c r="AU176" s="47">
        <f t="shared" si="42"/>
        <v>1.4152</v>
      </c>
      <c r="AV176" s="48">
        <f t="shared" si="43"/>
        <v>189</v>
      </c>
      <c r="AX176" s="44" t="s">
        <v>1386</v>
      </c>
      <c r="AY176" s="44" t="s">
        <v>87</v>
      </c>
      <c r="AZ176" s="45">
        <v>19.118988240981736</v>
      </c>
      <c r="BA176" s="45">
        <v>194.9999</v>
      </c>
      <c r="BB176" s="47">
        <f t="shared" si="36"/>
        <v>1.9118999999999999</v>
      </c>
      <c r="BC176" s="48">
        <f t="shared" si="37"/>
        <v>195</v>
      </c>
    </row>
    <row r="177" spans="36:55" x14ac:dyDescent="0.2">
      <c r="AJ177" s="44" t="s">
        <v>1387</v>
      </c>
      <c r="AK177" s="44" t="s">
        <v>83</v>
      </c>
      <c r="AL177" s="45">
        <v>1.6642605495769842</v>
      </c>
      <c r="AM177" s="45">
        <v>185.9999</v>
      </c>
      <c r="AN177" s="47">
        <f t="shared" si="40"/>
        <v>0.16639999999999999</v>
      </c>
      <c r="AO177" s="48">
        <f t="shared" si="41"/>
        <v>186</v>
      </c>
      <c r="AQ177" s="44" t="s">
        <v>1388</v>
      </c>
      <c r="AR177" s="44" t="s">
        <v>85</v>
      </c>
      <c r="AS177" s="45">
        <v>13.483273840680933</v>
      </c>
      <c r="AT177" s="45">
        <v>189.9999</v>
      </c>
      <c r="AU177" s="47">
        <f t="shared" si="42"/>
        <v>1.3483000000000001</v>
      </c>
      <c r="AV177" s="48">
        <f t="shared" si="43"/>
        <v>190</v>
      </c>
      <c r="AX177" s="44" t="s">
        <v>1389</v>
      </c>
      <c r="AY177" s="44" t="s">
        <v>87</v>
      </c>
      <c r="AZ177" s="45">
        <v>18.490333270221488</v>
      </c>
      <c r="BA177" s="45">
        <v>195.9999</v>
      </c>
      <c r="BB177" s="47">
        <f t="shared" si="36"/>
        <v>1.849</v>
      </c>
      <c r="BC177" s="48">
        <f t="shared" si="37"/>
        <v>196</v>
      </c>
    </row>
    <row r="178" spans="36:55" x14ac:dyDescent="0.2">
      <c r="AJ178" s="44" t="s">
        <v>1390</v>
      </c>
      <c r="AK178" s="44" t="s">
        <v>83</v>
      </c>
      <c r="AL178" s="45">
        <v>1.0982228137279277</v>
      </c>
      <c r="AM178" s="45">
        <v>186.9999</v>
      </c>
      <c r="AN178" s="47">
        <f t="shared" si="40"/>
        <v>0.10979999999999999</v>
      </c>
      <c r="AO178" s="48">
        <f t="shared" si="41"/>
        <v>187</v>
      </c>
      <c r="AQ178" s="44" t="s">
        <v>1391</v>
      </c>
      <c r="AR178" s="44" t="s">
        <v>85</v>
      </c>
      <c r="AS178" s="45">
        <v>12.81459914188574</v>
      </c>
      <c r="AT178" s="45">
        <v>190.9999</v>
      </c>
      <c r="AU178" s="47">
        <f t="shared" si="42"/>
        <v>1.2815000000000001</v>
      </c>
      <c r="AV178" s="48">
        <f t="shared" si="43"/>
        <v>191</v>
      </c>
      <c r="AX178" s="44" t="s">
        <v>1392</v>
      </c>
      <c r="AY178" s="44" t="s">
        <v>87</v>
      </c>
      <c r="AZ178" s="45">
        <v>17.861678299461264</v>
      </c>
      <c r="BA178" s="45">
        <v>196.9999</v>
      </c>
      <c r="BB178" s="47">
        <f t="shared" si="36"/>
        <v>1.7862</v>
      </c>
      <c r="BC178" s="48">
        <f t="shared" si="37"/>
        <v>197</v>
      </c>
    </row>
    <row r="179" spans="36:55" x14ac:dyDescent="0.2">
      <c r="AJ179" s="44" t="s">
        <v>1393</v>
      </c>
      <c r="AK179" s="44" t="s">
        <v>83</v>
      </c>
      <c r="AL179" s="45">
        <v>0.53218507787887126</v>
      </c>
      <c r="AM179" s="45">
        <v>187.9999</v>
      </c>
      <c r="AN179" s="47">
        <f t="shared" si="40"/>
        <v>5.3199999999999997E-2</v>
      </c>
      <c r="AO179" s="48">
        <f t="shared" si="41"/>
        <v>188</v>
      </c>
      <c r="AQ179" s="44" t="s">
        <v>1394</v>
      </c>
      <c r="AR179" s="44" t="s">
        <v>85</v>
      </c>
      <c r="AS179" s="45">
        <v>12.145924443090566</v>
      </c>
      <c r="AT179" s="45">
        <v>191.9999</v>
      </c>
      <c r="AU179" s="47">
        <f t="shared" si="42"/>
        <v>1.2145999999999999</v>
      </c>
      <c r="AV179" s="48">
        <f t="shared" si="43"/>
        <v>192</v>
      </c>
      <c r="AX179" s="44" t="s">
        <v>1395</v>
      </c>
      <c r="AY179" s="44" t="s">
        <v>87</v>
      </c>
      <c r="AZ179" s="45">
        <v>16.604368357940793</v>
      </c>
      <c r="BA179" s="45">
        <v>198.9999</v>
      </c>
      <c r="BB179" s="47">
        <f t="shared" si="36"/>
        <v>1.6604000000000001</v>
      </c>
      <c r="BC179" s="48">
        <f t="shared" si="37"/>
        <v>199</v>
      </c>
    </row>
    <row r="180" spans="36:55" x14ac:dyDescent="0.2">
      <c r="AJ180" s="44" t="s">
        <v>1396</v>
      </c>
      <c r="AK180" s="44" t="s">
        <v>83</v>
      </c>
      <c r="AL180" s="45">
        <v>-1E-4</v>
      </c>
      <c r="AM180" s="45">
        <v>188.94027030425264</v>
      </c>
      <c r="AN180" s="47">
        <f t="shared" si="40"/>
        <v>0</v>
      </c>
      <c r="AO180" s="48">
        <f t="shared" si="41"/>
        <v>188.9</v>
      </c>
      <c r="AQ180" s="44" t="s">
        <v>1397</v>
      </c>
      <c r="AR180" s="44" t="s">
        <v>85</v>
      </c>
      <c r="AS180" s="45">
        <v>11.477249744295374</v>
      </c>
      <c r="AT180" s="45">
        <v>192.9999</v>
      </c>
      <c r="AU180" s="47">
        <f t="shared" si="42"/>
        <v>1.1476999999999999</v>
      </c>
      <c r="AV180" s="48">
        <f t="shared" si="43"/>
        <v>193</v>
      </c>
      <c r="AX180" s="44" t="s">
        <v>1398</v>
      </c>
      <c r="AY180" s="44" t="s">
        <v>87</v>
      </c>
      <c r="AZ180" s="45">
        <v>15.975723285198914</v>
      </c>
      <c r="BA180" s="45">
        <v>199.9999</v>
      </c>
      <c r="BB180" s="47">
        <f t="shared" si="36"/>
        <v>1.5975999999999999</v>
      </c>
      <c r="BC180" s="48">
        <f t="shared" si="37"/>
        <v>200</v>
      </c>
    </row>
    <row r="181" spans="36:55" x14ac:dyDescent="0.2">
      <c r="AQ181" s="44" t="s">
        <v>1399</v>
      </c>
      <c r="AR181" s="44" t="s">
        <v>85</v>
      </c>
      <c r="AS181" s="45">
        <v>10.8085750455002</v>
      </c>
      <c r="AT181" s="45">
        <v>193.9999</v>
      </c>
      <c r="AU181" s="47">
        <f t="shared" si="42"/>
        <v>1.0809</v>
      </c>
      <c r="AV181" s="48">
        <f t="shared" si="43"/>
        <v>194</v>
      </c>
      <c r="AX181" s="44" t="s">
        <v>1400</v>
      </c>
      <c r="AY181" s="44" t="s">
        <v>87</v>
      </c>
      <c r="AZ181" s="45">
        <v>15.37211968159532</v>
      </c>
      <c r="BA181" s="45">
        <v>200.9999</v>
      </c>
      <c r="BB181" s="47">
        <f t="shared" si="36"/>
        <v>1.5371999999999999</v>
      </c>
      <c r="BC181" s="48">
        <f t="shared" si="37"/>
        <v>201</v>
      </c>
    </row>
    <row r="182" spans="36:55" x14ac:dyDescent="0.2">
      <c r="AQ182" s="44" t="s">
        <v>1401</v>
      </c>
      <c r="AR182" s="44" t="s">
        <v>85</v>
      </c>
      <c r="AS182" s="45">
        <v>10.143404432495636</v>
      </c>
      <c r="AT182" s="45">
        <v>194.9999</v>
      </c>
      <c r="AU182" s="47">
        <f t="shared" si="42"/>
        <v>1.0143</v>
      </c>
      <c r="AV182" s="48">
        <f t="shared" si="43"/>
        <v>195</v>
      </c>
      <c r="AX182" s="44" t="s">
        <v>1402</v>
      </c>
      <c r="AY182" s="44" t="s">
        <v>87</v>
      </c>
      <c r="AZ182" s="45">
        <v>14.768516077991707</v>
      </c>
      <c r="BA182" s="45">
        <v>201.9999</v>
      </c>
      <c r="BB182" s="47">
        <f t="shared" si="36"/>
        <v>1.4769000000000001</v>
      </c>
      <c r="BC182" s="48">
        <f t="shared" si="37"/>
        <v>202</v>
      </c>
    </row>
    <row r="183" spans="36:55" x14ac:dyDescent="0.2">
      <c r="AQ183" s="44" t="s">
        <v>1403</v>
      </c>
      <c r="AR183" s="44" t="s">
        <v>85</v>
      </c>
      <c r="AS183" s="45">
        <v>9.4786645481025893</v>
      </c>
      <c r="AT183" s="45">
        <v>195.9999</v>
      </c>
      <c r="AU183" s="47">
        <f t="shared" si="42"/>
        <v>0.94789999999999996</v>
      </c>
      <c r="AV183" s="48">
        <f t="shared" si="43"/>
        <v>196</v>
      </c>
      <c r="AX183" s="44" t="s">
        <v>1404</v>
      </c>
      <c r="AY183" s="44" t="s">
        <v>87</v>
      </c>
      <c r="AZ183" s="45">
        <v>14.164912474388114</v>
      </c>
      <c r="BA183" s="45">
        <v>202.9999</v>
      </c>
      <c r="BB183" s="47">
        <f t="shared" si="36"/>
        <v>1.4165000000000001</v>
      </c>
      <c r="BC183" s="48">
        <f t="shared" si="37"/>
        <v>203</v>
      </c>
    </row>
    <row r="184" spans="36:55" x14ac:dyDescent="0.2">
      <c r="AQ184" s="44" t="s">
        <v>1405</v>
      </c>
      <c r="AR184" s="44" t="s">
        <v>85</v>
      </c>
      <c r="AS184" s="45">
        <v>8.813924663709523</v>
      </c>
      <c r="AT184" s="45">
        <v>196.9999</v>
      </c>
      <c r="AU184" s="47">
        <f t="shared" si="42"/>
        <v>0.88139999999999996</v>
      </c>
      <c r="AV184" s="48">
        <f t="shared" si="43"/>
        <v>197</v>
      </c>
      <c r="AX184" s="44" t="s">
        <v>1406</v>
      </c>
      <c r="AY184" s="44" t="s">
        <v>87</v>
      </c>
      <c r="AZ184" s="45">
        <v>13.561308870784501</v>
      </c>
      <c r="BA184" s="45">
        <v>203.9999</v>
      </c>
      <c r="BB184" s="47">
        <f t="shared" si="36"/>
        <v>1.3561000000000001</v>
      </c>
      <c r="BC184" s="48">
        <f t="shared" si="37"/>
        <v>204</v>
      </c>
    </row>
    <row r="185" spans="36:55" x14ac:dyDescent="0.2">
      <c r="AQ185" s="44" t="s">
        <v>1407</v>
      </c>
      <c r="AR185" s="44" t="s">
        <v>85</v>
      </c>
      <c r="AS185" s="45">
        <v>8.1491847793164567</v>
      </c>
      <c r="AT185" s="45">
        <v>197.9999</v>
      </c>
      <c r="AU185" s="47">
        <f t="shared" si="42"/>
        <v>0.81489999999999996</v>
      </c>
      <c r="AV185" s="48">
        <f t="shared" si="43"/>
        <v>198</v>
      </c>
      <c r="AX185" s="44" t="s">
        <v>1408</v>
      </c>
      <c r="AY185" s="44" t="s">
        <v>87</v>
      </c>
      <c r="AZ185" s="45">
        <v>12.957705267180909</v>
      </c>
      <c r="BA185" s="45">
        <v>204.9999</v>
      </c>
      <c r="BB185" s="47">
        <f t="shared" si="36"/>
        <v>1.2958000000000001</v>
      </c>
      <c r="BC185" s="48">
        <f t="shared" si="37"/>
        <v>205</v>
      </c>
    </row>
    <row r="186" spans="36:55" x14ac:dyDescent="0.2">
      <c r="AQ186" s="44" t="s">
        <v>1409</v>
      </c>
      <c r="AR186" s="44" t="s">
        <v>85</v>
      </c>
      <c r="AS186" s="45">
        <v>7.4844448949233904</v>
      </c>
      <c r="AT186" s="45">
        <v>198.9999</v>
      </c>
      <c r="AU186" s="47">
        <f t="shared" si="42"/>
        <v>0.74839999999999995</v>
      </c>
      <c r="AV186" s="48">
        <f t="shared" si="43"/>
        <v>199</v>
      </c>
      <c r="AX186" s="44" t="s">
        <v>1410</v>
      </c>
      <c r="AY186" s="44" t="s">
        <v>87</v>
      </c>
      <c r="AZ186" s="45">
        <v>12.354101663577296</v>
      </c>
      <c r="BA186" s="45">
        <v>205.9999</v>
      </c>
      <c r="BB186" s="47">
        <f t="shared" si="36"/>
        <v>1.2354000000000001</v>
      </c>
      <c r="BC186" s="48">
        <f t="shared" si="37"/>
        <v>206</v>
      </c>
    </row>
    <row r="187" spans="36:55" x14ac:dyDescent="0.2">
      <c r="AQ187" s="44" t="s">
        <v>1411</v>
      </c>
      <c r="AR187" s="44" t="s">
        <v>85</v>
      </c>
      <c r="AS187" s="45">
        <v>6.815828636064948</v>
      </c>
      <c r="AT187" s="45">
        <v>199.9999</v>
      </c>
      <c r="AU187" s="47">
        <f t="shared" si="42"/>
        <v>0.68159999999999998</v>
      </c>
      <c r="AV187" s="48">
        <f t="shared" si="43"/>
        <v>200</v>
      </c>
      <c r="AX187" s="44" t="s">
        <v>1412</v>
      </c>
      <c r="AY187" s="44" t="s">
        <v>87</v>
      </c>
      <c r="AZ187" s="45">
        <v>11.750498059973703</v>
      </c>
      <c r="BA187" s="45">
        <v>206.9999</v>
      </c>
      <c r="BB187" s="47">
        <f t="shared" si="36"/>
        <v>1.175</v>
      </c>
      <c r="BC187" s="48">
        <f t="shared" si="37"/>
        <v>207</v>
      </c>
    </row>
    <row r="188" spans="36:55" x14ac:dyDescent="0.2">
      <c r="AQ188" s="44" t="s">
        <v>1413</v>
      </c>
      <c r="AR188" s="44" t="s">
        <v>85</v>
      </c>
      <c r="AS188" s="45">
        <v>6.1421884687009367</v>
      </c>
      <c r="AT188" s="45">
        <v>200.9999</v>
      </c>
      <c r="AU188" s="47">
        <f t="shared" si="42"/>
        <v>0.61419999999999997</v>
      </c>
      <c r="AV188" s="48">
        <f t="shared" si="43"/>
        <v>201</v>
      </c>
      <c r="AX188" s="44" t="s">
        <v>1414</v>
      </c>
      <c r="AY188" s="44" t="s">
        <v>87</v>
      </c>
      <c r="AZ188" s="45">
        <v>11.14689445637009</v>
      </c>
      <c r="BA188" s="45">
        <v>207.9999</v>
      </c>
      <c r="BB188" s="47">
        <f t="shared" si="36"/>
        <v>1.1147</v>
      </c>
      <c r="BC188" s="48">
        <f t="shared" si="37"/>
        <v>208</v>
      </c>
    </row>
    <row r="189" spans="36:55" x14ac:dyDescent="0.2">
      <c r="AQ189" s="44" t="s">
        <v>1415</v>
      </c>
      <c r="AR189" s="44" t="s">
        <v>85</v>
      </c>
      <c r="AS189" s="45">
        <v>5.4685483013369049</v>
      </c>
      <c r="AT189" s="45">
        <v>201.9999</v>
      </c>
      <c r="AU189" s="47">
        <f t="shared" si="42"/>
        <v>0.54690000000000005</v>
      </c>
      <c r="AV189" s="48">
        <f t="shared" si="43"/>
        <v>202</v>
      </c>
      <c r="AX189" s="44" t="s">
        <v>1416</v>
      </c>
      <c r="AY189" s="44" t="s">
        <v>87</v>
      </c>
      <c r="AZ189" s="45">
        <v>10.543016317808949</v>
      </c>
      <c r="BA189" s="45">
        <v>208.9999</v>
      </c>
      <c r="BB189" s="47">
        <f t="shared" si="36"/>
        <v>1.0543</v>
      </c>
      <c r="BC189" s="48">
        <f t="shared" si="37"/>
        <v>209</v>
      </c>
    </row>
    <row r="190" spans="36:55" x14ac:dyDescent="0.2">
      <c r="AQ190" s="44" t="s">
        <v>1417</v>
      </c>
      <c r="AR190" s="44" t="s">
        <v>85</v>
      </c>
      <c r="AS190" s="45">
        <v>4.7949081339728936</v>
      </c>
      <c r="AT190" s="45">
        <v>202.9999</v>
      </c>
      <c r="AU190" s="47">
        <f t="shared" si="42"/>
        <v>0.47949999999999998</v>
      </c>
      <c r="AV190" s="48">
        <f t="shared" si="43"/>
        <v>203</v>
      </c>
      <c r="AX190" s="44" t="s">
        <v>1418</v>
      </c>
      <c r="AY190" s="44" t="s">
        <v>87</v>
      </c>
      <c r="AZ190" s="45">
        <v>9.9389554041033694</v>
      </c>
      <c r="BA190" s="45">
        <v>209.9999</v>
      </c>
      <c r="BB190" s="47">
        <f t="shared" si="36"/>
        <v>0.99390000000000001</v>
      </c>
      <c r="BC190" s="48">
        <f t="shared" si="37"/>
        <v>210</v>
      </c>
    </row>
    <row r="191" spans="36:55" x14ac:dyDescent="0.2">
      <c r="AQ191" s="44" t="s">
        <v>1419</v>
      </c>
      <c r="AR191" s="44" t="s">
        <v>85</v>
      </c>
      <c r="AS191" s="45">
        <v>4.1212679666088823</v>
      </c>
      <c r="AT191" s="45">
        <v>203.9999</v>
      </c>
      <c r="AU191" s="47">
        <f t="shared" si="42"/>
        <v>0.41210000000000002</v>
      </c>
      <c r="AV191" s="48">
        <f t="shared" si="43"/>
        <v>204</v>
      </c>
      <c r="AX191" s="44" t="s">
        <v>1420</v>
      </c>
      <c r="AY191" s="44" t="s">
        <v>87</v>
      </c>
      <c r="AZ191" s="45">
        <v>9.3348944903977902</v>
      </c>
      <c r="BA191" s="45">
        <v>210.9999</v>
      </c>
      <c r="BB191" s="47">
        <f t="shared" si="36"/>
        <v>0.9335</v>
      </c>
      <c r="BC191" s="48">
        <f t="shared" si="37"/>
        <v>211</v>
      </c>
    </row>
    <row r="192" spans="36:55" x14ac:dyDescent="0.2">
      <c r="AQ192" s="44" t="s">
        <v>1421</v>
      </c>
      <c r="AR192" s="44" t="s">
        <v>85</v>
      </c>
      <c r="AS192" s="45">
        <v>3.4476277992448505</v>
      </c>
      <c r="AT192" s="45">
        <v>204.9999</v>
      </c>
      <c r="AU192" s="47">
        <f t="shared" si="42"/>
        <v>0.3448</v>
      </c>
      <c r="AV192" s="48">
        <f t="shared" si="43"/>
        <v>205</v>
      </c>
      <c r="AX192" s="44" t="s">
        <v>1422</v>
      </c>
      <c r="AY192" s="44" t="s">
        <v>87</v>
      </c>
      <c r="AZ192" s="45">
        <v>8.7308335766921914</v>
      </c>
      <c r="BA192" s="45">
        <v>211.9999</v>
      </c>
      <c r="BB192" s="47">
        <f t="shared" si="36"/>
        <v>0.87309999999999999</v>
      </c>
      <c r="BC192" s="48">
        <f t="shared" si="37"/>
        <v>212</v>
      </c>
    </row>
    <row r="193" spans="43:55" x14ac:dyDescent="0.2">
      <c r="AQ193" s="44" t="s">
        <v>1423</v>
      </c>
      <c r="AR193" s="44" t="s">
        <v>85</v>
      </c>
      <c r="AS193" s="45">
        <v>2.7739876318808392</v>
      </c>
      <c r="AT193" s="45">
        <v>205.9999</v>
      </c>
      <c r="AU193" s="47">
        <f t="shared" si="42"/>
        <v>0.27739999999999998</v>
      </c>
      <c r="AV193" s="48">
        <f t="shared" si="43"/>
        <v>206</v>
      </c>
      <c r="AX193" s="44" t="s">
        <v>1424</v>
      </c>
      <c r="AY193" s="44" t="s">
        <v>87</v>
      </c>
      <c r="AZ193" s="45">
        <v>8.1267726629866104</v>
      </c>
      <c r="BA193" s="45">
        <v>212.9999</v>
      </c>
      <c r="BB193" s="47">
        <f t="shared" si="36"/>
        <v>0.81269999999999998</v>
      </c>
      <c r="BC193" s="48">
        <f t="shared" si="37"/>
        <v>213</v>
      </c>
    </row>
    <row r="194" spans="43:55" x14ac:dyDescent="0.2">
      <c r="AQ194" s="44" t="s">
        <v>1425</v>
      </c>
      <c r="AR194" s="44" t="s">
        <v>85</v>
      </c>
      <c r="AS194" s="45">
        <v>2.1003474645168279</v>
      </c>
      <c r="AT194" s="45">
        <v>206.9999</v>
      </c>
      <c r="AU194" s="47">
        <f t="shared" si="42"/>
        <v>0.21</v>
      </c>
      <c r="AV194" s="48">
        <f t="shared" si="43"/>
        <v>207</v>
      </c>
      <c r="AX194" s="44" t="s">
        <v>1426</v>
      </c>
      <c r="AY194" s="44" t="s">
        <v>87</v>
      </c>
      <c r="AZ194" s="45">
        <v>7.5227117492810311</v>
      </c>
      <c r="BA194" s="45">
        <v>213.9999</v>
      </c>
      <c r="BB194" s="47">
        <f t="shared" ref="BB194:BB208" si="46">ROUND(AZ194/10,4)</f>
        <v>0.75229999999999997</v>
      </c>
      <c r="BC194" s="48">
        <f t="shared" ref="BC194:BC208" si="47">ROUND(BA194,1)</f>
        <v>214</v>
      </c>
    </row>
    <row r="195" spans="43:55" x14ac:dyDescent="0.2">
      <c r="AQ195" s="44" t="s">
        <v>1427</v>
      </c>
      <c r="AR195" s="44" t="s">
        <v>85</v>
      </c>
      <c r="AS195" s="45">
        <v>1.4171999416773657</v>
      </c>
      <c r="AT195" s="45">
        <v>207.9999</v>
      </c>
      <c r="AU195" s="47">
        <f>ROUND(AS195/10,4)</f>
        <v>0.14169999999999999</v>
      </c>
      <c r="AV195" s="48">
        <f>ROUND(AT195,1)</f>
        <v>208</v>
      </c>
      <c r="AX195" s="44" t="s">
        <v>1428</v>
      </c>
      <c r="AY195" s="44" t="s">
        <v>87</v>
      </c>
      <c r="AZ195" s="45">
        <v>6.9186508355754519</v>
      </c>
      <c r="BA195" s="45">
        <v>214.9999</v>
      </c>
      <c r="BB195" s="47">
        <f t="shared" si="46"/>
        <v>0.69189999999999996</v>
      </c>
      <c r="BC195" s="48">
        <f t="shared" si="47"/>
        <v>215</v>
      </c>
    </row>
    <row r="196" spans="43:55" x14ac:dyDescent="0.2">
      <c r="AQ196" s="44" t="s">
        <v>1429</v>
      </c>
      <c r="AR196" s="44" t="s">
        <v>85</v>
      </c>
      <c r="AS196" s="45">
        <v>0.7329894153615808</v>
      </c>
      <c r="AT196" s="45">
        <v>208.9999</v>
      </c>
      <c r="AU196" s="47">
        <f>ROUND(AS196/10,4)</f>
        <v>7.3300000000000004E-2</v>
      </c>
      <c r="AV196" s="48">
        <f>ROUND(AT196,1)</f>
        <v>209</v>
      </c>
      <c r="AX196" s="44" t="s">
        <v>1430</v>
      </c>
      <c r="AY196" s="44" t="s">
        <v>87</v>
      </c>
      <c r="AZ196" s="45">
        <v>6.3225750369571019</v>
      </c>
      <c r="BA196" s="45">
        <v>215.9999</v>
      </c>
      <c r="BB196" s="47">
        <f t="shared" si="46"/>
        <v>0.63229999999999997</v>
      </c>
      <c r="BC196" s="48">
        <f t="shared" si="47"/>
        <v>216</v>
      </c>
    </row>
    <row r="197" spans="43:55" x14ac:dyDescent="0.2">
      <c r="AQ197" s="44" t="s">
        <v>1431</v>
      </c>
      <c r="AR197" s="44" t="s">
        <v>85</v>
      </c>
      <c r="AS197" s="45">
        <v>4.8778889045795845E-2</v>
      </c>
      <c r="AT197" s="45">
        <v>209.9999</v>
      </c>
      <c r="AU197" s="47">
        <f>ROUND(AS197/10,4)</f>
        <v>4.8999999999999998E-3</v>
      </c>
      <c r="AV197" s="48">
        <f>ROUND(AT197,1)</f>
        <v>210</v>
      </c>
      <c r="AX197" s="44" t="s">
        <v>1432</v>
      </c>
      <c r="AY197" s="44" t="s">
        <v>87</v>
      </c>
      <c r="AZ197" s="45">
        <v>5.7731281943619166</v>
      </c>
      <c r="BA197" s="45">
        <v>216.9999</v>
      </c>
      <c r="BB197" s="47">
        <f t="shared" si="46"/>
        <v>0.57730000000000004</v>
      </c>
      <c r="BC197" s="48">
        <f t="shared" si="47"/>
        <v>217</v>
      </c>
    </row>
    <row r="198" spans="43:55" x14ac:dyDescent="0.2">
      <c r="AQ198" s="44" t="s">
        <v>1433</v>
      </c>
      <c r="AR198" s="44" t="s">
        <v>85</v>
      </c>
      <c r="AS198" s="45">
        <v>-1E-4</v>
      </c>
      <c r="AT198" s="45">
        <v>210.07133837629769</v>
      </c>
      <c r="AU198" s="47">
        <f>ROUND(AS198/10,4)</f>
        <v>0</v>
      </c>
      <c r="AV198" s="48">
        <f>ROUND(AT198,1)</f>
        <v>210.1</v>
      </c>
      <c r="AX198" s="44" t="s">
        <v>1434</v>
      </c>
      <c r="AY198" s="44" t="s">
        <v>87</v>
      </c>
      <c r="AZ198" s="45">
        <v>5.2236813517667517</v>
      </c>
      <c r="BA198" s="45">
        <v>217.9999</v>
      </c>
      <c r="BB198" s="47">
        <f t="shared" si="46"/>
        <v>0.52239999999999998</v>
      </c>
      <c r="BC198" s="48">
        <f t="shared" si="47"/>
        <v>218</v>
      </c>
    </row>
    <row r="199" spans="43:55" x14ac:dyDescent="0.2">
      <c r="AX199" s="44" t="s">
        <v>1435</v>
      </c>
      <c r="AY199" s="44" t="s">
        <v>87</v>
      </c>
      <c r="AZ199" s="45">
        <v>4.6742345091715674</v>
      </c>
      <c r="BA199" s="45">
        <v>218.9999</v>
      </c>
      <c r="BB199" s="47">
        <f t="shared" si="46"/>
        <v>0.46739999999999998</v>
      </c>
      <c r="BC199" s="48">
        <f t="shared" si="47"/>
        <v>219</v>
      </c>
    </row>
    <row r="200" spans="43:55" x14ac:dyDescent="0.2">
      <c r="AX200" s="44" t="s">
        <v>1436</v>
      </c>
      <c r="AY200" s="44" t="s">
        <v>87</v>
      </c>
      <c r="AZ200" s="45">
        <v>4.1247876665764025</v>
      </c>
      <c r="BA200" s="45">
        <v>219.9999</v>
      </c>
      <c r="BB200" s="47">
        <f t="shared" si="46"/>
        <v>0.41249999999999998</v>
      </c>
      <c r="BC200" s="48">
        <f t="shared" si="47"/>
        <v>220</v>
      </c>
    </row>
    <row r="201" spans="43:55" x14ac:dyDescent="0.2">
      <c r="AX201" s="44" t="s">
        <v>1437</v>
      </c>
      <c r="AY201" s="44" t="s">
        <v>87</v>
      </c>
      <c r="AZ201" s="45">
        <v>3.5753408239812172</v>
      </c>
      <c r="BA201" s="45">
        <v>220.9999</v>
      </c>
      <c r="BB201" s="47">
        <f t="shared" si="46"/>
        <v>0.35749999999999998</v>
      </c>
      <c r="BC201" s="48">
        <f t="shared" si="47"/>
        <v>221</v>
      </c>
    </row>
    <row r="202" spans="43:55" x14ac:dyDescent="0.2">
      <c r="AX202" s="44" t="s">
        <v>1438</v>
      </c>
      <c r="AY202" s="44" t="s">
        <v>87</v>
      </c>
      <c r="AZ202" s="45">
        <v>3.0258939813860524</v>
      </c>
      <c r="BA202" s="45">
        <v>221.9999</v>
      </c>
      <c r="BB202" s="47">
        <f t="shared" si="46"/>
        <v>0.30259999999999998</v>
      </c>
      <c r="BC202" s="48">
        <f t="shared" si="47"/>
        <v>222</v>
      </c>
    </row>
    <row r="203" spans="43:55" x14ac:dyDescent="0.2">
      <c r="AX203" s="44" t="s">
        <v>1439</v>
      </c>
      <c r="AY203" s="44" t="s">
        <v>87</v>
      </c>
      <c r="AZ203" s="45">
        <v>2.4764471387908875</v>
      </c>
      <c r="BA203" s="45">
        <v>222.9999</v>
      </c>
      <c r="BB203" s="47">
        <f t="shared" si="46"/>
        <v>0.24759999999999999</v>
      </c>
      <c r="BC203" s="48">
        <f t="shared" si="47"/>
        <v>223</v>
      </c>
    </row>
    <row r="204" spans="43:55" x14ac:dyDescent="0.2">
      <c r="AX204" s="44" t="s">
        <v>1440</v>
      </c>
      <c r="AY204" s="44" t="s">
        <v>87</v>
      </c>
      <c r="AZ204" s="45">
        <v>1.9270002961957029</v>
      </c>
      <c r="BA204" s="45">
        <v>223.9999</v>
      </c>
      <c r="BB204" s="47">
        <f t="shared" si="46"/>
        <v>0.19270000000000001</v>
      </c>
      <c r="BC204" s="48">
        <f t="shared" si="47"/>
        <v>224</v>
      </c>
    </row>
    <row r="205" spans="43:55" x14ac:dyDescent="0.2">
      <c r="AX205" s="44" t="s">
        <v>1441</v>
      </c>
      <c r="AY205" s="44" t="s">
        <v>87</v>
      </c>
      <c r="AZ205" s="45">
        <v>1.377553453600538</v>
      </c>
      <c r="BA205" s="45">
        <v>224.9999</v>
      </c>
      <c r="BB205" s="47">
        <f t="shared" si="46"/>
        <v>0.13780000000000001</v>
      </c>
      <c r="BC205" s="48">
        <f t="shared" si="47"/>
        <v>225</v>
      </c>
    </row>
    <row r="206" spans="43:55" x14ac:dyDescent="0.2">
      <c r="AX206" s="44" t="s">
        <v>1442</v>
      </c>
      <c r="AY206" s="44" t="s">
        <v>87</v>
      </c>
      <c r="AZ206" s="45">
        <v>0.82810661100535321</v>
      </c>
      <c r="BA206" s="45">
        <v>225.9999</v>
      </c>
      <c r="BB206" s="47">
        <f t="shared" si="46"/>
        <v>8.2799999999999999E-2</v>
      </c>
      <c r="BC206" s="48">
        <f t="shared" si="47"/>
        <v>226</v>
      </c>
    </row>
    <row r="207" spans="43:55" x14ac:dyDescent="0.2">
      <c r="AX207" s="44" t="s">
        <v>1443</v>
      </c>
      <c r="AY207" s="44" t="s">
        <v>87</v>
      </c>
      <c r="AZ207" s="45">
        <v>0.27865976841018836</v>
      </c>
      <c r="BA207" s="45">
        <v>226.9999</v>
      </c>
      <c r="BB207" s="47">
        <f t="shared" si="46"/>
        <v>2.7900000000000001E-2</v>
      </c>
      <c r="BC207" s="48">
        <f t="shared" si="47"/>
        <v>227</v>
      </c>
    </row>
    <row r="208" spans="43:55" x14ac:dyDescent="0.2">
      <c r="AX208" s="44" t="s">
        <v>1444</v>
      </c>
      <c r="AY208" s="44" t="s">
        <v>87</v>
      </c>
      <c r="AZ208" s="45">
        <v>-1E-4</v>
      </c>
      <c r="BA208" s="45">
        <v>227.50724620130592</v>
      </c>
      <c r="BB208" s="47">
        <f t="shared" si="46"/>
        <v>0</v>
      </c>
      <c r="BC208" s="48">
        <f t="shared" si="47"/>
        <v>227.5</v>
      </c>
    </row>
  </sheetData>
  <mergeCells count="1">
    <mergeCell ref="BL1:BU1"/>
  </mergeCells>
  <hyperlinks>
    <hyperlink ref="BN14" r:id="rId1" xr:uid="{00000000-0004-0000-0000-000000000000}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>
    <tabColor indexed="10"/>
  </sheetPr>
  <dimension ref="A1:M107"/>
  <sheetViews>
    <sheetView showGridLines="0" zoomScale="90" zoomScaleNormal="90" workbookViewId="0">
      <selection activeCell="I24" sqref="I24"/>
    </sheetView>
  </sheetViews>
  <sheetFormatPr defaultRowHeight="15.75" x14ac:dyDescent="0.25"/>
  <cols>
    <col min="1" max="1" width="84.125" bestFit="1" customWidth="1"/>
    <col min="2" max="2" width="10.5" customWidth="1"/>
    <col min="3" max="3" width="6.375" style="1" customWidth="1"/>
    <col min="4" max="5" width="9" style="1"/>
    <col min="11" max="11" width="13.25" customWidth="1"/>
  </cols>
  <sheetData>
    <row r="1" spans="1:13" x14ac:dyDescent="0.25">
      <c r="A1" s="73"/>
      <c r="B1" s="73"/>
      <c r="C1" s="73"/>
      <c r="D1" s="73"/>
      <c r="E1" s="73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73"/>
      <c r="B2" s="73"/>
      <c r="C2" s="73"/>
      <c r="D2" s="73"/>
      <c r="E2" s="73"/>
      <c r="F2" s="66"/>
      <c r="G2" s="66"/>
      <c r="H2" s="66"/>
      <c r="I2" s="66"/>
      <c r="J2" s="66"/>
      <c r="K2" s="66"/>
      <c r="L2" s="66"/>
      <c r="M2" s="66"/>
    </row>
    <row r="3" spans="1:13" x14ac:dyDescent="0.25">
      <c r="A3" s="74" t="s">
        <v>1454</v>
      </c>
      <c r="B3" s="74"/>
      <c r="C3" s="74"/>
      <c r="D3" s="74"/>
      <c r="E3" s="74"/>
      <c r="F3" s="67"/>
      <c r="G3" s="67"/>
      <c r="H3" s="67"/>
      <c r="I3" s="67"/>
      <c r="J3" s="67"/>
      <c r="K3" s="67"/>
      <c r="L3" s="67"/>
      <c r="M3" s="67"/>
    </row>
    <row r="4" spans="1:13" x14ac:dyDescent="0.25">
      <c r="A4" s="75" t="str">
        <f>CONCATENATE("(",B6," ",B7,")"," ","1 GÜNLÜK EN BÜYÜK YAĞIŞLARININ")</f>
        <v>(1968 2018) 1 GÜNLÜK EN BÜYÜK YAĞIŞLARININ</v>
      </c>
      <c r="B4" s="75"/>
      <c r="C4" s="75"/>
      <c r="D4" s="75"/>
      <c r="E4" s="75"/>
      <c r="F4" s="68"/>
      <c r="G4" s="68"/>
      <c r="H4" s="68"/>
      <c r="I4" s="68"/>
      <c r="J4" s="68"/>
      <c r="K4" s="68"/>
      <c r="L4" s="68"/>
      <c r="M4" s="68"/>
    </row>
    <row r="5" spans="1:13" x14ac:dyDescent="0.25">
      <c r="A5" s="71" t="s">
        <v>47</v>
      </c>
      <c r="B5" s="71"/>
      <c r="C5" s="71"/>
      <c r="D5" s="71"/>
      <c r="E5" s="71"/>
    </row>
    <row r="6" spans="1:13" ht="21" customHeight="1" x14ac:dyDescent="0.3">
      <c r="A6" s="2" t="s">
        <v>40</v>
      </c>
      <c r="B6" s="29">
        <v>1968</v>
      </c>
      <c r="C6" s="4" t="s">
        <v>0</v>
      </c>
      <c r="D6" s="6" t="s">
        <v>36</v>
      </c>
      <c r="E6" s="6" t="s">
        <v>2</v>
      </c>
      <c r="G6" s="72" t="s">
        <v>44</v>
      </c>
      <c r="H6" s="72"/>
      <c r="I6" s="72"/>
      <c r="J6" s="72"/>
      <c r="K6" s="72"/>
    </row>
    <row r="7" spans="1:13" ht="20.25" x14ac:dyDescent="0.3">
      <c r="A7" s="2" t="s">
        <v>41</v>
      </c>
      <c r="B7" s="29">
        <v>2018</v>
      </c>
      <c r="C7" s="5" t="s">
        <v>1</v>
      </c>
      <c r="D7" s="7"/>
      <c r="E7" s="7" t="s">
        <v>3</v>
      </c>
      <c r="G7" s="30"/>
      <c r="H7" s="30" t="s">
        <v>45</v>
      </c>
      <c r="I7" s="30"/>
      <c r="J7" s="30"/>
      <c r="K7" s="30"/>
    </row>
    <row r="8" spans="1:13" ht="18.75" x14ac:dyDescent="0.3">
      <c r="A8" s="2" t="s">
        <v>50</v>
      </c>
      <c r="B8" s="29">
        <v>10</v>
      </c>
      <c r="C8" s="3">
        <v>1</v>
      </c>
      <c r="D8" s="3">
        <f>B6</f>
        <v>1968</v>
      </c>
      <c r="E8" s="8">
        <v>69.099999999999994</v>
      </c>
      <c r="G8" s="30"/>
      <c r="H8" s="30" t="s">
        <v>46</v>
      </c>
      <c r="I8" s="30"/>
      <c r="J8" s="30"/>
      <c r="K8" s="30"/>
    </row>
    <row r="9" spans="1:13" x14ac:dyDescent="0.25">
      <c r="A9" s="2" t="s">
        <v>42</v>
      </c>
      <c r="B9" s="65" t="e">
        <f>LOOKUP(I12,'X-KM'!BM4:BU4,'X-KM'!BM3:BU3)</f>
        <v>#REF!</v>
      </c>
      <c r="C9" s="3">
        <f>IF(D9=" "," ",C8+1)</f>
        <v>2</v>
      </c>
      <c r="D9" s="3">
        <f>IF(OR(D8=$B$7,D8=" ")," ",D8+1)</f>
        <v>1969</v>
      </c>
      <c r="E9" s="8">
        <v>93.1</v>
      </c>
    </row>
    <row r="10" spans="1:13" x14ac:dyDescent="0.25">
      <c r="A10" s="70" t="str">
        <f>LOOKUP(I12,B12:B20,A12:A20)</f>
        <v>MARMARA, EGE, DOĞU KARADENİZ, AKDENİZ YAKINI DAĞ</v>
      </c>
      <c r="B10" s="70"/>
      <c r="C10" s="3">
        <f t="shared" ref="C10:C73" si="0">IF(D10=" "," ",C9+1)</f>
        <v>3</v>
      </c>
      <c r="D10" s="3">
        <f t="shared" ref="D10:D73" si="1">IF(OR(D9=$B$7,D9=" ")," ",D9+1)</f>
        <v>1970</v>
      </c>
      <c r="E10" s="8">
        <v>96.7</v>
      </c>
    </row>
    <row r="11" spans="1:13" x14ac:dyDescent="0.25">
      <c r="A11" s="70"/>
      <c r="B11" s="70"/>
      <c r="C11" s="3">
        <f t="shared" si="0"/>
        <v>4</v>
      </c>
      <c r="D11" s="3">
        <f t="shared" si="1"/>
        <v>1971</v>
      </c>
      <c r="E11" s="8">
        <v>92.8</v>
      </c>
    </row>
    <row r="12" spans="1:13" x14ac:dyDescent="0.25">
      <c r="A12" s="56" t="s">
        <v>1445</v>
      </c>
      <c r="B12" s="56">
        <v>1</v>
      </c>
      <c r="C12" s="3">
        <f t="shared" si="0"/>
        <v>5</v>
      </c>
      <c r="D12" s="3">
        <f t="shared" si="1"/>
        <v>1972</v>
      </c>
      <c r="E12" s="8">
        <v>62.5</v>
      </c>
      <c r="I12">
        <v>5</v>
      </c>
    </row>
    <row r="13" spans="1:13" x14ac:dyDescent="0.25">
      <c r="A13" s="57" t="s">
        <v>1446</v>
      </c>
      <c r="B13" s="57">
        <v>2</v>
      </c>
      <c r="C13" s="3">
        <f t="shared" si="0"/>
        <v>6</v>
      </c>
      <c r="D13" s="3">
        <f t="shared" si="1"/>
        <v>1973</v>
      </c>
      <c r="E13" s="8">
        <v>98.6</v>
      </c>
    </row>
    <row r="14" spans="1:13" x14ac:dyDescent="0.25">
      <c r="A14" s="58" t="s">
        <v>1447</v>
      </c>
      <c r="B14" s="58">
        <v>3</v>
      </c>
      <c r="C14" s="3">
        <f t="shared" si="0"/>
        <v>7</v>
      </c>
      <c r="D14" s="3">
        <f t="shared" si="1"/>
        <v>1974</v>
      </c>
      <c r="E14" s="8">
        <v>92.3</v>
      </c>
    </row>
    <row r="15" spans="1:13" x14ac:dyDescent="0.25">
      <c r="A15" s="59" t="s">
        <v>1448</v>
      </c>
      <c r="B15" s="59">
        <v>4</v>
      </c>
      <c r="C15" s="3">
        <f t="shared" si="0"/>
        <v>8</v>
      </c>
      <c r="D15" s="3">
        <f t="shared" si="1"/>
        <v>1975</v>
      </c>
      <c r="E15" s="8">
        <v>120.1</v>
      </c>
    </row>
    <row r="16" spans="1:13" x14ac:dyDescent="0.25">
      <c r="A16" s="60" t="s">
        <v>1449</v>
      </c>
      <c r="B16" s="60">
        <v>5</v>
      </c>
      <c r="C16" s="3">
        <f t="shared" si="0"/>
        <v>9</v>
      </c>
      <c r="D16" s="3">
        <f t="shared" si="1"/>
        <v>1976</v>
      </c>
      <c r="E16" s="9">
        <v>75.099999999999994</v>
      </c>
    </row>
    <row r="17" spans="1:5" x14ac:dyDescent="0.25">
      <c r="A17" s="61" t="s">
        <v>1450</v>
      </c>
      <c r="B17" s="61">
        <v>6</v>
      </c>
      <c r="C17" s="3">
        <f t="shared" si="0"/>
        <v>10</v>
      </c>
      <c r="D17" s="3">
        <f t="shared" si="1"/>
        <v>1977</v>
      </c>
      <c r="E17" s="9">
        <v>40.200000000000003</v>
      </c>
    </row>
    <row r="18" spans="1:5" x14ac:dyDescent="0.25">
      <c r="A18" s="62" t="s">
        <v>1451</v>
      </c>
      <c r="B18" s="62">
        <v>7</v>
      </c>
      <c r="C18" s="3">
        <f t="shared" si="0"/>
        <v>11</v>
      </c>
      <c r="D18" s="3">
        <f t="shared" si="1"/>
        <v>1978</v>
      </c>
      <c r="E18" s="9">
        <v>150</v>
      </c>
    </row>
    <row r="19" spans="1:5" x14ac:dyDescent="0.25">
      <c r="A19" s="63" t="s">
        <v>1452</v>
      </c>
      <c r="B19" s="63">
        <v>8</v>
      </c>
      <c r="C19" s="3">
        <f t="shared" si="0"/>
        <v>12</v>
      </c>
      <c r="D19" s="3">
        <f t="shared" si="1"/>
        <v>1979</v>
      </c>
      <c r="E19" s="9">
        <v>107</v>
      </c>
    </row>
    <row r="20" spans="1:5" x14ac:dyDescent="0.25">
      <c r="A20" s="64" t="s">
        <v>1453</v>
      </c>
      <c r="B20" s="64">
        <v>9</v>
      </c>
      <c r="C20" s="3">
        <f t="shared" si="0"/>
        <v>13</v>
      </c>
      <c r="D20" s="3">
        <f t="shared" si="1"/>
        <v>1980</v>
      </c>
      <c r="E20" s="8">
        <v>63</v>
      </c>
    </row>
    <row r="21" spans="1:5" x14ac:dyDescent="0.25">
      <c r="C21" s="3">
        <f t="shared" si="0"/>
        <v>14</v>
      </c>
      <c r="D21" s="3">
        <f t="shared" si="1"/>
        <v>1981</v>
      </c>
      <c r="E21" s="8">
        <v>110</v>
      </c>
    </row>
    <row r="22" spans="1:5" x14ac:dyDescent="0.25">
      <c r="C22" s="3">
        <f t="shared" si="0"/>
        <v>15</v>
      </c>
      <c r="D22" s="3">
        <f t="shared" si="1"/>
        <v>1982</v>
      </c>
      <c r="E22" s="9">
        <v>62.6</v>
      </c>
    </row>
    <row r="23" spans="1:5" x14ac:dyDescent="0.25">
      <c r="C23" s="3">
        <f t="shared" si="0"/>
        <v>16</v>
      </c>
      <c r="D23" s="3">
        <f t="shared" si="1"/>
        <v>1983</v>
      </c>
      <c r="E23" s="9">
        <v>49</v>
      </c>
    </row>
    <row r="24" spans="1:5" x14ac:dyDescent="0.25">
      <c r="C24" s="3">
        <f t="shared" si="0"/>
        <v>17</v>
      </c>
      <c r="D24" s="3">
        <f t="shared" si="1"/>
        <v>1984</v>
      </c>
      <c r="E24" s="9">
        <v>98.7</v>
      </c>
    </row>
    <row r="25" spans="1:5" x14ac:dyDescent="0.25">
      <c r="C25" s="3">
        <f t="shared" si="0"/>
        <v>18</v>
      </c>
      <c r="D25" s="3">
        <f t="shared" si="1"/>
        <v>1985</v>
      </c>
      <c r="E25" s="9">
        <v>46.5</v>
      </c>
    </row>
    <row r="26" spans="1:5" x14ac:dyDescent="0.25">
      <c r="C26" s="3">
        <f t="shared" si="0"/>
        <v>19</v>
      </c>
      <c r="D26" s="3">
        <f t="shared" si="1"/>
        <v>1986</v>
      </c>
      <c r="E26" s="8">
        <v>65.400000000000006</v>
      </c>
    </row>
    <row r="27" spans="1:5" x14ac:dyDescent="0.25">
      <c r="C27" s="3">
        <f t="shared" si="0"/>
        <v>20</v>
      </c>
      <c r="D27" s="3">
        <f t="shared" si="1"/>
        <v>1987</v>
      </c>
      <c r="E27" s="9">
        <v>68.599999999999994</v>
      </c>
    </row>
    <row r="28" spans="1:5" x14ac:dyDescent="0.25">
      <c r="C28" s="3">
        <f t="shared" si="0"/>
        <v>21</v>
      </c>
      <c r="D28" s="3">
        <f t="shared" si="1"/>
        <v>1988</v>
      </c>
      <c r="E28" s="9">
        <v>72.400000000000006</v>
      </c>
    </row>
    <row r="29" spans="1:5" x14ac:dyDescent="0.25">
      <c r="C29" s="3">
        <f t="shared" si="0"/>
        <v>22</v>
      </c>
      <c r="D29" s="3">
        <f t="shared" si="1"/>
        <v>1989</v>
      </c>
      <c r="E29" s="8">
        <v>54.5</v>
      </c>
    </row>
    <row r="30" spans="1:5" x14ac:dyDescent="0.25">
      <c r="C30" s="3">
        <f t="shared" si="0"/>
        <v>23</v>
      </c>
      <c r="D30" s="3">
        <f t="shared" si="1"/>
        <v>1990</v>
      </c>
      <c r="E30" s="9">
        <v>77.400000000000006</v>
      </c>
    </row>
    <row r="31" spans="1:5" x14ac:dyDescent="0.25">
      <c r="C31" s="3">
        <f t="shared" si="0"/>
        <v>24</v>
      </c>
      <c r="D31" s="3">
        <f t="shared" si="1"/>
        <v>1991</v>
      </c>
      <c r="E31" s="8">
        <v>69.099999999999994</v>
      </c>
    </row>
    <row r="32" spans="1:5" x14ac:dyDescent="0.25">
      <c r="C32" s="3">
        <f t="shared" si="0"/>
        <v>25</v>
      </c>
      <c r="D32" s="3">
        <f t="shared" si="1"/>
        <v>1992</v>
      </c>
      <c r="E32" s="9">
        <v>57</v>
      </c>
    </row>
    <row r="33" spans="3:5" x14ac:dyDescent="0.25">
      <c r="C33" s="3">
        <f t="shared" si="0"/>
        <v>26</v>
      </c>
      <c r="D33" s="3">
        <f t="shared" si="1"/>
        <v>1993</v>
      </c>
      <c r="E33" s="9"/>
    </row>
    <row r="34" spans="3:5" x14ac:dyDescent="0.25">
      <c r="C34" s="3">
        <f t="shared" si="0"/>
        <v>27</v>
      </c>
      <c r="D34" s="3">
        <f t="shared" si="1"/>
        <v>1994</v>
      </c>
      <c r="E34" s="9">
        <v>79.2</v>
      </c>
    </row>
    <row r="35" spans="3:5" x14ac:dyDescent="0.25">
      <c r="C35" s="3">
        <f t="shared" si="0"/>
        <v>28</v>
      </c>
      <c r="D35" s="3">
        <f t="shared" si="1"/>
        <v>1995</v>
      </c>
      <c r="E35" s="9">
        <v>75.8</v>
      </c>
    </row>
    <row r="36" spans="3:5" x14ac:dyDescent="0.25">
      <c r="C36" s="3">
        <f t="shared" si="0"/>
        <v>29</v>
      </c>
      <c r="D36" s="3">
        <f t="shared" si="1"/>
        <v>1996</v>
      </c>
      <c r="E36" s="8">
        <v>134.30000000000001</v>
      </c>
    </row>
    <row r="37" spans="3:5" x14ac:dyDescent="0.25">
      <c r="C37" s="3">
        <f t="shared" si="0"/>
        <v>30</v>
      </c>
      <c r="D37" s="3">
        <f t="shared" si="1"/>
        <v>1997</v>
      </c>
      <c r="E37" s="8"/>
    </row>
    <row r="38" spans="3:5" x14ac:dyDescent="0.25">
      <c r="C38" s="3">
        <f t="shared" si="0"/>
        <v>31</v>
      </c>
      <c r="D38" s="3">
        <f t="shared" si="1"/>
        <v>1998</v>
      </c>
      <c r="E38" s="8">
        <v>60.4</v>
      </c>
    </row>
    <row r="39" spans="3:5" x14ac:dyDescent="0.25">
      <c r="C39" s="3">
        <f t="shared" si="0"/>
        <v>32</v>
      </c>
      <c r="D39" s="3">
        <f t="shared" si="1"/>
        <v>1999</v>
      </c>
      <c r="E39" s="8"/>
    </row>
    <row r="40" spans="3:5" x14ac:dyDescent="0.25">
      <c r="C40" s="3">
        <f t="shared" si="0"/>
        <v>33</v>
      </c>
      <c r="D40" s="3">
        <f t="shared" si="1"/>
        <v>2000</v>
      </c>
      <c r="E40" s="9">
        <v>58.9</v>
      </c>
    </row>
    <row r="41" spans="3:5" x14ac:dyDescent="0.25">
      <c r="C41" s="3">
        <f t="shared" si="0"/>
        <v>34</v>
      </c>
      <c r="D41" s="3">
        <f t="shared" si="1"/>
        <v>2001</v>
      </c>
      <c r="E41" s="9">
        <v>162</v>
      </c>
    </row>
    <row r="42" spans="3:5" x14ac:dyDescent="0.25">
      <c r="C42" s="3">
        <f t="shared" si="0"/>
        <v>35</v>
      </c>
      <c r="D42" s="3">
        <f t="shared" si="1"/>
        <v>2002</v>
      </c>
      <c r="E42" s="10">
        <v>78.5</v>
      </c>
    </row>
    <row r="43" spans="3:5" x14ac:dyDescent="0.25">
      <c r="C43" s="3">
        <f t="shared" si="0"/>
        <v>36</v>
      </c>
      <c r="D43" s="3">
        <f t="shared" si="1"/>
        <v>2003</v>
      </c>
      <c r="E43" s="10">
        <v>70</v>
      </c>
    </row>
    <row r="44" spans="3:5" x14ac:dyDescent="0.25">
      <c r="C44" s="3">
        <f t="shared" si="0"/>
        <v>37</v>
      </c>
      <c r="D44" s="3">
        <f t="shared" si="1"/>
        <v>2004</v>
      </c>
      <c r="E44" s="10"/>
    </row>
    <row r="45" spans="3:5" x14ac:dyDescent="0.25">
      <c r="C45" s="3">
        <f t="shared" si="0"/>
        <v>38</v>
      </c>
      <c r="D45" s="3">
        <f t="shared" si="1"/>
        <v>2005</v>
      </c>
      <c r="E45" s="10"/>
    </row>
    <row r="46" spans="3:5" x14ac:dyDescent="0.25">
      <c r="C46" s="3">
        <f t="shared" si="0"/>
        <v>39</v>
      </c>
      <c r="D46" s="3">
        <f t="shared" si="1"/>
        <v>2006</v>
      </c>
      <c r="E46" s="37"/>
    </row>
    <row r="47" spans="3:5" x14ac:dyDescent="0.25">
      <c r="C47" s="3">
        <f t="shared" si="0"/>
        <v>40</v>
      </c>
      <c r="D47" s="3">
        <f t="shared" si="1"/>
        <v>2007</v>
      </c>
      <c r="E47" s="37"/>
    </row>
    <row r="48" spans="3:5" x14ac:dyDescent="0.25">
      <c r="C48" s="3">
        <f t="shared" si="0"/>
        <v>41</v>
      </c>
      <c r="D48" s="3">
        <f t="shared" si="1"/>
        <v>2008</v>
      </c>
      <c r="E48" s="37"/>
    </row>
    <row r="49" spans="3:5" x14ac:dyDescent="0.25">
      <c r="C49" s="3">
        <f t="shared" si="0"/>
        <v>42</v>
      </c>
      <c r="D49" s="3">
        <f t="shared" si="1"/>
        <v>2009</v>
      </c>
      <c r="E49" s="37"/>
    </row>
    <row r="50" spans="3:5" x14ac:dyDescent="0.25">
      <c r="C50" s="3">
        <f t="shared" si="0"/>
        <v>43</v>
      </c>
      <c r="D50" s="3">
        <f t="shared" si="1"/>
        <v>2010</v>
      </c>
      <c r="E50" s="37"/>
    </row>
    <row r="51" spans="3:5" x14ac:dyDescent="0.25">
      <c r="C51" s="3">
        <f t="shared" si="0"/>
        <v>44</v>
      </c>
      <c r="D51" s="3">
        <f t="shared" si="1"/>
        <v>2011</v>
      </c>
      <c r="E51" s="37">
        <v>127.6</v>
      </c>
    </row>
    <row r="52" spans="3:5" x14ac:dyDescent="0.25">
      <c r="C52" s="3">
        <f t="shared" si="0"/>
        <v>45</v>
      </c>
      <c r="D52" s="3">
        <f t="shared" si="1"/>
        <v>2012</v>
      </c>
      <c r="E52" s="37">
        <v>142.19999999999999</v>
      </c>
    </row>
    <row r="53" spans="3:5" x14ac:dyDescent="0.25">
      <c r="C53" s="3">
        <f t="shared" si="0"/>
        <v>46</v>
      </c>
      <c r="D53" s="3">
        <f t="shared" si="1"/>
        <v>2013</v>
      </c>
      <c r="E53" s="37">
        <v>77</v>
      </c>
    </row>
    <row r="54" spans="3:5" x14ac:dyDescent="0.25">
      <c r="C54" s="3">
        <f t="shared" si="0"/>
        <v>47</v>
      </c>
      <c r="D54" s="3">
        <f t="shared" si="1"/>
        <v>2014</v>
      </c>
      <c r="E54" s="37">
        <v>111.2</v>
      </c>
    </row>
    <row r="55" spans="3:5" x14ac:dyDescent="0.25">
      <c r="C55" s="3">
        <f t="shared" si="0"/>
        <v>48</v>
      </c>
      <c r="D55" s="3">
        <f t="shared" si="1"/>
        <v>2015</v>
      </c>
      <c r="E55" s="37">
        <v>273.39999999999998</v>
      </c>
    </row>
    <row r="56" spans="3:5" x14ac:dyDescent="0.25">
      <c r="C56" s="3">
        <f t="shared" si="0"/>
        <v>49</v>
      </c>
      <c r="D56" s="3">
        <f t="shared" si="1"/>
        <v>2016</v>
      </c>
      <c r="E56" s="37">
        <v>64</v>
      </c>
    </row>
    <row r="57" spans="3:5" x14ac:dyDescent="0.25">
      <c r="C57" s="3">
        <f t="shared" si="0"/>
        <v>50</v>
      </c>
      <c r="D57" s="3">
        <f t="shared" si="1"/>
        <v>2017</v>
      </c>
      <c r="E57" s="37">
        <v>140.30000000000001</v>
      </c>
    </row>
    <row r="58" spans="3:5" x14ac:dyDescent="0.25">
      <c r="C58" s="3">
        <f t="shared" si="0"/>
        <v>51</v>
      </c>
      <c r="D58" s="3">
        <f t="shared" si="1"/>
        <v>2018</v>
      </c>
      <c r="E58" s="37">
        <v>75.400000000000006</v>
      </c>
    </row>
    <row r="59" spans="3:5" x14ac:dyDescent="0.25">
      <c r="C59" s="3" t="str">
        <f t="shared" si="0"/>
        <v xml:space="preserve"> </v>
      </c>
      <c r="D59" s="3" t="str">
        <f t="shared" si="1"/>
        <v xml:space="preserve"> </v>
      </c>
      <c r="E59" s="37"/>
    </row>
    <row r="60" spans="3:5" x14ac:dyDescent="0.25">
      <c r="C60" s="3" t="str">
        <f t="shared" si="0"/>
        <v xml:space="preserve"> </v>
      </c>
      <c r="D60" s="3" t="str">
        <f t="shared" si="1"/>
        <v xml:space="preserve"> </v>
      </c>
      <c r="E60" s="37"/>
    </row>
    <row r="61" spans="3:5" x14ac:dyDescent="0.25">
      <c r="C61" s="3" t="str">
        <f t="shared" si="0"/>
        <v xml:space="preserve"> </v>
      </c>
      <c r="D61" s="3" t="str">
        <f t="shared" si="1"/>
        <v xml:space="preserve"> </v>
      </c>
      <c r="E61" s="37"/>
    </row>
    <row r="62" spans="3:5" x14ac:dyDescent="0.25">
      <c r="C62" s="3" t="str">
        <f t="shared" si="0"/>
        <v xml:space="preserve"> </v>
      </c>
      <c r="D62" s="3" t="str">
        <f t="shared" si="1"/>
        <v xml:space="preserve"> </v>
      </c>
      <c r="E62" s="37"/>
    </row>
    <row r="63" spans="3:5" x14ac:dyDescent="0.25">
      <c r="C63" s="3" t="str">
        <f t="shared" si="0"/>
        <v xml:space="preserve"> </v>
      </c>
      <c r="D63" s="3" t="str">
        <f t="shared" si="1"/>
        <v xml:space="preserve"> </v>
      </c>
      <c r="E63" s="37"/>
    </row>
    <row r="64" spans="3:5" x14ac:dyDescent="0.25">
      <c r="C64" s="3" t="str">
        <f t="shared" si="0"/>
        <v xml:space="preserve"> </v>
      </c>
      <c r="D64" s="3" t="str">
        <f t="shared" si="1"/>
        <v xml:space="preserve"> </v>
      </c>
      <c r="E64" s="37"/>
    </row>
    <row r="65" spans="3:5" x14ac:dyDescent="0.25">
      <c r="C65" s="3" t="str">
        <f t="shared" si="0"/>
        <v xml:space="preserve"> </v>
      </c>
      <c r="D65" s="3" t="str">
        <f t="shared" si="1"/>
        <v xml:space="preserve"> </v>
      </c>
      <c r="E65" s="37"/>
    </row>
    <row r="66" spans="3:5" x14ac:dyDescent="0.25">
      <c r="C66" s="3" t="str">
        <f t="shared" si="0"/>
        <v xml:space="preserve"> </v>
      </c>
      <c r="D66" s="3" t="str">
        <f t="shared" si="1"/>
        <v xml:space="preserve"> </v>
      </c>
      <c r="E66" s="37"/>
    </row>
    <row r="67" spans="3:5" x14ac:dyDescent="0.25">
      <c r="C67" s="3" t="str">
        <f t="shared" si="0"/>
        <v xml:space="preserve"> </v>
      </c>
      <c r="D67" s="3" t="str">
        <f t="shared" si="1"/>
        <v xml:space="preserve"> </v>
      </c>
      <c r="E67" s="37"/>
    </row>
    <row r="68" spans="3:5" x14ac:dyDescent="0.25">
      <c r="C68" s="3" t="str">
        <f t="shared" si="0"/>
        <v xml:space="preserve"> </v>
      </c>
      <c r="D68" s="3" t="str">
        <f t="shared" si="1"/>
        <v xml:space="preserve"> </v>
      </c>
      <c r="E68" s="37"/>
    </row>
    <row r="69" spans="3:5" x14ac:dyDescent="0.25">
      <c r="C69" s="3" t="str">
        <f t="shared" si="0"/>
        <v xml:space="preserve"> </v>
      </c>
      <c r="D69" s="3" t="str">
        <f t="shared" si="1"/>
        <v xml:space="preserve"> </v>
      </c>
      <c r="E69" s="37"/>
    </row>
    <row r="70" spans="3:5" x14ac:dyDescent="0.25">
      <c r="C70" s="3" t="str">
        <f t="shared" si="0"/>
        <v xml:space="preserve"> </v>
      </c>
      <c r="D70" s="3" t="str">
        <f t="shared" si="1"/>
        <v xml:space="preserve"> </v>
      </c>
      <c r="E70" s="37"/>
    </row>
    <row r="71" spans="3:5" x14ac:dyDescent="0.25">
      <c r="C71" s="3" t="str">
        <f t="shared" si="0"/>
        <v xml:space="preserve"> </v>
      </c>
      <c r="D71" s="3" t="str">
        <f t="shared" si="1"/>
        <v xml:space="preserve"> </v>
      </c>
      <c r="E71" s="37"/>
    </row>
    <row r="72" spans="3:5" x14ac:dyDescent="0.25">
      <c r="C72" s="3" t="str">
        <f t="shared" si="0"/>
        <v xml:space="preserve"> </v>
      </c>
      <c r="D72" s="3" t="str">
        <f t="shared" si="1"/>
        <v xml:space="preserve"> </v>
      </c>
      <c r="E72" s="37"/>
    </row>
    <row r="73" spans="3:5" x14ac:dyDescent="0.25">
      <c r="C73" s="3" t="str">
        <f t="shared" si="0"/>
        <v xml:space="preserve"> </v>
      </c>
      <c r="D73" s="3" t="str">
        <f t="shared" si="1"/>
        <v xml:space="preserve"> </v>
      </c>
      <c r="E73" s="37"/>
    </row>
    <row r="74" spans="3:5" x14ac:dyDescent="0.25">
      <c r="C74" s="3" t="str">
        <f t="shared" ref="C74:C107" si="2">IF(D74=" "," ",C73+1)</f>
        <v xml:space="preserve"> </v>
      </c>
      <c r="D74" s="3" t="str">
        <f t="shared" ref="D74:D107" si="3">IF(OR(D73=$B$7,D73=" ")," ",D73+1)</f>
        <v xml:space="preserve"> </v>
      </c>
      <c r="E74" s="37"/>
    </row>
    <row r="75" spans="3:5" x14ac:dyDescent="0.25">
      <c r="C75" s="3" t="str">
        <f t="shared" si="2"/>
        <v xml:space="preserve"> </v>
      </c>
      <c r="D75" s="3" t="str">
        <f t="shared" si="3"/>
        <v xml:space="preserve"> </v>
      </c>
      <c r="E75" s="10"/>
    </row>
    <row r="76" spans="3:5" x14ac:dyDescent="0.25">
      <c r="C76" s="3" t="str">
        <f t="shared" si="2"/>
        <v xml:space="preserve"> </v>
      </c>
      <c r="D76" s="3" t="str">
        <f t="shared" si="3"/>
        <v xml:space="preserve"> </v>
      </c>
      <c r="E76" s="10"/>
    </row>
    <row r="77" spans="3:5" x14ac:dyDescent="0.25">
      <c r="C77" s="3" t="str">
        <f t="shared" si="2"/>
        <v xml:space="preserve"> </v>
      </c>
      <c r="D77" s="3" t="str">
        <f t="shared" si="3"/>
        <v xml:space="preserve"> </v>
      </c>
      <c r="E77" s="10"/>
    </row>
    <row r="78" spans="3:5" x14ac:dyDescent="0.25">
      <c r="C78" s="3" t="str">
        <f t="shared" si="2"/>
        <v xml:space="preserve"> </v>
      </c>
      <c r="D78" s="3" t="str">
        <f t="shared" si="3"/>
        <v xml:space="preserve"> </v>
      </c>
      <c r="E78" s="10"/>
    </row>
    <row r="79" spans="3:5" x14ac:dyDescent="0.25">
      <c r="C79" s="3" t="str">
        <f t="shared" si="2"/>
        <v xml:space="preserve"> </v>
      </c>
      <c r="D79" s="3" t="str">
        <f t="shared" si="3"/>
        <v xml:space="preserve"> </v>
      </c>
      <c r="E79" s="10"/>
    </row>
    <row r="80" spans="3:5" x14ac:dyDescent="0.25">
      <c r="C80" s="3" t="str">
        <f t="shared" si="2"/>
        <v xml:space="preserve"> </v>
      </c>
      <c r="D80" s="3" t="str">
        <f t="shared" si="3"/>
        <v xml:space="preserve"> </v>
      </c>
      <c r="E80" s="10"/>
    </row>
    <row r="81" spans="3:5" x14ac:dyDescent="0.25">
      <c r="C81" s="3" t="str">
        <f t="shared" si="2"/>
        <v xml:space="preserve"> </v>
      </c>
      <c r="D81" s="3" t="str">
        <f t="shared" si="3"/>
        <v xml:space="preserve"> </v>
      </c>
      <c r="E81" s="10"/>
    </row>
    <row r="82" spans="3:5" x14ac:dyDescent="0.25">
      <c r="C82" s="3" t="str">
        <f t="shared" si="2"/>
        <v xml:space="preserve"> </v>
      </c>
      <c r="D82" s="3" t="str">
        <f t="shared" si="3"/>
        <v xml:space="preserve"> </v>
      </c>
      <c r="E82" s="10"/>
    </row>
    <row r="83" spans="3:5" x14ac:dyDescent="0.25">
      <c r="C83" s="3" t="str">
        <f t="shared" si="2"/>
        <v xml:space="preserve"> </v>
      </c>
      <c r="D83" s="3" t="str">
        <f t="shared" si="3"/>
        <v xml:space="preserve"> </v>
      </c>
      <c r="E83" s="10"/>
    </row>
    <row r="84" spans="3:5" x14ac:dyDescent="0.25">
      <c r="C84" s="3" t="str">
        <f t="shared" si="2"/>
        <v xml:space="preserve"> </v>
      </c>
      <c r="D84" s="3" t="str">
        <f t="shared" si="3"/>
        <v xml:space="preserve"> </v>
      </c>
      <c r="E84" s="10"/>
    </row>
    <row r="85" spans="3:5" x14ac:dyDescent="0.25">
      <c r="C85" s="3" t="str">
        <f t="shared" si="2"/>
        <v xml:space="preserve"> </v>
      </c>
      <c r="D85" s="3" t="str">
        <f t="shared" si="3"/>
        <v xml:space="preserve"> </v>
      </c>
      <c r="E85" s="10"/>
    </row>
    <row r="86" spans="3:5" x14ac:dyDescent="0.25">
      <c r="C86" s="3" t="str">
        <f t="shared" si="2"/>
        <v xml:space="preserve"> </v>
      </c>
      <c r="D86" s="3" t="str">
        <f t="shared" si="3"/>
        <v xml:space="preserve"> </v>
      </c>
      <c r="E86" s="10"/>
    </row>
    <row r="87" spans="3:5" x14ac:dyDescent="0.25">
      <c r="C87" s="3" t="str">
        <f t="shared" si="2"/>
        <v xml:space="preserve"> </v>
      </c>
      <c r="D87" s="3" t="str">
        <f t="shared" si="3"/>
        <v xml:space="preserve"> </v>
      </c>
      <c r="E87" s="10"/>
    </row>
    <row r="88" spans="3:5" x14ac:dyDescent="0.25">
      <c r="C88" s="3" t="str">
        <f t="shared" si="2"/>
        <v xml:space="preserve"> </v>
      </c>
      <c r="D88" s="3" t="str">
        <f t="shared" si="3"/>
        <v xml:space="preserve"> </v>
      </c>
      <c r="E88" s="10"/>
    </row>
    <row r="89" spans="3:5" x14ac:dyDescent="0.25">
      <c r="C89" s="3" t="str">
        <f t="shared" si="2"/>
        <v xml:space="preserve"> </v>
      </c>
      <c r="D89" s="3" t="str">
        <f t="shared" si="3"/>
        <v xml:space="preserve"> </v>
      </c>
      <c r="E89" s="10"/>
    </row>
    <row r="90" spans="3:5" x14ac:dyDescent="0.25">
      <c r="C90" s="3" t="str">
        <f t="shared" si="2"/>
        <v xml:space="preserve"> </v>
      </c>
      <c r="D90" s="3" t="str">
        <f t="shared" si="3"/>
        <v xml:space="preserve"> </v>
      </c>
      <c r="E90" s="10"/>
    </row>
    <row r="91" spans="3:5" x14ac:dyDescent="0.25">
      <c r="C91" s="3" t="str">
        <f t="shared" si="2"/>
        <v xml:space="preserve"> </v>
      </c>
      <c r="D91" s="3" t="str">
        <f t="shared" si="3"/>
        <v xml:space="preserve"> </v>
      </c>
      <c r="E91" s="10"/>
    </row>
    <row r="92" spans="3:5" x14ac:dyDescent="0.25">
      <c r="C92" s="3" t="str">
        <f t="shared" si="2"/>
        <v xml:space="preserve"> </v>
      </c>
      <c r="D92" s="3" t="str">
        <f t="shared" si="3"/>
        <v xml:space="preserve"> </v>
      </c>
      <c r="E92" s="10"/>
    </row>
    <row r="93" spans="3:5" x14ac:dyDescent="0.25">
      <c r="C93" s="3" t="str">
        <f t="shared" si="2"/>
        <v xml:space="preserve"> </v>
      </c>
      <c r="D93" s="3" t="str">
        <f t="shared" si="3"/>
        <v xml:space="preserve"> </v>
      </c>
      <c r="E93" s="10"/>
    </row>
    <row r="94" spans="3:5" x14ac:dyDescent="0.25">
      <c r="C94" s="3" t="str">
        <f t="shared" si="2"/>
        <v xml:space="preserve"> </v>
      </c>
      <c r="D94" s="3" t="str">
        <f t="shared" si="3"/>
        <v xml:space="preserve"> </v>
      </c>
      <c r="E94" s="10"/>
    </row>
    <row r="95" spans="3:5" x14ac:dyDescent="0.25">
      <c r="C95" s="3" t="str">
        <f t="shared" si="2"/>
        <v xml:space="preserve"> </v>
      </c>
      <c r="D95" s="3" t="str">
        <f t="shared" si="3"/>
        <v xml:space="preserve"> </v>
      </c>
      <c r="E95" s="10"/>
    </row>
    <row r="96" spans="3:5" x14ac:dyDescent="0.25">
      <c r="C96" s="3" t="str">
        <f t="shared" si="2"/>
        <v xml:space="preserve"> </v>
      </c>
      <c r="D96" s="3" t="str">
        <f t="shared" si="3"/>
        <v xml:space="preserve"> </v>
      </c>
      <c r="E96" s="10"/>
    </row>
    <row r="97" spans="3:5" x14ac:dyDescent="0.25">
      <c r="C97" s="3" t="str">
        <f t="shared" si="2"/>
        <v xml:space="preserve"> </v>
      </c>
      <c r="D97" s="3" t="str">
        <f t="shared" si="3"/>
        <v xml:space="preserve"> </v>
      </c>
      <c r="E97" s="10"/>
    </row>
    <row r="98" spans="3:5" x14ac:dyDescent="0.25">
      <c r="C98" s="3" t="str">
        <f t="shared" si="2"/>
        <v xml:space="preserve"> </v>
      </c>
      <c r="D98" s="3" t="str">
        <f t="shared" si="3"/>
        <v xml:space="preserve"> </v>
      </c>
      <c r="E98" s="10"/>
    </row>
    <row r="99" spans="3:5" x14ac:dyDescent="0.25">
      <c r="C99" s="3" t="str">
        <f t="shared" si="2"/>
        <v xml:space="preserve"> </v>
      </c>
      <c r="D99" s="3" t="str">
        <f t="shared" si="3"/>
        <v xml:space="preserve"> </v>
      </c>
      <c r="E99" s="10"/>
    </row>
    <row r="100" spans="3:5" x14ac:dyDescent="0.25">
      <c r="C100" s="3" t="str">
        <f t="shared" si="2"/>
        <v xml:space="preserve"> </v>
      </c>
      <c r="D100" s="3" t="str">
        <f t="shared" si="3"/>
        <v xml:space="preserve"> </v>
      </c>
      <c r="E100" s="10"/>
    </row>
    <row r="101" spans="3:5" x14ac:dyDescent="0.25">
      <c r="C101" s="3" t="str">
        <f t="shared" si="2"/>
        <v xml:space="preserve"> </v>
      </c>
      <c r="D101" s="3" t="str">
        <f t="shared" si="3"/>
        <v xml:space="preserve"> </v>
      </c>
      <c r="E101" s="10"/>
    </row>
    <row r="102" spans="3:5" x14ac:dyDescent="0.25">
      <c r="C102" s="3" t="str">
        <f t="shared" si="2"/>
        <v xml:space="preserve"> </v>
      </c>
      <c r="D102" s="3" t="str">
        <f t="shared" si="3"/>
        <v xml:space="preserve"> </v>
      </c>
      <c r="E102" s="10"/>
    </row>
    <row r="103" spans="3:5" x14ac:dyDescent="0.25">
      <c r="C103" s="3" t="str">
        <f t="shared" si="2"/>
        <v xml:space="preserve"> </v>
      </c>
      <c r="D103" s="3" t="str">
        <f t="shared" si="3"/>
        <v xml:space="preserve"> </v>
      </c>
      <c r="E103" s="10"/>
    </row>
    <row r="104" spans="3:5" x14ac:dyDescent="0.25">
      <c r="C104" s="3" t="str">
        <f t="shared" si="2"/>
        <v xml:space="preserve"> </v>
      </c>
      <c r="D104" s="3" t="str">
        <f t="shared" si="3"/>
        <v xml:space="preserve"> </v>
      </c>
      <c r="E104" s="10"/>
    </row>
    <row r="105" spans="3:5" x14ac:dyDescent="0.25">
      <c r="C105" s="3" t="str">
        <f t="shared" si="2"/>
        <v xml:space="preserve"> </v>
      </c>
      <c r="D105" s="3" t="str">
        <f t="shared" si="3"/>
        <v xml:space="preserve"> </v>
      </c>
      <c r="E105" s="10"/>
    </row>
    <row r="106" spans="3:5" x14ac:dyDescent="0.25">
      <c r="C106" s="3" t="str">
        <f t="shared" si="2"/>
        <v xml:space="preserve"> </v>
      </c>
      <c r="D106" s="3" t="str">
        <f t="shared" si="3"/>
        <v xml:space="preserve"> </v>
      </c>
      <c r="E106" s="10"/>
    </row>
    <row r="107" spans="3:5" x14ac:dyDescent="0.25">
      <c r="C107" s="3" t="str">
        <f t="shared" si="2"/>
        <v xml:space="preserve"> </v>
      </c>
      <c r="D107" s="3" t="str">
        <f t="shared" si="3"/>
        <v xml:space="preserve"> </v>
      </c>
      <c r="E107" s="10"/>
    </row>
  </sheetData>
  <mergeCells count="7">
    <mergeCell ref="A10:B11"/>
    <mergeCell ref="A5:E5"/>
    <mergeCell ref="G6:K6"/>
    <mergeCell ref="A1:E1"/>
    <mergeCell ref="A2:E2"/>
    <mergeCell ref="A3:E3"/>
    <mergeCell ref="A4:E4"/>
  </mergeCells>
  <phoneticPr fontId="0" type="noConversion"/>
  <conditionalFormatting sqref="B12:B20">
    <cfRule type="cellIs" dxfId="1" priority="2" operator="equal">
      <formula>$I$12</formula>
    </cfRule>
  </conditionalFormatting>
  <pageMargins left="0.75" right="0.75" top="1" bottom="1" header="0.5" footer="0.5"/>
  <pageSetup paperSize="9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ist Box 1">
              <controlPr defaultSize="0" print="0" autoLine="0" autoPict="0" macro="[0]!Makro1">
                <anchor moveWithCells="1">
                  <from>
                    <xdr:col>5</xdr:col>
                    <xdr:colOff>542925</xdr:colOff>
                    <xdr:row>7</xdr:row>
                    <xdr:rowOff>180975</xdr:rowOff>
                  </from>
                  <to>
                    <xdr:col>11</xdr:col>
                    <xdr:colOff>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1" operator="endsWith" id="{334A1995-A849-4877-8A71-73B29F00AD97}">
            <xm:f>RIGHT(A12,LEN($A$10))=$A$10</xm:f>
            <xm:f>$A$10</xm:f>
            <x14:dxf>
              <font>
                <b/>
                <i val="0"/>
                <color rgb="FFFF0000"/>
              </font>
              <fill>
                <patternFill>
                  <bgColor theme="0" tint="-0.24994659260841701"/>
                </patternFill>
              </fill>
            </x14:dxf>
          </x14:cfRule>
          <xm:sqref>A12:A20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4C7DB-D052-42EB-A1BE-5F53D2F957E6}">
  <sheetPr codeName="Sayfa4">
    <tabColor indexed="40"/>
  </sheetPr>
  <dimension ref="A1:BQ1008"/>
  <sheetViews>
    <sheetView showGridLines="0" tabSelected="1" zoomScaleNormal="100" workbookViewId="0">
      <selection activeCell="L8" sqref="L8"/>
    </sheetView>
  </sheetViews>
  <sheetFormatPr defaultRowHeight="15.75" x14ac:dyDescent="0.25"/>
  <cols>
    <col min="1" max="1" width="4.125" style="11" customWidth="1"/>
    <col min="2" max="2" width="5" style="11" customWidth="1"/>
    <col min="3" max="4" width="9" style="11"/>
    <col min="5" max="5" width="4.125" style="11" customWidth="1"/>
    <col min="6" max="6" width="5" style="11" customWidth="1"/>
    <col min="7" max="8" width="9" style="11"/>
    <col min="9" max="9" width="6" style="11" customWidth="1"/>
    <col min="10" max="10" width="17.5" style="11" customWidth="1"/>
    <col min="11" max="11" width="2.75" style="11" customWidth="1"/>
    <col min="12" max="12" width="9.625" style="11" bestFit="1" customWidth="1"/>
    <col min="13" max="13" width="6.375" style="11" customWidth="1"/>
    <col min="14" max="16" width="9" style="11"/>
    <col min="17" max="17" width="15.875" style="11" customWidth="1"/>
    <col min="18" max="18" width="13.75" style="11" customWidth="1"/>
    <col min="19" max="19" width="14.25" style="11" customWidth="1"/>
    <col min="20" max="21" width="9" style="11"/>
    <col min="22" max="22" width="8.75" style="11" customWidth="1"/>
    <col min="23" max="64" width="9" style="11"/>
    <col min="65" max="65" width="16" style="11" customWidth="1"/>
    <col min="66" max="16384" width="9" style="11"/>
  </cols>
  <sheetData>
    <row r="1" spans="1:69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R1" s="79"/>
      <c r="S1" s="80"/>
      <c r="BM1" s="11" t="s">
        <v>40</v>
      </c>
      <c r="BN1" s="12">
        <v>1968</v>
      </c>
      <c r="BO1" s="12" t="s">
        <v>0</v>
      </c>
      <c r="BP1" s="12" t="s">
        <v>36</v>
      </c>
      <c r="BQ1" s="12" t="s">
        <v>2</v>
      </c>
    </row>
    <row r="2" spans="1:69" x14ac:dyDescent="0.25">
      <c r="A2" s="77" t="s">
        <v>1456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R2" s="13"/>
      <c r="BM2" s="11" t="s">
        <v>41</v>
      </c>
      <c r="BN2" s="12">
        <v>2024</v>
      </c>
      <c r="BO2" s="12" t="s">
        <v>1</v>
      </c>
      <c r="BP2" s="12"/>
      <c r="BQ2" s="12" t="s">
        <v>3</v>
      </c>
    </row>
    <row r="3" spans="1:69" x14ac:dyDescent="0.25">
      <c r="A3" s="77" t="s">
        <v>1457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R3" s="13"/>
      <c r="BM3" s="11" t="s">
        <v>42</v>
      </c>
      <c r="BN3" s="12">
        <v>5.9189999999999996</v>
      </c>
      <c r="BO3" s="12">
        <v>1</v>
      </c>
      <c r="BP3" s="12">
        <v>1968</v>
      </c>
      <c r="BQ3" s="12">
        <v>69.099999999999994</v>
      </c>
    </row>
    <row r="4" spans="1:69" x14ac:dyDescent="0.25">
      <c r="A4" s="81" t="s">
        <v>1458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BN4" s="12">
        <v>6</v>
      </c>
      <c r="BO4" s="12">
        <v>2</v>
      </c>
      <c r="BP4" s="12">
        <v>1969</v>
      </c>
      <c r="BQ4" s="12">
        <v>93.1</v>
      </c>
    </row>
    <row r="5" spans="1:69" x14ac:dyDescent="0.25">
      <c r="A5" s="82" t="s">
        <v>1459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R5" s="12"/>
      <c r="BM5" s="14" t="s">
        <v>39</v>
      </c>
      <c r="BN5" s="12">
        <v>57</v>
      </c>
      <c r="BO5" s="12">
        <v>3</v>
      </c>
      <c r="BP5" s="12">
        <v>1970</v>
      </c>
      <c r="BQ5" s="12">
        <v>96.7</v>
      </c>
    </row>
    <row r="6" spans="1:69" x14ac:dyDescent="0.25">
      <c r="A6" s="15"/>
      <c r="K6" s="16"/>
      <c r="Q6" s="14"/>
      <c r="R6" s="83"/>
      <c r="BO6" s="12">
        <v>4</v>
      </c>
      <c r="BP6" s="12">
        <v>1971</v>
      </c>
      <c r="BQ6" s="12">
        <v>92.8</v>
      </c>
    </row>
    <row r="7" spans="1:69" x14ac:dyDescent="0.25">
      <c r="A7" s="84" t="s">
        <v>0</v>
      </c>
      <c r="B7" s="85" t="s">
        <v>36</v>
      </c>
      <c r="C7" s="86" t="s">
        <v>2</v>
      </c>
      <c r="D7" s="85" t="s">
        <v>4</v>
      </c>
      <c r="E7" s="84" t="s">
        <v>0</v>
      </c>
      <c r="F7" s="85" t="s">
        <v>36</v>
      </c>
      <c r="G7" s="86" t="s">
        <v>2</v>
      </c>
      <c r="H7" s="85" t="s">
        <v>4</v>
      </c>
      <c r="J7" s="87" t="s">
        <v>13</v>
      </c>
      <c r="K7" s="36" t="s">
        <v>31</v>
      </c>
      <c r="L7" s="88">
        <v>51</v>
      </c>
      <c r="M7" s="89" t="s">
        <v>35</v>
      </c>
      <c r="V7" s="11" t="s">
        <v>14</v>
      </c>
      <c r="BO7" s="12">
        <v>5</v>
      </c>
      <c r="BP7" s="12">
        <v>1972</v>
      </c>
      <c r="BQ7" s="12">
        <v>62.5</v>
      </c>
    </row>
    <row r="8" spans="1:69" ht="18.75" x14ac:dyDescent="0.25">
      <c r="A8" s="31" t="s">
        <v>1</v>
      </c>
      <c r="B8" s="32"/>
      <c r="C8" s="12" t="s">
        <v>3</v>
      </c>
      <c r="D8" s="33"/>
      <c r="E8" s="31" t="s">
        <v>1</v>
      </c>
      <c r="F8" s="32"/>
      <c r="G8" s="12" t="s">
        <v>3</v>
      </c>
      <c r="H8" s="33"/>
      <c r="J8" s="87" t="s">
        <v>5</v>
      </c>
      <c r="K8" s="36" t="s">
        <v>31</v>
      </c>
      <c r="L8" s="17">
        <v>273.39999999999998</v>
      </c>
      <c r="M8" s="89" t="s">
        <v>3</v>
      </c>
      <c r="Q8" s="11" t="s">
        <v>28</v>
      </c>
      <c r="R8" s="18" t="s">
        <v>1460</v>
      </c>
      <c r="S8" s="18" t="s">
        <v>1461</v>
      </c>
      <c r="T8" s="18">
        <v>0.9816748997651582</v>
      </c>
      <c r="V8" s="12" t="s">
        <v>13</v>
      </c>
      <c r="W8" s="12" t="s">
        <v>15</v>
      </c>
      <c r="X8" s="12" t="s">
        <v>16</v>
      </c>
      <c r="Y8" s="12" t="s">
        <v>17</v>
      </c>
      <c r="Z8" s="12" t="s">
        <v>18</v>
      </c>
      <c r="AA8" s="12" t="s">
        <v>19</v>
      </c>
      <c r="AB8" s="12" t="s">
        <v>24</v>
      </c>
      <c r="AC8" s="12" t="s">
        <v>20</v>
      </c>
      <c r="AD8" s="12" t="s">
        <v>21</v>
      </c>
      <c r="AE8" s="12" t="s">
        <v>25</v>
      </c>
      <c r="AF8" s="12" t="s">
        <v>22</v>
      </c>
      <c r="AG8" s="12" t="s">
        <v>23</v>
      </c>
      <c r="BO8" s="12">
        <v>6</v>
      </c>
      <c r="BP8" s="12">
        <v>1973</v>
      </c>
      <c r="BQ8" s="12">
        <v>98.6</v>
      </c>
    </row>
    <row r="9" spans="1:69" ht="17.100000000000001" customHeight="1" x14ac:dyDescent="0.25">
      <c r="A9" s="2">
        <v>1</v>
      </c>
      <c r="B9" s="2">
        <v>1968</v>
      </c>
      <c r="C9" s="34">
        <v>69.099999999999994</v>
      </c>
      <c r="D9" s="35">
        <v>40.200000000000003</v>
      </c>
      <c r="E9" s="2">
        <v>51</v>
      </c>
      <c r="F9" s="2">
        <v>2018</v>
      </c>
      <c r="G9" s="34">
        <v>75.400000000000006</v>
      </c>
      <c r="H9" s="34">
        <v>273.39999999999998</v>
      </c>
      <c r="J9" s="90" t="s">
        <v>6</v>
      </c>
      <c r="K9" s="36" t="s">
        <v>31</v>
      </c>
      <c r="L9" s="17">
        <v>4734.199999999998</v>
      </c>
      <c r="M9" s="89"/>
      <c r="Q9" s="11" t="s">
        <v>29</v>
      </c>
      <c r="R9" s="12">
        <v>1</v>
      </c>
      <c r="S9" s="12"/>
      <c r="T9" s="12"/>
      <c r="V9" s="11">
        <v>10</v>
      </c>
      <c r="W9" s="19">
        <v>1.05</v>
      </c>
      <c r="X9" s="11">
        <v>-2</v>
      </c>
      <c r="Y9" s="19">
        <v>9.5000000000000639E-3</v>
      </c>
      <c r="Z9" s="11">
        <v>51</v>
      </c>
      <c r="AA9" s="11">
        <v>50</v>
      </c>
      <c r="AB9" s="11">
        <v>0</v>
      </c>
      <c r="AC9" s="11">
        <v>50</v>
      </c>
      <c r="AD9" s="11">
        <v>1</v>
      </c>
      <c r="AE9" s="11">
        <v>0</v>
      </c>
      <c r="AF9" s="11">
        <v>1</v>
      </c>
      <c r="AG9" s="11">
        <v>1</v>
      </c>
      <c r="BO9" s="12">
        <v>7</v>
      </c>
      <c r="BP9" s="12">
        <v>1974</v>
      </c>
      <c r="BQ9" s="12">
        <v>92.3</v>
      </c>
    </row>
    <row r="10" spans="1:69" ht="17.100000000000001" customHeight="1" x14ac:dyDescent="0.25">
      <c r="A10" s="2">
        <v>2</v>
      </c>
      <c r="B10" s="2">
        <v>1969</v>
      </c>
      <c r="C10" s="34">
        <v>93.1</v>
      </c>
      <c r="D10" s="35">
        <v>43</v>
      </c>
      <c r="E10" s="2">
        <v>52</v>
      </c>
      <c r="F10" s="2">
        <v>2019</v>
      </c>
      <c r="G10" s="34">
        <v>77.8</v>
      </c>
      <c r="H10" s="34" t="s">
        <v>27</v>
      </c>
      <c r="J10" s="90" t="s">
        <v>37</v>
      </c>
      <c r="K10" s="36" t="s">
        <v>31</v>
      </c>
      <c r="L10" s="17">
        <v>4460.7999999999984</v>
      </c>
      <c r="M10" s="89"/>
      <c r="Q10" s="11" t="s">
        <v>32</v>
      </c>
      <c r="R10" s="18" t="s">
        <v>1462</v>
      </c>
      <c r="S10" s="18" t="s">
        <v>1463</v>
      </c>
      <c r="T10" s="18">
        <v>0.88892566063145617</v>
      </c>
      <c r="V10" s="11">
        <v>12</v>
      </c>
      <c r="W10" s="19">
        <v>1.0405</v>
      </c>
      <c r="X10" s="11">
        <v>-1</v>
      </c>
      <c r="Y10" s="19">
        <v>3.5000000000000586E-3</v>
      </c>
      <c r="BO10" s="12">
        <v>8</v>
      </c>
      <c r="BP10" s="12">
        <v>1975</v>
      </c>
      <c r="BQ10" s="12">
        <v>120.1</v>
      </c>
    </row>
    <row r="11" spans="1:69" ht="17.100000000000001" customHeight="1" x14ac:dyDescent="0.25">
      <c r="A11" s="2">
        <v>3</v>
      </c>
      <c r="B11" s="2">
        <v>1970</v>
      </c>
      <c r="C11" s="34">
        <v>96.7</v>
      </c>
      <c r="D11" s="35">
        <v>46.5</v>
      </c>
      <c r="E11" s="2">
        <v>53</v>
      </c>
      <c r="F11" s="2">
        <v>2020</v>
      </c>
      <c r="G11" s="34">
        <v>43</v>
      </c>
      <c r="H11" s="34" t="s">
        <v>27</v>
      </c>
      <c r="I11" s="20"/>
      <c r="J11" s="87" t="s">
        <v>7</v>
      </c>
      <c r="K11" s="36" t="s">
        <v>31</v>
      </c>
      <c r="L11" s="17">
        <v>92.827450980392115</v>
      </c>
      <c r="M11" s="89" t="s">
        <v>3</v>
      </c>
      <c r="Q11" s="11" t="s">
        <v>33</v>
      </c>
      <c r="R11" s="12">
        <v>1</v>
      </c>
      <c r="S11" s="12"/>
      <c r="T11" s="12"/>
      <c r="V11" s="11">
        <v>13</v>
      </c>
      <c r="W11" s="19">
        <v>1.0369999999999999</v>
      </c>
      <c r="X11" s="11">
        <v>-2</v>
      </c>
      <c r="Y11" s="19">
        <v>6.4999999999999503E-3</v>
      </c>
      <c r="BO11" s="12">
        <v>9</v>
      </c>
      <c r="BP11" s="12">
        <v>1976</v>
      </c>
      <c r="BQ11" s="12">
        <v>75.099999999999994</v>
      </c>
    </row>
    <row r="12" spans="1:69" ht="17.100000000000001" customHeight="1" x14ac:dyDescent="0.25">
      <c r="A12" s="2">
        <v>4</v>
      </c>
      <c r="B12" s="2">
        <v>1971</v>
      </c>
      <c r="C12" s="34">
        <v>92.8</v>
      </c>
      <c r="D12" s="35">
        <v>49</v>
      </c>
      <c r="E12" s="2">
        <v>54</v>
      </c>
      <c r="F12" s="2">
        <v>2021</v>
      </c>
      <c r="G12" s="34">
        <v>55</v>
      </c>
      <c r="H12" s="34" t="s">
        <v>27</v>
      </c>
      <c r="J12" s="87" t="s">
        <v>8</v>
      </c>
      <c r="K12" s="36" t="s">
        <v>31</v>
      </c>
      <c r="L12" s="17">
        <v>89.215999999999966</v>
      </c>
      <c r="M12" s="89"/>
      <c r="V12" s="11">
        <v>15</v>
      </c>
      <c r="W12" s="19">
        <v>1.0305</v>
      </c>
      <c r="X12" s="11">
        <v>-2</v>
      </c>
      <c r="Y12" s="19">
        <v>4.9999999999998934E-3</v>
      </c>
      <c r="BO12" s="12">
        <v>10</v>
      </c>
      <c r="BP12" s="12">
        <v>1977</v>
      </c>
      <c r="BQ12" s="12">
        <v>40.200000000000003</v>
      </c>
    </row>
    <row r="13" spans="1:69" ht="17.100000000000001" customHeight="1" x14ac:dyDescent="0.25">
      <c r="A13" s="2">
        <v>5</v>
      </c>
      <c r="B13" s="2">
        <v>1972</v>
      </c>
      <c r="C13" s="34">
        <v>62.5</v>
      </c>
      <c r="D13" s="35">
        <v>52.9</v>
      </c>
      <c r="E13" s="2">
        <v>55</v>
      </c>
      <c r="F13" s="2">
        <v>2022</v>
      </c>
      <c r="G13" s="34">
        <v>99.2</v>
      </c>
      <c r="H13" s="34" t="s">
        <v>27</v>
      </c>
      <c r="J13" s="87" t="s">
        <v>11</v>
      </c>
      <c r="K13" s="36" t="s">
        <v>31</v>
      </c>
      <c r="L13" s="21">
        <v>0.96109501077267545</v>
      </c>
      <c r="M13" s="89"/>
      <c r="Q13" s="22"/>
      <c r="V13" s="11">
        <v>17</v>
      </c>
      <c r="W13" s="19">
        <v>1.0255000000000001</v>
      </c>
      <c r="X13" s="11">
        <v>-3</v>
      </c>
      <c r="Y13" s="19">
        <v>5.5000000000000604E-3</v>
      </c>
      <c r="BO13" s="12">
        <v>11</v>
      </c>
      <c r="BP13" s="12">
        <v>1978</v>
      </c>
      <c r="BQ13" s="12">
        <v>150</v>
      </c>
    </row>
    <row r="14" spans="1:69" ht="17.100000000000001" customHeight="1" x14ac:dyDescent="0.25">
      <c r="A14" s="2">
        <v>6</v>
      </c>
      <c r="B14" s="2">
        <v>1973</v>
      </c>
      <c r="C14" s="34">
        <v>98.6</v>
      </c>
      <c r="D14" s="35">
        <v>54.5</v>
      </c>
      <c r="E14" s="2">
        <v>56</v>
      </c>
      <c r="F14" s="2">
        <v>2023</v>
      </c>
      <c r="G14" s="34">
        <v>76</v>
      </c>
      <c r="H14" s="34" t="s">
        <v>27</v>
      </c>
      <c r="J14" s="87" t="s">
        <v>9</v>
      </c>
      <c r="K14" s="36" t="s">
        <v>31</v>
      </c>
      <c r="L14" s="23">
        <v>44.152354765884859</v>
      </c>
      <c r="M14" s="89" t="s">
        <v>3</v>
      </c>
      <c r="Q14" s="19"/>
      <c r="V14" s="11">
        <v>20</v>
      </c>
      <c r="W14" s="19">
        <v>1.02</v>
      </c>
      <c r="X14" s="11">
        <v>-2</v>
      </c>
      <c r="Y14" s="19">
        <v>3.0000000000001137E-3</v>
      </c>
      <c r="BO14" s="12">
        <v>12</v>
      </c>
      <c r="BP14" s="12">
        <v>1979</v>
      </c>
      <c r="BQ14" s="12">
        <v>105.7</v>
      </c>
    </row>
    <row r="15" spans="1:69" ht="17.100000000000001" customHeight="1" x14ac:dyDescent="0.25">
      <c r="A15" s="2">
        <v>7</v>
      </c>
      <c r="B15" s="2">
        <v>1974</v>
      </c>
      <c r="C15" s="34">
        <v>92.3</v>
      </c>
      <c r="D15" s="35">
        <v>55</v>
      </c>
      <c r="E15" s="2">
        <v>57</v>
      </c>
      <c r="F15" s="2">
        <v>2024</v>
      </c>
      <c r="G15" s="34">
        <v>108.2</v>
      </c>
      <c r="H15" s="34" t="s">
        <v>27</v>
      </c>
      <c r="J15" s="87" t="s">
        <v>10</v>
      </c>
      <c r="K15" s="36" t="s">
        <v>31</v>
      </c>
      <c r="L15" s="23">
        <v>36.200391022806471</v>
      </c>
      <c r="M15" s="89" t="s">
        <v>3</v>
      </c>
      <c r="Q15" s="19"/>
      <c r="V15" s="11">
        <v>22</v>
      </c>
      <c r="W15" s="19">
        <v>1.0169999999999999</v>
      </c>
      <c r="X15" s="11">
        <v>-3</v>
      </c>
      <c r="Y15" s="19">
        <v>5.4999999999998384E-3</v>
      </c>
      <c r="BO15" s="12">
        <v>13</v>
      </c>
      <c r="BP15" s="12">
        <v>1980</v>
      </c>
      <c r="BQ15" s="12">
        <v>52.9</v>
      </c>
    </row>
    <row r="16" spans="1:69" ht="17.100000000000001" customHeight="1" x14ac:dyDescent="0.25">
      <c r="A16" s="2">
        <v>8</v>
      </c>
      <c r="B16" s="2">
        <v>1975</v>
      </c>
      <c r="C16" s="34">
        <v>120.1</v>
      </c>
      <c r="D16" s="35">
        <v>57</v>
      </c>
      <c r="E16" s="2" t="s">
        <v>27</v>
      </c>
      <c r="F16" s="2" t="s">
        <v>27</v>
      </c>
      <c r="G16" s="34" t="s">
        <v>27</v>
      </c>
      <c r="H16" s="34" t="s">
        <v>27</v>
      </c>
      <c r="J16" s="87" t="s">
        <v>12</v>
      </c>
      <c r="K16" s="36" t="s">
        <v>31</v>
      </c>
      <c r="L16" s="21">
        <v>0.81989717682684904</v>
      </c>
      <c r="M16" s="89"/>
      <c r="V16" s="11">
        <v>25</v>
      </c>
      <c r="W16" s="19">
        <v>1.0115000000000001</v>
      </c>
      <c r="X16" s="11">
        <v>-2</v>
      </c>
      <c r="Y16" s="19">
        <v>1.5000000000000568E-3</v>
      </c>
      <c r="BO16" s="12">
        <v>14</v>
      </c>
      <c r="BP16" s="12">
        <v>1981</v>
      </c>
      <c r="BQ16" s="12">
        <v>90.1</v>
      </c>
    </row>
    <row r="17" spans="1:69" ht="17.100000000000001" customHeight="1" x14ac:dyDescent="0.25">
      <c r="A17" s="2">
        <v>9</v>
      </c>
      <c r="B17" s="2">
        <v>1976</v>
      </c>
      <c r="C17" s="34">
        <v>75.099999999999994</v>
      </c>
      <c r="D17" s="35">
        <v>58.9</v>
      </c>
      <c r="E17" s="2" t="s">
        <v>27</v>
      </c>
      <c r="F17" s="2" t="s">
        <v>27</v>
      </c>
      <c r="G17" s="34" t="s">
        <v>27</v>
      </c>
      <c r="H17" s="34" t="s">
        <v>27</v>
      </c>
      <c r="J17" s="87" t="s">
        <v>28</v>
      </c>
      <c r="K17" s="36" t="s">
        <v>31</v>
      </c>
      <c r="L17" s="21">
        <v>0.9816748997651582</v>
      </c>
      <c r="M17" s="89"/>
      <c r="V17" s="11">
        <v>27</v>
      </c>
      <c r="W17" s="19">
        <v>1.01</v>
      </c>
      <c r="X17" s="11">
        <v>-3</v>
      </c>
      <c r="Y17" s="19">
        <v>2.4999999999999467E-3</v>
      </c>
      <c r="BO17" s="12">
        <v>15</v>
      </c>
      <c r="BP17" s="12">
        <v>1982</v>
      </c>
      <c r="BQ17" s="12">
        <v>62.6</v>
      </c>
    </row>
    <row r="18" spans="1:69" ht="17.100000000000001" customHeight="1" x14ac:dyDescent="0.25">
      <c r="A18" s="2">
        <v>10</v>
      </c>
      <c r="B18" s="2">
        <v>1977</v>
      </c>
      <c r="C18" s="34">
        <v>40.200000000000003</v>
      </c>
      <c r="D18" s="35">
        <v>62.5</v>
      </c>
      <c r="E18" s="2" t="s">
        <v>27</v>
      </c>
      <c r="F18" s="2" t="s">
        <v>27</v>
      </c>
      <c r="G18" s="34" t="s">
        <v>27</v>
      </c>
      <c r="H18" s="34" t="s">
        <v>27</v>
      </c>
      <c r="J18" s="87" t="s">
        <v>29</v>
      </c>
      <c r="K18" s="36" t="s">
        <v>31</v>
      </c>
      <c r="L18" s="21">
        <v>1</v>
      </c>
      <c r="M18" s="89"/>
      <c r="V18" s="11">
        <v>30</v>
      </c>
      <c r="W18" s="19">
        <v>1.0075000000000001</v>
      </c>
      <c r="X18" s="11">
        <v>-2</v>
      </c>
      <c r="Y18" s="19">
        <v>1.5000000000000568E-3</v>
      </c>
      <c r="BO18" s="12">
        <v>16</v>
      </c>
      <c r="BP18" s="12">
        <v>1983</v>
      </c>
      <c r="BQ18" s="12">
        <v>49</v>
      </c>
    </row>
    <row r="19" spans="1:69" ht="17.100000000000001" customHeight="1" x14ac:dyDescent="0.25">
      <c r="A19" s="2">
        <v>11</v>
      </c>
      <c r="B19" s="2">
        <v>1978</v>
      </c>
      <c r="C19" s="34">
        <v>150</v>
      </c>
      <c r="D19" s="35">
        <v>62.6</v>
      </c>
      <c r="E19" s="2" t="s">
        <v>27</v>
      </c>
      <c r="F19" s="2" t="s">
        <v>27</v>
      </c>
      <c r="G19" s="34" t="s">
        <v>27</v>
      </c>
      <c r="H19" s="34" t="s">
        <v>27</v>
      </c>
      <c r="J19" s="87" t="s">
        <v>32</v>
      </c>
      <c r="K19" s="36" t="s">
        <v>31</v>
      </c>
      <c r="L19" s="21">
        <v>0.88892566063145617</v>
      </c>
      <c r="M19" s="89"/>
      <c r="V19" s="11">
        <v>32</v>
      </c>
      <c r="W19" s="19">
        <v>1.006</v>
      </c>
      <c r="X19" s="11">
        <v>-3</v>
      </c>
      <c r="Y19" s="19">
        <v>2.0000000000000018E-3</v>
      </c>
      <c r="BO19" s="12">
        <v>17</v>
      </c>
      <c r="BP19" s="12">
        <v>1984</v>
      </c>
      <c r="BQ19" s="12">
        <v>98.7</v>
      </c>
    </row>
    <row r="20" spans="1:69" ht="17.100000000000001" customHeight="1" x14ac:dyDescent="0.25">
      <c r="A20" s="2">
        <v>12</v>
      </c>
      <c r="B20" s="2">
        <v>1979</v>
      </c>
      <c r="C20" s="34">
        <v>105.7</v>
      </c>
      <c r="D20" s="35">
        <v>64</v>
      </c>
      <c r="E20" s="2" t="s">
        <v>27</v>
      </c>
      <c r="F20" s="2" t="s">
        <v>27</v>
      </c>
      <c r="G20" s="34" t="s">
        <v>27</v>
      </c>
      <c r="H20" s="34" t="s">
        <v>27</v>
      </c>
      <c r="J20" s="87" t="s">
        <v>33</v>
      </c>
      <c r="K20" s="36" t="s">
        <v>31</v>
      </c>
      <c r="L20" s="21">
        <v>1</v>
      </c>
      <c r="M20" s="89"/>
      <c r="V20" s="11">
        <v>35</v>
      </c>
      <c r="W20" s="19">
        <v>1.004</v>
      </c>
      <c r="X20" s="11">
        <v>-2</v>
      </c>
      <c r="Y20" s="19">
        <v>1.0000000000001119E-3</v>
      </c>
      <c r="BO20" s="12">
        <v>18</v>
      </c>
      <c r="BP20" s="12">
        <v>1985</v>
      </c>
      <c r="BQ20" s="12">
        <v>46.5</v>
      </c>
    </row>
    <row r="21" spans="1:69" ht="17.100000000000001" customHeight="1" x14ac:dyDescent="0.25">
      <c r="A21" s="2">
        <v>13</v>
      </c>
      <c r="B21" s="2">
        <v>1980</v>
      </c>
      <c r="C21" s="34">
        <v>52.9</v>
      </c>
      <c r="D21" s="35">
        <v>65.400000000000006</v>
      </c>
      <c r="E21" s="2" t="s">
        <v>27</v>
      </c>
      <c r="F21" s="2" t="s">
        <v>27</v>
      </c>
      <c r="G21" s="34" t="s">
        <v>27</v>
      </c>
      <c r="H21" s="34" t="s">
        <v>27</v>
      </c>
      <c r="J21" s="91" t="s">
        <v>30</v>
      </c>
      <c r="K21" s="39" t="s">
        <v>31</v>
      </c>
      <c r="L21" s="38">
        <v>91.126378636631571</v>
      </c>
      <c r="M21" s="92" t="s">
        <v>3</v>
      </c>
      <c r="V21" s="11">
        <v>37</v>
      </c>
      <c r="W21" s="19">
        <v>1.0029999999999999</v>
      </c>
      <c r="X21" s="11">
        <v>-3</v>
      </c>
      <c r="Y21" s="19">
        <v>9.9999999999988987E-4</v>
      </c>
      <c r="BO21" s="12">
        <v>19</v>
      </c>
      <c r="BP21" s="12">
        <v>1986</v>
      </c>
      <c r="BQ21" s="12">
        <v>65.400000000000006</v>
      </c>
    </row>
    <row r="22" spans="1:69" ht="17.100000000000001" customHeight="1" x14ac:dyDescent="0.25">
      <c r="A22" s="2">
        <v>14</v>
      </c>
      <c r="B22" s="2">
        <v>1981</v>
      </c>
      <c r="C22" s="34">
        <v>90.1</v>
      </c>
      <c r="D22" s="35">
        <v>68.599999999999994</v>
      </c>
      <c r="E22" s="2" t="s">
        <v>27</v>
      </c>
      <c r="F22" s="2" t="s">
        <v>27</v>
      </c>
      <c r="G22" s="34" t="s">
        <v>27</v>
      </c>
      <c r="H22" s="34" t="s">
        <v>27</v>
      </c>
      <c r="J22" s="87" t="s">
        <v>34</v>
      </c>
      <c r="K22" s="36" t="s">
        <v>31</v>
      </c>
      <c r="L22" s="21">
        <v>39.248161128698619</v>
      </c>
      <c r="M22" s="89" t="s">
        <v>3</v>
      </c>
      <c r="V22" s="11">
        <v>40</v>
      </c>
      <c r="W22" s="19">
        <v>1.002</v>
      </c>
      <c r="X22" s="11">
        <v>-2</v>
      </c>
      <c r="Y22" s="19">
        <v>4.9999999999994493E-4</v>
      </c>
      <c r="BO22" s="12">
        <v>20</v>
      </c>
      <c r="BP22" s="12">
        <v>1987</v>
      </c>
      <c r="BQ22" s="12">
        <v>68.599999999999994</v>
      </c>
    </row>
    <row r="23" spans="1:69" ht="17.25" customHeight="1" x14ac:dyDescent="0.25">
      <c r="A23" s="2">
        <v>15</v>
      </c>
      <c r="B23" s="2">
        <v>1982</v>
      </c>
      <c r="C23" s="34">
        <v>62.6</v>
      </c>
      <c r="D23" s="35">
        <v>69.099999999999994</v>
      </c>
      <c r="E23" s="2" t="s">
        <v>27</v>
      </c>
      <c r="F23" s="2" t="s">
        <v>27</v>
      </c>
      <c r="G23" s="34" t="s">
        <v>27</v>
      </c>
      <c r="H23" s="34" t="s">
        <v>27</v>
      </c>
      <c r="J23" s="93" t="s">
        <v>43</v>
      </c>
      <c r="K23" s="36" t="s">
        <v>31</v>
      </c>
      <c r="L23" s="24">
        <v>5.9189999999999996</v>
      </c>
      <c r="M23" s="94"/>
      <c r="V23" s="11">
        <v>42</v>
      </c>
      <c r="W23" s="19">
        <v>1.0015000000000001</v>
      </c>
      <c r="X23" s="11">
        <v>-3</v>
      </c>
      <c r="Y23" s="19">
        <v>5.0000000000016698E-4</v>
      </c>
      <c r="BO23" s="12">
        <v>21</v>
      </c>
      <c r="BP23" s="12">
        <v>1988</v>
      </c>
      <c r="BQ23" s="12">
        <v>72.400000000000006</v>
      </c>
    </row>
    <row r="24" spans="1:69" ht="17.100000000000001" customHeight="1" x14ac:dyDescent="0.25">
      <c r="A24" s="2">
        <v>16</v>
      </c>
      <c r="B24" s="2">
        <v>1983</v>
      </c>
      <c r="C24" s="34">
        <v>49</v>
      </c>
      <c r="D24" s="35">
        <v>69.099999999999994</v>
      </c>
      <c r="E24" s="2" t="s">
        <v>27</v>
      </c>
      <c r="F24" s="2" t="s">
        <v>27</v>
      </c>
      <c r="G24" s="34" t="s">
        <v>27</v>
      </c>
      <c r="H24" s="34" t="s">
        <v>27</v>
      </c>
      <c r="J24" s="95" t="s">
        <v>1449</v>
      </c>
      <c r="K24" s="78"/>
      <c r="L24" s="78"/>
      <c r="M24" s="96"/>
      <c r="V24" s="11">
        <v>45</v>
      </c>
      <c r="W24" s="19">
        <v>1.0009999999999999</v>
      </c>
      <c r="X24" s="11">
        <v>-5</v>
      </c>
      <c r="Y24" s="19">
        <v>9.9999999999988987E-4</v>
      </c>
      <c r="BO24" s="12">
        <v>22</v>
      </c>
      <c r="BP24" s="12">
        <v>1989</v>
      </c>
      <c r="BQ24" s="12">
        <v>54.5</v>
      </c>
    </row>
    <row r="25" spans="1:69" ht="17.25" customHeight="1" x14ac:dyDescent="0.25">
      <c r="A25" s="2">
        <v>17</v>
      </c>
      <c r="B25" s="2">
        <v>1984</v>
      </c>
      <c r="C25" s="34">
        <v>98.7</v>
      </c>
      <c r="D25" s="35">
        <v>70</v>
      </c>
      <c r="E25" s="2" t="s">
        <v>27</v>
      </c>
      <c r="F25" s="2" t="s">
        <v>27</v>
      </c>
      <c r="G25" s="34" t="s">
        <v>27</v>
      </c>
      <c r="H25" s="34" t="s">
        <v>27</v>
      </c>
      <c r="J25" s="97" t="s">
        <v>48</v>
      </c>
      <c r="K25" s="98" t="s">
        <v>31</v>
      </c>
      <c r="L25" s="99">
        <v>323.43624435739866</v>
      </c>
      <c r="M25" s="100" t="s">
        <v>3</v>
      </c>
      <c r="V25" s="11">
        <v>50</v>
      </c>
      <c r="W25" s="19">
        <v>1</v>
      </c>
      <c r="X25" s="11">
        <v>0</v>
      </c>
      <c r="Y25" s="19">
        <v>0</v>
      </c>
      <c r="BO25" s="12">
        <v>23</v>
      </c>
      <c r="BP25" s="12">
        <v>1990</v>
      </c>
      <c r="BQ25" s="12">
        <v>77.400000000000006</v>
      </c>
    </row>
    <row r="26" spans="1:69" ht="17.100000000000001" customHeight="1" x14ac:dyDescent="0.25">
      <c r="A26" s="2">
        <v>18</v>
      </c>
      <c r="B26" s="2">
        <v>1985</v>
      </c>
      <c r="C26" s="34">
        <v>46.5</v>
      </c>
      <c r="D26" s="35">
        <v>72.400000000000006</v>
      </c>
      <c r="E26" s="2" t="s">
        <v>27</v>
      </c>
      <c r="F26" s="2" t="s">
        <v>27</v>
      </c>
      <c r="G26" s="34" t="s">
        <v>27</v>
      </c>
      <c r="H26" s="34" t="s">
        <v>27</v>
      </c>
      <c r="J26" s="25" t="s">
        <v>49</v>
      </c>
      <c r="K26" s="26"/>
      <c r="V26" s="11">
        <v>50</v>
      </c>
      <c r="W26" s="11">
        <v>1</v>
      </c>
      <c r="BO26" s="12">
        <v>24</v>
      </c>
      <c r="BP26" s="12">
        <v>1991</v>
      </c>
      <c r="BQ26" s="12">
        <v>69.099999999999994</v>
      </c>
    </row>
    <row r="27" spans="1:69" ht="17.100000000000001" customHeight="1" x14ac:dyDescent="0.25">
      <c r="A27" s="2">
        <v>19</v>
      </c>
      <c r="B27" s="2">
        <v>1986</v>
      </c>
      <c r="C27" s="34">
        <v>65.400000000000006</v>
      </c>
      <c r="D27" s="35">
        <v>75</v>
      </c>
      <c r="E27" s="2" t="s">
        <v>27</v>
      </c>
      <c r="F27" s="2" t="s">
        <v>27</v>
      </c>
      <c r="G27" s="34" t="s">
        <v>27</v>
      </c>
      <c r="H27" s="34" t="s">
        <v>27</v>
      </c>
      <c r="J27" s="25" t="s">
        <v>38</v>
      </c>
      <c r="BO27" s="12">
        <v>25</v>
      </c>
      <c r="BP27" s="12">
        <v>1992</v>
      </c>
      <c r="BQ27" s="12">
        <v>57</v>
      </c>
    </row>
    <row r="28" spans="1:69" ht="17.100000000000001" customHeight="1" x14ac:dyDescent="0.25">
      <c r="A28" s="2">
        <v>20</v>
      </c>
      <c r="B28" s="2">
        <v>1987</v>
      </c>
      <c r="C28" s="34">
        <v>68.599999999999994</v>
      </c>
      <c r="D28" s="35">
        <v>75.099999999999994</v>
      </c>
      <c r="E28" s="2" t="s">
        <v>27</v>
      </c>
      <c r="F28" s="2" t="s">
        <v>27</v>
      </c>
      <c r="G28" s="34" t="s">
        <v>27</v>
      </c>
      <c r="H28" s="34" t="s">
        <v>27</v>
      </c>
      <c r="J28" s="101"/>
      <c r="K28" s="26"/>
      <c r="L28" s="102"/>
      <c r="V28" s="11" t="s">
        <v>26</v>
      </c>
      <c r="BO28" s="12">
        <v>26</v>
      </c>
      <c r="BP28" s="12">
        <v>1993</v>
      </c>
      <c r="BQ28" s="12">
        <v>75</v>
      </c>
    </row>
    <row r="29" spans="1:69" ht="17.100000000000001" customHeight="1" x14ac:dyDescent="0.25">
      <c r="A29" s="2">
        <v>21</v>
      </c>
      <c r="B29" s="2">
        <v>1988</v>
      </c>
      <c r="C29" s="34">
        <v>72.400000000000006</v>
      </c>
      <c r="D29" s="35">
        <v>75.400000000000006</v>
      </c>
      <c r="E29" s="2" t="s">
        <v>27</v>
      </c>
      <c r="F29" s="2" t="s">
        <v>27</v>
      </c>
      <c r="G29" s="34" t="s">
        <v>27</v>
      </c>
      <c r="H29" s="34" t="s">
        <v>27</v>
      </c>
      <c r="J29" s="101"/>
      <c r="K29" s="26"/>
      <c r="L29" s="102"/>
      <c r="V29" s="12" t="s">
        <v>13</v>
      </c>
      <c r="W29" s="12" t="s">
        <v>15</v>
      </c>
      <c r="X29" s="12" t="s">
        <v>16</v>
      </c>
      <c r="Y29" s="12" t="s">
        <v>17</v>
      </c>
      <c r="Z29" s="12" t="s">
        <v>18</v>
      </c>
      <c r="AA29" s="12" t="s">
        <v>19</v>
      </c>
      <c r="AB29" s="12" t="s">
        <v>24</v>
      </c>
      <c r="AC29" s="12" t="s">
        <v>20</v>
      </c>
      <c r="AD29" s="12" t="s">
        <v>21</v>
      </c>
      <c r="AE29" s="12" t="s">
        <v>25</v>
      </c>
      <c r="AF29" s="12" t="s">
        <v>22</v>
      </c>
      <c r="AG29" s="12" t="s">
        <v>23</v>
      </c>
      <c r="BO29" s="12">
        <v>27</v>
      </c>
      <c r="BP29" s="12">
        <v>1994</v>
      </c>
      <c r="BQ29" s="12">
        <v>79.2</v>
      </c>
    </row>
    <row r="30" spans="1:69" ht="17.100000000000001" customHeight="1" x14ac:dyDescent="0.25">
      <c r="A30" s="2">
        <v>22</v>
      </c>
      <c r="B30" s="2">
        <v>1989</v>
      </c>
      <c r="C30" s="34">
        <v>54.5</v>
      </c>
      <c r="D30" s="35">
        <v>75.8</v>
      </c>
      <c r="E30" s="2" t="s">
        <v>27</v>
      </c>
      <c r="F30" s="2" t="s">
        <v>27</v>
      </c>
      <c r="G30" s="34" t="s">
        <v>27</v>
      </c>
      <c r="H30" s="34" t="s">
        <v>27</v>
      </c>
      <c r="J30" s="101"/>
      <c r="K30" s="26"/>
      <c r="L30" s="102"/>
      <c r="V30" s="11">
        <v>10</v>
      </c>
      <c r="W30" s="19">
        <v>1.3</v>
      </c>
      <c r="X30" s="11">
        <v>-1</v>
      </c>
      <c r="Y30" s="19">
        <v>6.4999999999999947E-2</v>
      </c>
      <c r="Z30" s="11">
        <v>51</v>
      </c>
      <c r="AA30" s="11">
        <v>50</v>
      </c>
      <c r="AB30" s="11">
        <v>-1</v>
      </c>
      <c r="AC30" s="11">
        <v>51</v>
      </c>
      <c r="AD30" s="11">
        <v>1</v>
      </c>
      <c r="AE30" s="11">
        <v>0</v>
      </c>
      <c r="AF30" s="11">
        <v>1</v>
      </c>
      <c r="AG30" s="11">
        <v>1</v>
      </c>
      <c r="BO30" s="12">
        <v>28</v>
      </c>
      <c r="BP30" s="12">
        <v>1995</v>
      </c>
      <c r="BQ30" s="12">
        <v>75.8</v>
      </c>
    </row>
    <row r="31" spans="1:69" ht="17.100000000000001" customHeight="1" x14ac:dyDescent="0.25">
      <c r="A31" s="2">
        <v>23</v>
      </c>
      <c r="B31" s="2">
        <v>1990</v>
      </c>
      <c r="C31" s="34">
        <v>77.400000000000006</v>
      </c>
      <c r="D31" s="35">
        <v>76</v>
      </c>
      <c r="E31" s="2" t="s">
        <v>27</v>
      </c>
      <c r="F31" s="2" t="s">
        <v>27</v>
      </c>
      <c r="G31" s="34" t="s">
        <v>27</v>
      </c>
      <c r="H31" s="34" t="s">
        <v>27</v>
      </c>
      <c r="V31" s="11">
        <v>11</v>
      </c>
      <c r="W31" s="19">
        <v>1.2350000000000001</v>
      </c>
      <c r="X31" s="11">
        <v>-1</v>
      </c>
      <c r="Y31" s="19">
        <v>3.5000000000000142E-2</v>
      </c>
      <c r="BO31" s="12">
        <v>29</v>
      </c>
      <c r="BP31" s="12">
        <v>1996</v>
      </c>
      <c r="BQ31" s="12">
        <v>134.30000000000001</v>
      </c>
    </row>
    <row r="32" spans="1:69" ht="17.100000000000001" customHeight="1" x14ac:dyDescent="0.25">
      <c r="A32" s="2">
        <v>24</v>
      </c>
      <c r="B32" s="2">
        <v>1991</v>
      </c>
      <c r="C32" s="34">
        <v>69.099999999999994</v>
      </c>
      <c r="D32" s="35">
        <v>77</v>
      </c>
      <c r="E32" s="2" t="s">
        <v>27</v>
      </c>
      <c r="F32" s="2" t="s">
        <v>27</v>
      </c>
      <c r="G32" s="34" t="s">
        <v>27</v>
      </c>
      <c r="H32" s="34" t="s">
        <v>27</v>
      </c>
      <c r="V32" s="11">
        <v>12</v>
      </c>
      <c r="W32" s="19">
        <v>1.2</v>
      </c>
      <c r="X32" s="11">
        <v>-1</v>
      </c>
      <c r="Y32" s="19">
        <v>2.4999999999999911E-2</v>
      </c>
      <c r="BO32" s="12">
        <v>30</v>
      </c>
      <c r="BP32" s="12">
        <v>1997</v>
      </c>
      <c r="BQ32" s="12">
        <v>183.8</v>
      </c>
    </row>
    <row r="33" spans="1:69" ht="17.100000000000001" customHeight="1" x14ac:dyDescent="0.25">
      <c r="A33" s="2">
        <v>25</v>
      </c>
      <c r="B33" s="2">
        <v>1992</v>
      </c>
      <c r="C33" s="34">
        <v>57</v>
      </c>
      <c r="D33" s="35">
        <v>77.400000000000006</v>
      </c>
      <c r="E33" s="2" t="s">
        <v>27</v>
      </c>
      <c r="F33" s="2" t="s">
        <v>27</v>
      </c>
      <c r="G33" s="34" t="s">
        <v>27</v>
      </c>
      <c r="H33" s="34" t="s">
        <v>27</v>
      </c>
      <c r="V33" s="11">
        <v>13</v>
      </c>
      <c r="W33" s="19">
        <v>1.175</v>
      </c>
      <c r="X33" s="11">
        <v>-1</v>
      </c>
      <c r="Y33" s="19">
        <v>2.0000000000000018E-2</v>
      </c>
      <c r="BO33" s="12">
        <v>31</v>
      </c>
      <c r="BP33" s="12">
        <v>1998</v>
      </c>
      <c r="BQ33" s="12">
        <v>211.7</v>
      </c>
    </row>
    <row r="34" spans="1:69" ht="17.100000000000001" customHeight="1" x14ac:dyDescent="0.25">
      <c r="A34" s="2">
        <v>26</v>
      </c>
      <c r="B34" s="2">
        <v>1993</v>
      </c>
      <c r="C34" s="34">
        <v>75</v>
      </c>
      <c r="D34" s="35">
        <v>77.8</v>
      </c>
      <c r="E34" s="2" t="s">
        <v>27</v>
      </c>
      <c r="F34" s="2" t="s">
        <v>27</v>
      </c>
      <c r="G34" s="34" t="s">
        <v>27</v>
      </c>
      <c r="H34" s="34" t="s">
        <v>27</v>
      </c>
      <c r="V34" s="11">
        <v>14</v>
      </c>
      <c r="W34" s="19">
        <v>1.155</v>
      </c>
      <c r="X34" s="11">
        <v>-1</v>
      </c>
      <c r="Y34" s="19">
        <v>1.5000000000000124E-2</v>
      </c>
      <c r="BO34" s="12">
        <v>32</v>
      </c>
      <c r="BP34" s="12">
        <v>1999</v>
      </c>
      <c r="BQ34" s="12">
        <v>77.8</v>
      </c>
    </row>
    <row r="35" spans="1:69" ht="17.100000000000001" customHeight="1" x14ac:dyDescent="0.25">
      <c r="A35" s="2">
        <v>27</v>
      </c>
      <c r="B35" s="2">
        <v>1994</v>
      </c>
      <c r="C35" s="34">
        <v>79.2</v>
      </c>
      <c r="D35" s="35">
        <v>77.8</v>
      </c>
      <c r="E35" s="2" t="s">
        <v>27</v>
      </c>
      <c r="F35" s="2" t="s">
        <v>27</v>
      </c>
      <c r="G35" s="34" t="s">
        <v>27</v>
      </c>
      <c r="H35" s="34" t="s">
        <v>27</v>
      </c>
      <c r="V35" s="11">
        <v>15</v>
      </c>
      <c r="W35" s="19">
        <v>1.1399999999999999</v>
      </c>
      <c r="X35" s="11">
        <v>-2</v>
      </c>
      <c r="Y35" s="19">
        <v>2.3999999999999799E-2</v>
      </c>
      <c r="BO35" s="12">
        <v>33</v>
      </c>
      <c r="BP35" s="12">
        <v>2000</v>
      </c>
      <c r="BQ35" s="12">
        <v>58.9</v>
      </c>
    </row>
    <row r="36" spans="1:69" ht="17.100000000000001" customHeight="1" x14ac:dyDescent="0.25">
      <c r="A36" s="2">
        <v>28</v>
      </c>
      <c r="B36" s="2">
        <v>1995</v>
      </c>
      <c r="C36" s="34">
        <v>75.8</v>
      </c>
      <c r="D36" s="35">
        <v>78.5</v>
      </c>
      <c r="E36" s="2" t="s">
        <v>27</v>
      </c>
      <c r="F36" s="2" t="s">
        <v>27</v>
      </c>
      <c r="G36" s="34" t="s">
        <v>27</v>
      </c>
      <c r="H36" s="34" t="s">
        <v>27</v>
      </c>
      <c r="V36" s="11">
        <v>17</v>
      </c>
      <c r="W36" s="19">
        <v>1.1160000000000001</v>
      </c>
      <c r="X36" s="11">
        <v>-3</v>
      </c>
      <c r="Y36" s="19">
        <v>2.6000000000000023E-2</v>
      </c>
      <c r="BO36" s="12">
        <v>34</v>
      </c>
      <c r="BP36" s="12">
        <v>2001</v>
      </c>
      <c r="BQ36" s="12">
        <v>162</v>
      </c>
    </row>
    <row r="37" spans="1:69" ht="17.100000000000001" customHeight="1" x14ac:dyDescent="0.25">
      <c r="A37" s="2">
        <v>29</v>
      </c>
      <c r="B37" s="2">
        <v>1996</v>
      </c>
      <c r="C37" s="34">
        <v>134.30000000000001</v>
      </c>
      <c r="D37" s="35">
        <v>79.2</v>
      </c>
      <c r="E37" s="2" t="s">
        <v>27</v>
      </c>
      <c r="F37" s="2" t="s">
        <v>27</v>
      </c>
      <c r="G37" s="34" t="s">
        <v>27</v>
      </c>
      <c r="H37" s="34" t="s">
        <v>27</v>
      </c>
      <c r="V37" s="11">
        <v>20</v>
      </c>
      <c r="W37" s="19">
        <v>1.0900000000000001</v>
      </c>
      <c r="X37" s="11">
        <v>-2</v>
      </c>
      <c r="Y37" s="19">
        <v>1.3000000000000123E-2</v>
      </c>
      <c r="BO37" s="12">
        <v>35</v>
      </c>
      <c r="BP37" s="12">
        <v>2002</v>
      </c>
      <c r="BQ37" s="12">
        <v>78.5</v>
      </c>
    </row>
    <row r="38" spans="1:69" ht="17.100000000000001" customHeight="1" x14ac:dyDescent="0.25">
      <c r="A38" s="2">
        <v>30</v>
      </c>
      <c r="B38" s="2">
        <v>1997</v>
      </c>
      <c r="C38" s="34">
        <v>183.8</v>
      </c>
      <c r="D38" s="35">
        <v>90.1</v>
      </c>
      <c r="E38" s="2" t="s">
        <v>27</v>
      </c>
      <c r="F38" s="2" t="s">
        <v>27</v>
      </c>
      <c r="G38" s="34" t="s">
        <v>27</v>
      </c>
      <c r="H38" s="34" t="s">
        <v>27</v>
      </c>
      <c r="V38" s="11">
        <v>22</v>
      </c>
      <c r="W38" s="19">
        <v>1.077</v>
      </c>
      <c r="X38" s="11">
        <v>-3</v>
      </c>
      <c r="Y38" s="19">
        <v>1.6999999999999904E-2</v>
      </c>
      <c r="BO38" s="12">
        <v>36</v>
      </c>
      <c r="BP38" s="12">
        <v>2003</v>
      </c>
      <c r="BQ38" s="12">
        <v>70</v>
      </c>
    </row>
    <row r="39" spans="1:69" ht="17.100000000000001" customHeight="1" x14ac:dyDescent="0.25">
      <c r="A39" s="2">
        <v>31</v>
      </c>
      <c r="B39" s="2">
        <v>1998</v>
      </c>
      <c r="C39" s="34">
        <v>211.7</v>
      </c>
      <c r="D39" s="35">
        <v>92.3</v>
      </c>
      <c r="E39" s="2" t="s">
        <v>27</v>
      </c>
      <c r="F39" s="2" t="s">
        <v>27</v>
      </c>
      <c r="G39" s="34" t="s">
        <v>27</v>
      </c>
      <c r="H39" s="34" t="s">
        <v>27</v>
      </c>
      <c r="V39" s="11">
        <v>25</v>
      </c>
      <c r="W39" s="19">
        <v>1.06</v>
      </c>
      <c r="X39" s="11">
        <v>-2</v>
      </c>
      <c r="Y39" s="19">
        <v>1.0000000000000009E-2</v>
      </c>
      <c r="BO39" s="12">
        <v>37</v>
      </c>
      <c r="BP39" s="12">
        <v>2004</v>
      </c>
      <c r="BQ39" s="12">
        <v>96.5</v>
      </c>
    </row>
    <row r="40" spans="1:69" ht="17.100000000000001" customHeight="1" x14ac:dyDescent="0.25">
      <c r="A40" s="2">
        <v>32</v>
      </c>
      <c r="B40" s="2">
        <v>1999</v>
      </c>
      <c r="C40" s="34">
        <v>77.8</v>
      </c>
      <c r="D40" s="35">
        <v>92.8</v>
      </c>
      <c r="E40" s="2" t="s">
        <v>27</v>
      </c>
      <c r="F40" s="2" t="s">
        <v>27</v>
      </c>
      <c r="G40" s="34" t="s">
        <v>27</v>
      </c>
      <c r="H40" s="34" t="s">
        <v>27</v>
      </c>
      <c r="V40" s="11">
        <v>27</v>
      </c>
      <c r="W40" s="19">
        <v>1.05</v>
      </c>
      <c r="X40" s="11">
        <v>-3</v>
      </c>
      <c r="Y40" s="19">
        <v>1.3000000000000123E-2</v>
      </c>
      <c r="BO40" s="12">
        <v>38</v>
      </c>
      <c r="BP40" s="12">
        <v>2005</v>
      </c>
      <c r="BQ40" s="12">
        <v>0</v>
      </c>
    </row>
    <row r="41" spans="1:69" ht="17.100000000000001" customHeight="1" x14ac:dyDescent="0.25">
      <c r="A41" s="2">
        <v>33</v>
      </c>
      <c r="B41" s="2">
        <v>2000</v>
      </c>
      <c r="C41" s="34">
        <v>58.9</v>
      </c>
      <c r="D41" s="35">
        <v>93.1</v>
      </c>
      <c r="E41" s="2" t="s">
        <v>27</v>
      </c>
      <c r="F41" s="2" t="s">
        <v>27</v>
      </c>
      <c r="G41" s="34" t="s">
        <v>27</v>
      </c>
      <c r="H41" s="34" t="s">
        <v>27</v>
      </c>
      <c r="V41" s="11">
        <v>30</v>
      </c>
      <c r="W41" s="19">
        <v>1.0369999999999999</v>
      </c>
      <c r="X41" s="11">
        <v>-2</v>
      </c>
      <c r="Y41" s="19">
        <v>4.9999999999998934E-3</v>
      </c>
      <c r="BO41" s="12">
        <v>39</v>
      </c>
      <c r="BP41" s="12">
        <v>2006</v>
      </c>
      <c r="BQ41" s="12">
        <v>0</v>
      </c>
    </row>
    <row r="42" spans="1:69" ht="17.100000000000001" customHeight="1" x14ac:dyDescent="0.25">
      <c r="A42" s="2">
        <v>34</v>
      </c>
      <c r="B42" s="2">
        <v>2001</v>
      </c>
      <c r="C42" s="34">
        <v>162</v>
      </c>
      <c r="D42" s="35">
        <v>96.5</v>
      </c>
      <c r="E42" s="2" t="s">
        <v>27</v>
      </c>
      <c r="F42" s="2" t="s">
        <v>27</v>
      </c>
      <c r="G42" s="34" t="s">
        <v>27</v>
      </c>
      <c r="H42" s="34" t="s">
        <v>27</v>
      </c>
      <c r="V42" s="11">
        <v>32</v>
      </c>
      <c r="W42" s="19">
        <v>1.032</v>
      </c>
      <c r="X42" s="11">
        <v>-3</v>
      </c>
      <c r="Y42" s="19">
        <v>7.0000000000001172E-3</v>
      </c>
      <c r="BO42" s="12">
        <v>40</v>
      </c>
      <c r="BP42" s="12">
        <v>2007</v>
      </c>
      <c r="BQ42" s="12">
        <v>0</v>
      </c>
    </row>
    <row r="43" spans="1:69" ht="17.100000000000001" customHeight="1" x14ac:dyDescent="0.25">
      <c r="A43" s="2">
        <v>35</v>
      </c>
      <c r="B43" s="2">
        <v>2002</v>
      </c>
      <c r="C43" s="34">
        <v>78.5</v>
      </c>
      <c r="D43" s="35">
        <v>96.7</v>
      </c>
      <c r="E43" s="2" t="s">
        <v>27</v>
      </c>
      <c r="F43" s="2" t="s">
        <v>27</v>
      </c>
      <c r="G43" s="34" t="s">
        <v>27</v>
      </c>
      <c r="H43" s="34" t="s">
        <v>27</v>
      </c>
      <c r="V43" s="11">
        <v>35</v>
      </c>
      <c r="W43" s="19">
        <v>1.0249999999999999</v>
      </c>
      <c r="X43" s="11">
        <v>-2</v>
      </c>
      <c r="Y43" s="19">
        <v>4.9999999999998934E-3</v>
      </c>
      <c r="BO43" s="12">
        <v>41</v>
      </c>
      <c r="BP43" s="12">
        <v>2008</v>
      </c>
      <c r="BQ43" s="12">
        <v>0</v>
      </c>
    </row>
    <row r="44" spans="1:69" ht="17.100000000000001" customHeight="1" x14ac:dyDescent="0.25">
      <c r="A44" s="2">
        <v>36</v>
      </c>
      <c r="B44" s="2">
        <v>2003</v>
      </c>
      <c r="C44" s="34">
        <v>70</v>
      </c>
      <c r="D44" s="35">
        <v>98.6</v>
      </c>
      <c r="E44" s="2" t="s">
        <v>27</v>
      </c>
      <c r="F44" s="2" t="s">
        <v>27</v>
      </c>
      <c r="G44" s="34" t="s">
        <v>27</v>
      </c>
      <c r="H44" s="34" t="s">
        <v>27</v>
      </c>
      <c r="V44" s="11">
        <v>37</v>
      </c>
      <c r="W44" s="19">
        <v>1.02</v>
      </c>
      <c r="X44" s="11">
        <v>-3</v>
      </c>
      <c r="Y44" s="19">
        <v>5.0000000000001155E-3</v>
      </c>
      <c r="BO44" s="12">
        <v>42</v>
      </c>
      <c r="BP44" s="12">
        <v>2009</v>
      </c>
      <c r="BQ44" s="12">
        <v>0</v>
      </c>
    </row>
    <row r="45" spans="1:69" ht="17.100000000000001" customHeight="1" x14ac:dyDescent="0.25">
      <c r="A45" s="2">
        <v>37</v>
      </c>
      <c r="B45" s="2">
        <v>2004</v>
      </c>
      <c r="C45" s="34">
        <v>96.5</v>
      </c>
      <c r="D45" s="35">
        <v>98.7</v>
      </c>
      <c r="E45" s="2" t="s">
        <v>27</v>
      </c>
      <c r="F45" s="2" t="s">
        <v>27</v>
      </c>
      <c r="G45" s="34" t="s">
        <v>27</v>
      </c>
      <c r="H45" s="34" t="s">
        <v>27</v>
      </c>
      <c r="V45" s="11">
        <v>40</v>
      </c>
      <c r="W45" s="19">
        <v>1.0149999999999999</v>
      </c>
      <c r="X45" s="11">
        <v>-5</v>
      </c>
      <c r="Y45" s="19">
        <v>8.999999999999897E-3</v>
      </c>
      <c r="BO45" s="12">
        <v>43</v>
      </c>
      <c r="BP45" s="12">
        <v>2010</v>
      </c>
      <c r="BQ45" s="12">
        <v>0</v>
      </c>
    </row>
    <row r="46" spans="1:69" ht="17.100000000000001" customHeight="1" x14ac:dyDescent="0.25">
      <c r="A46" s="2">
        <v>38</v>
      </c>
      <c r="B46" s="2">
        <v>2005</v>
      </c>
      <c r="C46" s="34" t="s">
        <v>1455</v>
      </c>
      <c r="D46" s="35">
        <v>99.2</v>
      </c>
      <c r="E46" s="2" t="s">
        <v>27</v>
      </c>
      <c r="F46" s="2" t="s">
        <v>27</v>
      </c>
      <c r="G46" s="34" t="s">
        <v>27</v>
      </c>
      <c r="H46" s="34" t="s">
        <v>27</v>
      </c>
      <c r="V46" s="11">
        <v>45</v>
      </c>
      <c r="W46" s="19">
        <v>1.006</v>
      </c>
      <c r="X46" s="11">
        <v>-5</v>
      </c>
      <c r="Y46" s="19">
        <v>6.0000000000000053E-3</v>
      </c>
      <c r="BO46" s="12">
        <v>44</v>
      </c>
      <c r="BP46" s="12">
        <v>2011</v>
      </c>
      <c r="BQ46" s="12">
        <v>127.6</v>
      </c>
    </row>
    <row r="47" spans="1:69" ht="17.100000000000001" customHeight="1" x14ac:dyDescent="0.25">
      <c r="A47" s="2">
        <v>39</v>
      </c>
      <c r="B47" s="2">
        <v>2006</v>
      </c>
      <c r="C47" s="34" t="s">
        <v>1455</v>
      </c>
      <c r="D47" s="35">
        <v>105.7</v>
      </c>
      <c r="E47" s="2" t="s">
        <v>27</v>
      </c>
      <c r="F47" s="2" t="s">
        <v>27</v>
      </c>
      <c r="G47" s="34" t="s">
        <v>27</v>
      </c>
      <c r="H47" s="34" t="s">
        <v>27</v>
      </c>
      <c r="V47" s="11">
        <v>50</v>
      </c>
      <c r="W47" s="11">
        <v>1</v>
      </c>
      <c r="X47" s="11">
        <v>-1</v>
      </c>
      <c r="Y47" s="19">
        <v>0</v>
      </c>
      <c r="BO47" s="12">
        <v>45</v>
      </c>
      <c r="BP47" s="12">
        <v>2012</v>
      </c>
      <c r="BQ47" s="12">
        <v>142.19999999999999</v>
      </c>
    </row>
    <row r="48" spans="1:69" ht="17.100000000000001" customHeight="1" x14ac:dyDescent="0.25">
      <c r="A48" s="2">
        <v>40</v>
      </c>
      <c r="B48" s="2">
        <v>2007</v>
      </c>
      <c r="C48" s="34" t="s">
        <v>1455</v>
      </c>
      <c r="D48" s="35">
        <v>108.2</v>
      </c>
      <c r="E48" s="2" t="s">
        <v>27</v>
      </c>
      <c r="F48" s="2" t="s">
        <v>27</v>
      </c>
      <c r="G48" s="34" t="s">
        <v>27</v>
      </c>
      <c r="H48" s="34" t="s">
        <v>27</v>
      </c>
      <c r="V48" s="11">
        <v>51</v>
      </c>
      <c r="W48" s="11">
        <v>1</v>
      </c>
      <c r="X48" s="11" t="s">
        <v>27</v>
      </c>
      <c r="Y48" s="11" t="s">
        <v>27</v>
      </c>
      <c r="BO48" s="12">
        <v>46</v>
      </c>
      <c r="BP48" s="12">
        <v>2013</v>
      </c>
      <c r="BQ48" s="12">
        <v>77</v>
      </c>
    </row>
    <row r="49" spans="1:69" ht="17.100000000000001" customHeight="1" x14ac:dyDescent="0.25">
      <c r="A49" s="2">
        <v>41</v>
      </c>
      <c r="B49" s="2">
        <v>2008</v>
      </c>
      <c r="C49" s="34" t="s">
        <v>1455</v>
      </c>
      <c r="D49" s="35">
        <v>111.2</v>
      </c>
      <c r="E49" s="2" t="s">
        <v>27</v>
      </c>
      <c r="F49" s="2" t="s">
        <v>27</v>
      </c>
      <c r="G49" s="34" t="s">
        <v>27</v>
      </c>
      <c r="H49" s="34" t="s">
        <v>27</v>
      </c>
      <c r="AF49" s="12"/>
      <c r="AG49" s="103"/>
      <c r="AH49" s="103"/>
      <c r="AI49" s="103"/>
      <c r="AJ49" s="103"/>
      <c r="AK49" s="103"/>
      <c r="AL49" s="103"/>
      <c r="AM49" s="103"/>
      <c r="AN49" s="103"/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O49" s="12">
        <v>47</v>
      </c>
      <c r="BP49" s="12">
        <v>2014</v>
      </c>
      <c r="BQ49" s="12">
        <v>111.2</v>
      </c>
    </row>
    <row r="50" spans="1:69" ht="17.100000000000001" customHeight="1" x14ac:dyDescent="0.25">
      <c r="A50" s="2">
        <v>42</v>
      </c>
      <c r="B50" s="2">
        <v>2009</v>
      </c>
      <c r="C50" s="34" t="s">
        <v>1455</v>
      </c>
      <c r="D50" s="35">
        <v>120.1</v>
      </c>
      <c r="E50" s="2" t="s">
        <v>27</v>
      </c>
      <c r="F50" s="2" t="s">
        <v>27</v>
      </c>
      <c r="G50" s="34" t="s">
        <v>27</v>
      </c>
      <c r="H50" s="34" t="s">
        <v>27</v>
      </c>
      <c r="V50" s="12"/>
      <c r="W50" s="27"/>
      <c r="X50" s="27"/>
      <c r="Y50" s="27"/>
      <c r="Z50" s="27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O50" s="12">
        <v>48</v>
      </c>
      <c r="BP50" s="12">
        <v>2015</v>
      </c>
      <c r="BQ50" s="12">
        <v>273.39999999999998</v>
      </c>
    </row>
    <row r="51" spans="1:69" ht="17.100000000000001" customHeight="1" x14ac:dyDescent="0.25">
      <c r="A51" s="2">
        <v>43</v>
      </c>
      <c r="B51" s="2">
        <v>2010</v>
      </c>
      <c r="C51" s="34" t="s">
        <v>1455</v>
      </c>
      <c r="D51" s="35">
        <v>127.6</v>
      </c>
      <c r="E51" s="2" t="s">
        <v>27</v>
      </c>
      <c r="F51" s="2" t="s">
        <v>27</v>
      </c>
      <c r="G51" s="104" t="s">
        <v>27</v>
      </c>
      <c r="H51" s="3" t="s">
        <v>27</v>
      </c>
      <c r="W51" s="28"/>
      <c r="X51" s="28"/>
      <c r="Y51" s="28"/>
      <c r="Z51" s="28"/>
      <c r="AF51" s="19"/>
      <c r="AG51" s="12"/>
      <c r="AH51" s="12"/>
      <c r="AI51" s="12"/>
      <c r="AJ51" s="12"/>
      <c r="AK51" s="12"/>
      <c r="AL51" s="12"/>
      <c r="AM51" s="105"/>
      <c r="AN51" s="12"/>
      <c r="AO51" s="12"/>
      <c r="AP51" s="12"/>
      <c r="AQ51" s="12"/>
      <c r="AR51" s="12"/>
      <c r="AS51" s="12"/>
      <c r="AT51" s="105"/>
      <c r="AU51" s="12"/>
      <c r="AV51" s="12"/>
      <c r="AW51" s="12"/>
      <c r="AX51" s="12"/>
      <c r="AY51" s="12"/>
      <c r="AZ51" s="12"/>
      <c r="BA51" s="105"/>
      <c r="BB51" s="12"/>
      <c r="BC51" s="12"/>
      <c r="BD51" s="12"/>
      <c r="BE51" s="12"/>
      <c r="BF51" s="12"/>
      <c r="BG51" s="12"/>
      <c r="BH51" s="106"/>
      <c r="BO51" s="12">
        <v>49</v>
      </c>
      <c r="BP51" s="12">
        <v>2016</v>
      </c>
      <c r="BQ51" s="12">
        <v>64</v>
      </c>
    </row>
    <row r="52" spans="1:69" ht="17.100000000000001" customHeight="1" x14ac:dyDescent="0.25">
      <c r="A52" s="2">
        <v>44</v>
      </c>
      <c r="B52" s="2">
        <v>2011</v>
      </c>
      <c r="C52" s="34">
        <v>127.6</v>
      </c>
      <c r="D52" s="35">
        <v>134.30000000000001</v>
      </c>
      <c r="E52" s="2" t="s">
        <v>27</v>
      </c>
      <c r="F52" s="2" t="s">
        <v>27</v>
      </c>
      <c r="G52" s="104" t="s">
        <v>27</v>
      </c>
      <c r="H52" s="3" t="s">
        <v>27</v>
      </c>
      <c r="W52" s="28"/>
      <c r="X52" s="28"/>
      <c r="Y52" s="28"/>
      <c r="Z52" s="28"/>
      <c r="BO52" s="12">
        <v>50</v>
      </c>
      <c r="BP52" s="12">
        <v>2017</v>
      </c>
      <c r="BQ52" s="12">
        <v>140.30000000000001</v>
      </c>
    </row>
    <row r="53" spans="1:69" ht="17.100000000000001" customHeight="1" x14ac:dyDescent="0.25">
      <c r="A53" s="2">
        <v>45</v>
      </c>
      <c r="B53" s="2">
        <v>2012</v>
      </c>
      <c r="C53" s="34">
        <v>142.19999999999999</v>
      </c>
      <c r="D53" s="35">
        <v>140.30000000000001</v>
      </c>
      <c r="E53" s="2" t="s">
        <v>27</v>
      </c>
      <c r="F53" s="2" t="s">
        <v>27</v>
      </c>
      <c r="G53" s="104" t="s">
        <v>27</v>
      </c>
      <c r="H53" s="3" t="s">
        <v>27</v>
      </c>
      <c r="W53" s="28"/>
      <c r="X53" s="28"/>
      <c r="Y53" s="28"/>
      <c r="Z53" s="28"/>
      <c r="BO53" s="12">
        <v>51</v>
      </c>
      <c r="BP53" s="12">
        <v>2018</v>
      </c>
      <c r="BQ53" s="12">
        <v>75.400000000000006</v>
      </c>
    </row>
    <row r="54" spans="1:69" ht="17.100000000000001" customHeight="1" x14ac:dyDescent="0.25">
      <c r="A54" s="2">
        <v>46</v>
      </c>
      <c r="B54" s="2">
        <v>2013</v>
      </c>
      <c r="C54" s="34">
        <v>77</v>
      </c>
      <c r="D54" s="35">
        <v>142.19999999999999</v>
      </c>
      <c r="E54" s="2" t="s">
        <v>27</v>
      </c>
      <c r="F54" s="2" t="s">
        <v>27</v>
      </c>
      <c r="G54" s="104" t="s">
        <v>27</v>
      </c>
      <c r="H54" s="3" t="s">
        <v>27</v>
      </c>
      <c r="W54" s="28"/>
      <c r="X54" s="28"/>
      <c r="Y54" s="28"/>
      <c r="Z54" s="28"/>
      <c r="BO54" s="12">
        <v>52</v>
      </c>
      <c r="BP54" s="12">
        <v>2019</v>
      </c>
      <c r="BQ54" s="12">
        <v>77.8</v>
      </c>
    </row>
    <row r="55" spans="1:69" ht="17.100000000000001" customHeight="1" x14ac:dyDescent="0.25">
      <c r="A55" s="2">
        <v>47</v>
      </c>
      <c r="B55" s="2">
        <v>2014</v>
      </c>
      <c r="C55" s="34">
        <v>111.2</v>
      </c>
      <c r="D55" s="35">
        <v>150</v>
      </c>
      <c r="E55" s="2" t="s">
        <v>27</v>
      </c>
      <c r="F55" s="2" t="s">
        <v>27</v>
      </c>
      <c r="G55" s="104" t="s">
        <v>27</v>
      </c>
      <c r="H55" s="3" t="s">
        <v>27</v>
      </c>
      <c r="W55" s="28"/>
      <c r="X55" s="28"/>
      <c r="Y55" s="28"/>
      <c r="Z55" s="28"/>
      <c r="BO55" s="12">
        <v>53</v>
      </c>
      <c r="BP55" s="12">
        <v>2020</v>
      </c>
      <c r="BQ55" s="12">
        <v>43</v>
      </c>
    </row>
    <row r="56" spans="1:69" ht="17.100000000000001" customHeight="1" x14ac:dyDescent="0.25">
      <c r="A56" s="2">
        <v>48</v>
      </c>
      <c r="B56" s="2">
        <v>2015</v>
      </c>
      <c r="C56" s="34">
        <v>273.39999999999998</v>
      </c>
      <c r="D56" s="35">
        <v>162</v>
      </c>
      <c r="E56" s="2" t="s">
        <v>27</v>
      </c>
      <c r="F56" s="2" t="s">
        <v>27</v>
      </c>
      <c r="G56" s="104" t="s">
        <v>27</v>
      </c>
      <c r="H56" s="3" t="s">
        <v>27</v>
      </c>
      <c r="W56" s="28"/>
      <c r="X56" s="28"/>
      <c r="Y56" s="28"/>
      <c r="Z56" s="28"/>
      <c r="BO56" s="12">
        <v>54</v>
      </c>
      <c r="BP56" s="12">
        <v>2021</v>
      </c>
      <c r="BQ56" s="12">
        <v>55</v>
      </c>
    </row>
    <row r="57" spans="1:69" ht="17.100000000000001" customHeight="1" x14ac:dyDescent="0.25">
      <c r="A57" s="2">
        <v>49</v>
      </c>
      <c r="B57" s="2">
        <v>2016</v>
      </c>
      <c r="C57" s="34">
        <v>64</v>
      </c>
      <c r="D57" s="35">
        <v>183.8</v>
      </c>
      <c r="E57" s="2" t="s">
        <v>27</v>
      </c>
      <c r="F57" s="2" t="s">
        <v>27</v>
      </c>
      <c r="G57" s="104" t="s">
        <v>27</v>
      </c>
      <c r="H57" s="3" t="s">
        <v>27</v>
      </c>
      <c r="W57" s="28"/>
      <c r="X57" s="28"/>
      <c r="Y57" s="28"/>
      <c r="Z57" s="28"/>
      <c r="BO57" s="12">
        <v>55</v>
      </c>
      <c r="BP57" s="12">
        <v>2022</v>
      </c>
      <c r="BQ57" s="12">
        <v>99.2</v>
      </c>
    </row>
    <row r="58" spans="1:69" ht="17.100000000000001" customHeight="1" x14ac:dyDescent="0.25">
      <c r="A58" s="2">
        <v>50</v>
      </c>
      <c r="B58" s="2">
        <v>2017</v>
      </c>
      <c r="C58" s="34">
        <v>140.30000000000001</v>
      </c>
      <c r="D58" s="35">
        <v>211.7</v>
      </c>
      <c r="E58" s="2" t="s">
        <v>27</v>
      </c>
      <c r="F58" s="2" t="s">
        <v>27</v>
      </c>
      <c r="G58" s="104" t="s">
        <v>27</v>
      </c>
      <c r="H58" s="3" t="s">
        <v>27</v>
      </c>
      <c r="W58" s="28"/>
      <c r="X58" s="28"/>
      <c r="Y58" s="28"/>
      <c r="Z58" s="28"/>
      <c r="BO58" s="12">
        <v>56</v>
      </c>
      <c r="BP58" s="12">
        <v>2023</v>
      </c>
      <c r="BQ58" s="12">
        <v>76</v>
      </c>
    </row>
    <row r="59" spans="1:69" x14ac:dyDescent="0.25">
      <c r="A59"/>
      <c r="B59"/>
      <c r="C59"/>
      <c r="D59"/>
      <c r="E59"/>
      <c r="F59"/>
      <c r="G59"/>
      <c r="H59"/>
      <c r="W59" s="28"/>
      <c r="X59" s="28"/>
      <c r="Y59" s="28"/>
      <c r="Z59" s="28"/>
      <c r="BO59" s="12">
        <v>57</v>
      </c>
      <c r="BP59" s="12">
        <v>2024</v>
      </c>
      <c r="BQ59" s="12">
        <v>108.2</v>
      </c>
    </row>
    <row r="60" spans="1:69" x14ac:dyDescent="0.25">
      <c r="A60"/>
      <c r="B60"/>
      <c r="C60"/>
      <c r="D60"/>
      <c r="E60"/>
      <c r="F60"/>
      <c r="G60"/>
      <c r="H60"/>
      <c r="W60" s="28"/>
      <c r="X60" s="28"/>
      <c r="Y60" s="28"/>
      <c r="Z60" s="28"/>
      <c r="BO60" s="12" t="s">
        <v>27</v>
      </c>
      <c r="BP60" s="12" t="s">
        <v>27</v>
      </c>
      <c r="BQ60" s="12">
        <v>0</v>
      </c>
    </row>
    <row r="61" spans="1:69" x14ac:dyDescent="0.25">
      <c r="A61"/>
      <c r="B61"/>
      <c r="C61"/>
      <c r="D61"/>
      <c r="E61"/>
      <c r="F61"/>
      <c r="G61"/>
      <c r="H61"/>
      <c r="W61" s="28"/>
      <c r="X61" s="28"/>
      <c r="Y61" s="28"/>
      <c r="Z61" s="28"/>
      <c r="BO61" s="12" t="s">
        <v>27</v>
      </c>
      <c r="BP61" s="12" t="s">
        <v>27</v>
      </c>
      <c r="BQ61" s="12">
        <v>0</v>
      </c>
    </row>
    <row r="62" spans="1:69" x14ac:dyDescent="0.25">
      <c r="A62"/>
      <c r="B62"/>
      <c r="C62"/>
      <c r="D62"/>
      <c r="E62"/>
      <c r="F62"/>
      <c r="G62"/>
      <c r="H62"/>
      <c r="W62" s="28"/>
      <c r="X62" s="28"/>
      <c r="Y62" s="28"/>
      <c r="Z62" s="28"/>
      <c r="BO62" s="12" t="s">
        <v>27</v>
      </c>
      <c r="BP62" s="12" t="s">
        <v>27</v>
      </c>
      <c r="BQ62" s="12">
        <v>0</v>
      </c>
    </row>
    <row r="63" spans="1:69" x14ac:dyDescent="0.25">
      <c r="A63"/>
      <c r="B63"/>
      <c r="C63"/>
      <c r="D63"/>
      <c r="E63"/>
      <c r="F63"/>
      <c r="G63"/>
      <c r="H63"/>
      <c r="W63" s="28"/>
      <c r="X63" s="28"/>
      <c r="Y63" s="28"/>
      <c r="Z63" s="28"/>
      <c r="BO63" s="12" t="s">
        <v>27</v>
      </c>
      <c r="BP63" s="12" t="s">
        <v>27</v>
      </c>
      <c r="BQ63" s="12">
        <v>0</v>
      </c>
    </row>
    <row r="64" spans="1:69" x14ac:dyDescent="0.25">
      <c r="A64"/>
      <c r="B64"/>
      <c r="C64"/>
      <c r="D64"/>
      <c r="E64"/>
      <c r="F64"/>
      <c r="G64"/>
      <c r="H64"/>
      <c r="W64" s="28"/>
      <c r="X64" s="28"/>
      <c r="Y64" s="28"/>
      <c r="Z64" s="28"/>
      <c r="BO64" s="12" t="s">
        <v>27</v>
      </c>
      <c r="BP64" s="12" t="s">
        <v>27</v>
      </c>
      <c r="BQ64" s="12">
        <v>0</v>
      </c>
    </row>
    <row r="65" spans="1:69" x14ac:dyDescent="0.25">
      <c r="A65"/>
      <c r="B65"/>
      <c r="C65"/>
      <c r="D65"/>
      <c r="E65"/>
      <c r="F65"/>
      <c r="G65"/>
      <c r="H65"/>
      <c r="W65" s="28"/>
      <c r="X65" s="28"/>
      <c r="Y65" s="28"/>
      <c r="Z65" s="28"/>
      <c r="BO65" s="12" t="s">
        <v>27</v>
      </c>
      <c r="BP65" s="12" t="s">
        <v>27</v>
      </c>
      <c r="BQ65" s="12">
        <v>0</v>
      </c>
    </row>
    <row r="66" spans="1:69" x14ac:dyDescent="0.25">
      <c r="A66"/>
      <c r="B66"/>
      <c r="C66"/>
      <c r="D66"/>
      <c r="E66"/>
      <c r="F66"/>
      <c r="G66"/>
      <c r="H66"/>
      <c r="W66" s="28"/>
      <c r="X66" s="28"/>
      <c r="Y66" s="28"/>
      <c r="Z66" s="28"/>
      <c r="BO66" s="12" t="s">
        <v>27</v>
      </c>
      <c r="BP66" s="12" t="s">
        <v>27</v>
      </c>
      <c r="BQ66" s="12">
        <v>0</v>
      </c>
    </row>
    <row r="67" spans="1:69" x14ac:dyDescent="0.25">
      <c r="A67"/>
      <c r="B67"/>
      <c r="C67"/>
      <c r="D67"/>
      <c r="E67"/>
      <c r="F67"/>
      <c r="G67"/>
      <c r="H67"/>
      <c r="W67" s="28"/>
      <c r="X67" s="28"/>
      <c r="Y67" s="28"/>
      <c r="Z67" s="28"/>
      <c r="BO67" s="12" t="s">
        <v>27</v>
      </c>
      <c r="BP67" s="12" t="s">
        <v>27</v>
      </c>
      <c r="BQ67" s="12">
        <v>0</v>
      </c>
    </row>
    <row r="68" spans="1:69" x14ac:dyDescent="0.25">
      <c r="A68"/>
      <c r="B68"/>
      <c r="C68"/>
      <c r="D68"/>
      <c r="E68"/>
      <c r="F68"/>
      <c r="G68"/>
      <c r="H68"/>
      <c r="W68" s="28"/>
      <c r="X68" s="28"/>
      <c r="Y68" s="28"/>
      <c r="Z68" s="28"/>
      <c r="BO68" s="12" t="s">
        <v>27</v>
      </c>
      <c r="BP68" s="12" t="s">
        <v>27</v>
      </c>
      <c r="BQ68" s="12">
        <v>0</v>
      </c>
    </row>
    <row r="69" spans="1:69" x14ac:dyDescent="0.25">
      <c r="A69"/>
      <c r="B69"/>
      <c r="C69"/>
      <c r="D69"/>
      <c r="E69"/>
      <c r="F69"/>
      <c r="G69"/>
      <c r="H69"/>
      <c r="W69" s="28"/>
      <c r="X69" s="28"/>
      <c r="Y69" s="28"/>
      <c r="Z69" s="28"/>
      <c r="BO69" s="12" t="s">
        <v>27</v>
      </c>
      <c r="BP69" s="12" t="s">
        <v>27</v>
      </c>
      <c r="BQ69" s="12">
        <v>0</v>
      </c>
    </row>
    <row r="70" spans="1:69" x14ac:dyDescent="0.25">
      <c r="A70"/>
      <c r="B70"/>
      <c r="C70"/>
      <c r="D70"/>
      <c r="E70"/>
      <c r="F70"/>
      <c r="G70"/>
      <c r="H70"/>
      <c r="W70" s="28"/>
      <c r="X70" s="28"/>
      <c r="Y70" s="28"/>
      <c r="Z70" s="28"/>
      <c r="BO70" s="12" t="s">
        <v>27</v>
      </c>
      <c r="BP70" s="12" t="s">
        <v>27</v>
      </c>
      <c r="BQ70" s="12">
        <v>0</v>
      </c>
    </row>
    <row r="71" spans="1:69" x14ac:dyDescent="0.25">
      <c r="A71"/>
      <c r="B71"/>
      <c r="C71"/>
      <c r="D71"/>
      <c r="E71"/>
      <c r="F71"/>
      <c r="G71"/>
      <c r="H71"/>
      <c r="W71" s="28"/>
      <c r="X71" s="28"/>
      <c r="Y71" s="28"/>
      <c r="Z71" s="28"/>
      <c r="BO71" s="12" t="s">
        <v>27</v>
      </c>
      <c r="BP71" s="12" t="s">
        <v>27</v>
      </c>
      <c r="BQ71" s="12">
        <v>0</v>
      </c>
    </row>
    <row r="72" spans="1:69" x14ac:dyDescent="0.25">
      <c r="A72"/>
      <c r="B72"/>
      <c r="C72"/>
      <c r="D72"/>
      <c r="E72"/>
      <c r="F72"/>
      <c r="G72"/>
      <c r="H72"/>
      <c r="W72" s="28"/>
      <c r="X72" s="28"/>
      <c r="Y72" s="28"/>
      <c r="Z72" s="28"/>
      <c r="BO72" s="12" t="s">
        <v>27</v>
      </c>
      <c r="BP72" s="12" t="s">
        <v>27</v>
      </c>
      <c r="BQ72" s="12">
        <v>0</v>
      </c>
    </row>
    <row r="73" spans="1:69" x14ac:dyDescent="0.25">
      <c r="A73"/>
      <c r="B73"/>
      <c r="C73"/>
      <c r="D73"/>
      <c r="E73"/>
      <c r="F73"/>
      <c r="G73"/>
      <c r="H73"/>
      <c r="W73" s="28"/>
      <c r="X73" s="28"/>
      <c r="Y73" s="28"/>
      <c r="Z73" s="28"/>
      <c r="BO73" s="12" t="s">
        <v>27</v>
      </c>
      <c r="BP73" s="12" t="s">
        <v>27</v>
      </c>
      <c r="BQ73" s="12">
        <v>0</v>
      </c>
    </row>
    <row r="74" spans="1:69" x14ac:dyDescent="0.25">
      <c r="A74"/>
      <c r="B74"/>
      <c r="C74"/>
      <c r="D74"/>
      <c r="E74"/>
      <c r="F74"/>
      <c r="G74"/>
      <c r="H74"/>
      <c r="W74" s="28"/>
      <c r="X74" s="28"/>
      <c r="Y74" s="28"/>
      <c r="Z74" s="28"/>
      <c r="BO74" s="12" t="s">
        <v>27</v>
      </c>
      <c r="BP74" s="12" t="s">
        <v>27</v>
      </c>
      <c r="BQ74" s="12">
        <v>0</v>
      </c>
    </row>
    <row r="75" spans="1:69" x14ac:dyDescent="0.25">
      <c r="A75"/>
      <c r="B75"/>
      <c r="C75"/>
      <c r="D75"/>
      <c r="E75"/>
      <c r="F75"/>
      <c r="G75"/>
      <c r="H75"/>
      <c r="W75" s="28"/>
      <c r="X75" s="28"/>
      <c r="Y75" s="28"/>
      <c r="Z75" s="28"/>
      <c r="BO75" s="12" t="s">
        <v>27</v>
      </c>
      <c r="BP75" s="12" t="s">
        <v>27</v>
      </c>
      <c r="BQ75" s="12">
        <v>0</v>
      </c>
    </row>
    <row r="76" spans="1:69" x14ac:dyDescent="0.25">
      <c r="A76"/>
      <c r="B76"/>
      <c r="C76"/>
      <c r="D76"/>
      <c r="E76"/>
      <c r="F76"/>
      <c r="G76"/>
      <c r="H76"/>
      <c r="BO76" s="12" t="s">
        <v>27</v>
      </c>
      <c r="BP76" s="12" t="s">
        <v>27</v>
      </c>
      <c r="BQ76" s="12">
        <v>0</v>
      </c>
    </row>
    <row r="77" spans="1:69" x14ac:dyDescent="0.25">
      <c r="A77"/>
      <c r="B77"/>
      <c r="C77"/>
      <c r="D77"/>
      <c r="E77"/>
      <c r="F77"/>
      <c r="G77"/>
      <c r="H77"/>
      <c r="BO77" s="12" t="s">
        <v>27</v>
      </c>
      <c r="BP77" s="12" t="s">
        <v>27</v>
      </c>
      <c r="BQ77" s="12">
        <v>0</v>
      </c>
    </row>
    <row r="78" spans="1:69" x14ac:dyDescent="0.25">
      <c r="A78"/>
      <c r="B78"/>
      <c r="C78"/>
      <c r="D78"/>
      <c r="E78"/>
      <c r="F78"/>
      <c r="G78"/>
      <c r="H78"/>
      <c r="BO78" s="12" t="s">
        <v>27</v>
      </c>
      <c r="BP78" s="12" t="s">
        <v>27</v>
      </c>
      <c r="BQ78" s="12">
        <v>0</v>
      </c>
    </row>
    <row r="79" spans="1:69" x14ac:dyDescent="0.25">
      <c r="A79"/>
      <c r="B79"/>
      <c r="C79"/>
      <c r="D79"/>
      <c r="E79"/>
      <c r="F79"/>
      <c r="G79"/>
      <c r="H79"/>
      <c r="BO79" s="12" t="s">
        <v>27</v>
      </c>
      <c r="BP79" s="12" t="s">
        <v>27</v>
      </c>
      <c r="BQ79" s="12">
        <v>0</v>
      </c>
    </row>
    <row r="80" spans="1:69" x14ac:dyDescent="0.25">
      <c r="A80"/>
      <c r="B80"/>
      <c r="C80"/>
      <c r="D80"/>
      <c r="E80"/>
      <c r="F80"/>
      <c r="G80"/>
      <c r="H80"/>
      <c r="BO80" s="12" t="s">
        <v>27</v>
      </c>
      <c r="BP80" s="12" t="s">
        <v>27</v>
      </c>
      <c r="BQ80" s="12">
        <v>0</v>
      </c>
    </row>
    <row r="81" spans="1:69" x14ac:dyDescent="0.25">
      <c r="A81"/>
      <c r="B81"/>
      <c r="C81"/>
      <c r="D81"/>
      <c r="E81"/>
      <c r="F81"/>
      <c r="G81"/>
      <c r="H81"/>
      <c r="BO81" s="12" t="s">
        <v>27</v>
      </c>
      <c r="BP81" s="12" t="s">
        <v>27</v>
      </c>
      <c r="BQ81" s="12">
        <v>0</v>
      </c>
    </row>
    <row r="82" spans="1:69" x14ac:dyDescent="0.25">
      <c r="A82"/>
      <c r="B82"/>
      <c r="C82"/>
      <c r="D82"/>
      <c r="E82"/>
      <c r="F82"/>
      <c r="G82"/>
      <c r="H82"/>
      <c r="BO82" s="12" t="s">
        <v>27</v>
      </c>
      <c r="BP82" s="12" t="s">
        <v>27</v>
      </c>
      <c r="BQ82" s="12">
        <v>0</v>
      </c>
    </row>
    <row r="83" spans="1:69" x14ac:dyDescent="0.25">
      <c r="A83"/>
      <c r="B83"/>
      <c r="C83"/>
      <c r="D83"/>
      <c r="E83"/>
      <c r="F83"/>
      <c r="G83"/>
      <c r="H83"/>
      <c r="BO83" s="12" t="s">
        <v>27</v>
      </c>
      <c r="BP83" s="12" t="s">
        <v>27</v>
      </c>
      <c r="BQ83" s="12">
        <v>0</v>
      </c>
    </row>
    <row r="84" spans="1:69" x14ac:dyDescent="0.25">
      <c r="A84"/>
      <c r="B84"/>
      <c r="C84"/>
      <c r="D84"/>
      <c r="E84"/>
      <c r="F84"/>
      <c r="G84"/>
      <c r="H84"/>
      <c r="BO84" s="12" t="s">
        <v>27</v>
      </c>
      <c r="BP84" s="12" t="s">
        <v>27</v>
      </c>
      <c r="BQ84" s="12">
        <v>0</v>
      </c>
    </row>
    <row r="85" spans="1:69" x14ac:dyDescent="0.25">
      <c r="A85"/>
      <c r="B85"/>
      <c r="C85"/>
      <c r="D85"/>
      <c r="E85"/>
      <c r="F85"/>
      <c r="G85"/>
      <c r="H85"/>
      <c r="BO85" s="12" t="s">
        <v>27</v>
      </c>
      <c r="BP85" s="12" t="s">
        <v>27</v>
      </c>
      <c r="BQ85" s="12">
        <v>0</v>
      </c>
    </row>
    <row r="86" spans="1:69" x14ac:dyDescent="0.25">
      <c r="A86"/>
      <c r="B86"/>
      <c r="C86"/>
      <c r="D86"/>
      <c r="E86"/>
      <c r="F86"/>
      <c r="G86"/>
      <c r="H86"/>
      <c r="BO86" s="12" t="s">
        <v>27</v>
      </c>
      <c r="BP86" s="12" t="s">
        <v>27</v>
      </c>
      <c r="BQ86" s="12">
        <v>0</v>
      </c>
    </row>
    <row r="87" spans="1:69" x14ac:dyDescent="0.25">
      <c r="A87"/>
      <c r="B87"/>
      <c r="C87"/>
      <c r="D87"/>
      <c r="E87"/>
      <c r="F87"/>
      <c r="G87"/>
      <c r="H87"/>
      <c r="BO87" s="12" t="s">
        <v>27</v>
      </c>
      <c r="BP87" s="12" t="s">
        <v>27</v>
      </c>
      <c r="BQ87" s="12">
        <v>0</v>
      </c>
    </row>
    <row r="88" spans="1:69" x14ac:dyDescent="0.25">
      <c r="A88"/>
      <c r="B88"/>
      <c r="C88"/>
      <c r="D88"/>
      <c r="E88"/>
      <c r="F88"/>
      <c r="G88"/>
      <c r="H88"/>
      <c r="BO88" s="12" t="s">
        <v>27</v>
      </c>
      <c r="BP88" s="12" t="s">
        <v>27</v>
      </c>
      <c r="BQ88" s="12">
        <v>0</v>
      </c>
    </row>
    <row r="89" spans="1:69" x14ac:dyDescent="0.25">
      <c r="A89"/>
      <c r="B89"/>
      <c r="C89"/>
      <c r="D89"/>
      <c r="E89"/>
      <c r="F89"/>
      <c r="G89"/>
      <c r="H89"/>
      <c r="BO89" s="12" t="s">
        <v>27</v>
      </c>
      <c r="BP89" s="12" t="s">
        <v>27</v>
      </c>
      <c r="BQ89" s="12">
        <v>0</v>
      </c>
    </row>
    <row r="90" spans="1:69" x14ac:dyDescent="0.25">
      <c r="A90"/>
      <c r="B90"/>
      <c r="C90"/>
      <c r="D90"/>
      <c r="E90"/>
      <c r="F90"/>
      <c r="G90"/>
      <c r="H90"/>
      <c r="BO90" s="12" t="s">
        <v>27</v>
      </c>
      <c r="BP90" s="12" t="s">
        <v>27</v>
      </c>
      <c r="BQ90" s="12">
        <v>0</v>
      </c>
    </row>
    <row r="91" spans="1:69" x14ac:dyDescent="0.25">
      <c r="A91"/>
      <c r="B91"/>
      <c r="C91"/>
      <c r="D91"/>
      <c r="E91"/>
      <c r="F91"/>
      <c r="G91"/>
      <c r="H91"/>
      <c r="BO91" s="12" t="s">
        <v>27</v>
      </c>
      <c r="BP91" s="12" t="s">
        <v>27</v>
      </c>
      <c r="BQ91" s="12">
        <v>0</v>
      </c>
    </row>
    <row r="92" spans="1:69" x14ac:dyDescent="0.25">
      <c r="A92"/>
      <c r="B92"/>
      <c r="C92"/>
      <c r="D92"/>
      <c r="E92"/>
      <c r="F92"/>
      <c r="G92"/>
      <c r="H92"/>
      <c r="BO92" s="12" t="s">
        <v>27</v>
      </c>
      <c r="BP92" s="12" t="s">
        <v>27</v>
      </c>
      <c r="BQ92" s="12">
        <v>0</v>
      </c>
    </row>
    <row r="93" spans="1:69" x14ac:dyDescent="0.25">
      <c r="A93"/>
      <c r="B93"/>
      <c r="C93"/>
      <c r="D93"/>
      <c r="E93"/>
      <c r="F93"/>
      <c r="G93"/>
      <c r="H93"/>
      <c r="BO93" s="12" t="s">
        <v>27</v>
      </c>
      <c r="BP93" s="12" t="s">
        <v>27</v>
      </c>
      <c r="BQ93" s="12">
        <v>0</v>
      </c>
    </row>
    <row r="94" spans="1:69" x14ac:dyDescent="0.25">
      <c r="A94"/>
      <c r="B94"/>
      <c r="C94"/>
      <c r="D94"/>
      <c r="E94"/>
      <c r="F94"/>
      <c r="G94"/>
      <c r="H94"/>
      <c r="BO94" s="12" t="s">
        <v>27</v>
      </c>
      <c r="BP94" s="12" t="s">
        <v>27</v>
      </c>
      <c r="BQ94" s="12">
        <v>0</v>
      </c>
    </row>
    <row r="95" spans="1:69" x14ac:dyDescent="0.25">
      <c r="A95"/>
      <c r="B95"/>
      <c r="C95"/>
      <c r="D95"/>
      <c r="E95"/>
      <c r="F95"/>
      <c r="G95"/>
      <c r="H95"/>
      <c r="BO95" s="12" t="s">
        <v>27</v>
      </c>
      <c r="BP95" s="12" t="s">
        <v>27</v>
      </c>
      <c r="BQ95" s="12">
        <v>0</v>
      </c>
    </row>
    <row r="96" spans="1:69" x14ac:dyDescent="0.25">
      <c r="A96"/>
      <c r="B96"/>
      <c r="C96"/>
      <c r="D96"/>
      <c r="E96"/>
      <c r="F96"/>
      <c r="G96"/>
      <c r="H96"/>
      <c r="BO96" s="12" t="s">
        <v>27</v>
      </c>
      <c r="BP96" s="12" t="s">
        <v>27</v>
      </c>
      <c r="BQ96" s="12">
        <v>0</v>
      </c>
    </row>
    <row r="97" spans="1:69" x14ac:dyDescent="0.25">
      <c r="A97"/>
      <c r="B97"/>
      <c r="C97"/>
      <c r="D97"/>
      <c r="E97"/>
      <c r="F97"/>
      <c r="G97"/>
      <c r="H97"/>
      <c r="BO97" s="12" t="s">
        <v>27</v>
      </c>
      <c r="BP97" s="12" t="s">
        <v>27</v>
      </c>
      <c r="BQ97" s="12">
        <v>0</v>
      </c>
    </row>
    <row r="98" spans="1:69" x14ac:dyDescent="0.25">
      <c r="A98"/>
      <c r="B98"/>
      <c r="C98"/>
      <c r="D98"/>
      <c r="E98"/>
      <c r="F98"/>
      <c r="G98"/>
      <c r="H98"/>
      <c r="BO98" s="12" t="s">
        <v>27</v>
      </c>
      <c r="BP98" s="12" t="s">
        <v>27</v>
      </c>
      <c r="BQ98" s="12">
        <v>0</v>
      </c>
    </row>
    <row r="99" spans="1:69" x14ac:dyDescent="0.25">
      <c r="A99"/>
      <c r="B99"/>
      <c r="C99"/>
      <c r="D99"/>
      <c r="E99"/>
      <c r="F99"/>
      <c r="G99"/>
      <c r="H99"/>
      <c r="BO99" s="12" t="s">
        <v>27</v>
      </c>
      <c r="BP99" s="12" t="s">
        <v>27</v>
      </c>
      <c r="BQ99" s="12">
        <v>0</v>
      </c>
    </row>
    <row r="100" spans="1:69" x14ac:dyDescent="0.25">
      <c r="A100"/>
      <c r="B100"/>
      <c r="C100"/>
      <c r="D100"/>
      <c r="E100"/>
      <c r="F100"/>
      <c r="G100"/>
      <c r="H100"/>
      <c r="BO100" s="12" t="s">
        <v>27</v>
      </c>
      <c r="BP100" s="12" t="s">
        <v>27</v>
      </c>
      <c r="BQ100" s="12">
        <v>0</v>
      </c>
    </row>
    <row r="101" spans="1:69" x14ac:dyDescent="0.25">
      <c r="A101"/>
      <c r="B101"/>
      <c r="C101"/>
      <c r="D101"/>
      <c r="E101"/>
      <c r="F101"/>
      <c r="G101"/>
      <c r="H101"/>
      <c r="BO101" s="12" t="s">
        <v>27</v>
      </c>
      <c r="BP101" s="12" t="s">
        <v>27</v>
      </c>
      <c r="BQ101" s="12">
        <v>0</v>
      </c>
    </row>
    <row r="102" spans="1:69" x14ac:dyDescent="0.25">
      <c r="A102"/>
      <c r="B102"/>
      <c r="C102"/>
      <c r="D102"/>
      <c r="E102"/>
      <c r="F102"/>
      <c r="G102"/>
      <c r="H102"/>
      <c r="BO102" s="12" t="s">
        <v>27</v>
      </c>
      <c r="BP102" s="12" t="s">
        <v>27</v>
      </c>
      <c r="BQ102" s="12">
        <v>0</v>
      </c>
    </row>
    <row r="103" spans="1:69" x14ac:dyDescent="0.25">
      <c r="A103"/>
      <c r="B103"/>
      <c r="C103"/>
      <c r="D103"/>
      <c r="E103"/>
      <c r="F103"/>
      <c r="G103"/>
      <c r="H103"/>
      <c r="BL103" s="12"/>
      <c r="BM103" s="12"/>
      <c r="BN103" s="12"/>
      <c r="BO103" s="12"/>
      <c r="BP103" s="12"/>
      <c r="BQ103" s="12"/>
    </row>
    <row r="104" spans="1:69" x14ac:dyDescent="0.25">
      <c r="A104"/>
      <c r="B104"/>
      <c r="C104"/>
      <c r="D104"/>
      <c r="E104"/>
      <c r="F104"/>
      <c r="G104"/>
      <c r="H104"/>
    </row>
    <row r="105" spans="1:69" x14ac:dyDescent="0.25">
      <c r="A105"/>
      <c r="B105"/>
      <c r="C105"/>
      <c r="D105"/>
      <c r="E105"/>
      <c r="F105"/>
      <c r="G105"/>
      <c r="H105"/>
    </row>
    <row r="106" spans="1:69" x14ac:dyDescent="0.25">
      <c r="A106"/>
      <c r="B106"/>
      <c r="C106"/>
      <c r="D106"/>
      <c r="E106"/>
      <c r="F106"/>
      <c r="G106"/>
      <c r="H106"/>
    </row>
    <row r="107" spans="1:69" x14ac:dyDescent="0.25">
      <c r="A107"/>
      <c r="B107"/>
      <c r="C107"/>
      <c r="D107"/>
      <c r="E107"/>
      <c r="F107"/>
      <c r="G107"/>
      <c r="H107"/>
    </row>
    <row r="108" spans="1:69" x14ac:dyDescent="0.25">
      <c r="A108"/>
      <c r="B108"/>
      <c r="C108"/>
      <c r="D108"/>
      <c r="E108"/>
      <c r="F108"/>
      <c r="G108"/>
      <c r="H108"/>
    </row>
    <row r="109" spans="1:69" x14ac:dyDescent="0.25">
      <c r="A109"/>
      <c r="B109"/>
      <c r="C109"/>
      <c r="D109"/>
      <c r="E109"/>
      <c r="F109"/>
      <c r="G109"/>
      <c r="H109"/>
    </row>
    <row r="110" spans="1:69" x14ac:dyDescent="0.25">
      <c r="A110"/>
      <c r="B110"/>
      <c r="C110"/>
      <c r="D110"/>
      <c r="E110"/>
      <c r="F110"/>
      <c r="G110"/>
      <c r="H110"/>
    </row>
    <row r="111" spans="1:69" x14ac:dyDescent="0.25">
      <c r="A111"/>
      <c r="B111"/>
      <c r="C111"/>
      <c r="D111"/>
      <c r="E111"/>
      <c r="F111"/>
      <c r="G111"/>
      <c r="H111"/>
    </row>
    <row r="112" spans="1:69" x14ac:dyDescent="0.25">
      <c r="A112"/>
      <c r="B112"/>
      <c r="C112"/>
      <c r="D112"/>
      <c r="E112"/>
      <c r="F112"/>
      <c r="G112"/>
      <c r="H112"/>
    </row>
    <row r="113" spans="1:8" x14ac:dyDescent="0.25">
      <c r="A113"/>
      <c r="B113"/>
      <c r="C113"/>
      <c r="D113"/>
      <c r="E113"/>
      <c r="F113"/>
      <c r="G113"/>
      <c r="H113"/>
    </row>
    <row r="114" spans="1:8" x14ac:dyDescent="0.25">
      <c r="A114"/>
      <c r="B114"/>
      <c r="C114"/>
      <c r="D114"/>
      <c r="E114"/>
      <c r="F114"/>
      <c r="G114"/>
      <c r="H114"/>
    </row>
    <row r="115" spans="1:8" x14ac:dyDescent="0.25">
      <c r="A115"/>
      <c r="B115"/>
      <c r="C115"/>
      <c r="D115"/>
      <c r="E115"/>
      <c r="F115"/>
      <c r="G115"/>
      <c r="H115"/>
    </row>
    <row r="116" spans="1:8" x14ac:dyDescent="0.25">
      <c r="A116"/>
      <c r="B116"/>
      <c r="C116"/>
      <c r="D116"/>
      <c r="E116"/>
      <c r="F116"/>
      <c r="G116"/>
      <c r="H116"/>
    </row>
    <row r="117" spans="1:8" x14ac:dyDescent="0.25">
      <c r="A117"/>
      <c r="B117"/>
      <c r="C117"/>
      <c r="D117"/>
      <c r="E117"/>
      <c r="F117"/>
      <c r="G117"/>
      <c r="H117"/>
    </row>
    <row r="118" spans="1:8" x14ac:dyDescent="0.25">
      <c r="A118"/>
      <c r="B118"/>
      <c r="C118"/>
      <c r="D118"/>
      <c r="E118"/>
      <c r="F118"/>
      <c r="G118"/>
      <c r="H118"/>
    </row>
    <row r="119" spans="1:8" x14ac:dyDescent="0.25">
      <c r="A119"/>
      <c r="B119"/>
      <c r="C119"/>
      <c r="D119"/>
      <c r="E119"/>
      <c r="F119"/>
      <c r="G119"/>
      <c r="H119"/>
    </row>
    <row r="120" spans="1:8" x14ac:dyDescent="0.25">
      <c r="A120"/>
      <c r="B120"/>
      <c r="C120"/>
      <c r="D120"/>
      <c r="E120"/>
      <c r="F120"/>
      <c r="G120"/>
      <c r="H120"/>
    </row>
    <row r="121" spans="1:8" x14ac:dyDescent="0.25">
      <c r="A121"/>
      <c r="B121"/>
      <c r="C121"/>
      <c r="D121"/>
      <c r="E121"/>
      <c r="F121"/>
      <c r="G121"/>
      <c r="H121"/>
    </row>
    <row r="122" spans="1:8" x14ac:dyDescent="0.25">
      <c r="A122"/>
      <c r="B122"/>
      <c r="C122"/>
      <c r="D122"/>
      <c r="E122"/>
      <c r="F122"/>
      <c r="G122"/>
      <c r="H122"/>
    </row>
    <row r="123" spans="1:8" x14ac:dyDescent="0.25">
      <c r="A123"/>
      <c r="B123"/>
      <c r="C123"/>
      <c r="D123"/>
      <c r="E123"/>
      <c r="F123"/>
      <c r="G123"/>
      <c r="H123"/>
    </row>
    <row r="124" spans="1:8" x14ac:dyDescent="0.25">
      <c r="A124"/>
      <c r="B124"/>
      <c r="C124"/>
      <c r="D124"/>
      <c r="E124"/>
      <c r="F124"/>
      <c r="G124"/>
      <c r="H124"/>
    </row>
    <row r="125" spans="1:8" x14ac:dyDescent="0.25">
      <c r="A125"/>
      <c r="B125"/>
      <c r="C125"/>
      <c r="D125"/>
      <c r="E125"/>
      <c r="F125"/>
      <c r="G125"/>
      <c r="H125"/>
    </row>
    <row r="126" spans="1:8" x14ac:dyDescent="0.25">
      <c r="A126"/>
      <c r="B126"/>
      <c r="C126"/>
      <c r="D126"/>
      <c r="E126"/>
      <c r="F126"/>
      <c r="G126"/>
      <c r="H126"/>
    </row>
    <row r="127" spans="1:8" x14ac:dyDescent="0.25">
      <c r="A127"/>
      <c r="B127"/>
      <c r="C127"/>
      <c r="D127"/>
      <c r="E127"/>
      <c r="F127"/>
      <c r="G127"/>
      <c r="H127"/>
    </row>
    <row r="128" spans="1:8" x14ac:dyDescent="0.25">
      <c r="A128"/>
      <c r="B128"/>
      <c r="C128"/>
      <c r="D128"/>
      <c r="E128"/>
      <c r="F128"/>
      <c r="G128"/>
      <c r="H128"/>
    </row>
    <row r="129" spans="1:8" x14ac:dyDescent="0.25">
      <c r="A129"/>
      <c r="B129"/>
      <c r="C129"/>
      <c r="D129"/>
      <c r="E129"/>
      <c r="F129"/>
      <c r="G129"/>
      <c r="H129"/>
    </row>
    <row r="130" spans="1:8" x14ac:dyDescent="0.25">
      <c r="A130"/>
      <c r="B130"/>
      <c r="C130"/>
      <c r="D130"/>
      <c r="E130"/>
      <c r="F130"/>
      <c r="G130"/>
      <c r="H130"/>
    </row>
    <row r="131" spans="1:8" x14ac:dyDescent="0.25">
      <c r="A131"/>
      <c r="B131"/>
      <c r="C131"/>
      <c r="D131"/>
      <c r="E131"/>
      <c r="F131"/>
      <c r="G131"/>
      <c r="H131"/>
    </row>
    <row r="132" spans="1:8" x14ac:dyDescent="0.25">
      <c r="A132"/>
      <c r="B132"/>
      <c r="C132"/>
      <c r="D132"/>
      <c r="E132"/>
      <c r="F132"/>
      <c r="G132"/>
      <c r="H132"/>
    </row>
    <row r="133" spans="1:8" x14ac:dyDescent="0.25">
      <c r="A133"/>
      <c r="B133"/>
      <c r="C133"/>
      <c r="D133"/>
      <c r="E133"/>
      <c r="F133"/>
      <c r="G133"/>
      <c r="H133"/>
    </row>
    <row r="134" spans="1:8" x14ac:dyDescent="0.25">
      <c r="A134"/>
      <c r="B134"/>
      <c r="C134"/>
      <c r="D134"/>
      <c r="E134"/>
      <c r="F134"/>
      <c r="G134"/>
      <c r="H134"/>
    </row>
    <row r="135" spans="1:8" x14ac:dyDescent="0.25">
      <c r="A135"/>
      <c r="B135"/>
      <c r="C135"/>
      <c r="D135"/>
      <c r="E135"/>
      <c r="F135"/>
      <c r="G135"/>
      <c r="H135"/>
    </row>
    <row r="136" spans="1:8" x14ac:dyDescent="0.25">
      <c r="A136"/>
      <c r="B136"/>
      <c r="C136"/>
      <c r="D136"/>
      <c r="E136"/>
      <c r="F136"/>
      <c r="G136"/>
      <c r="H136"/>
    </row>
    <row r="137" spans="1:8" x14ac:dyDescent="0.25">
      <c r="A137"/>
      <c r="B137"/>
      <c r="C137"/>
      <c r="D137"/>
      <c r="E137"/>
      <c r="F137"/>
      <c r="G137"/>
      <c r="H137"/>
    </row>
    <row r="138" spans="1:8" x14ac:dyDescent="0.25">
      <c r="A138"/>
      <c r="B138"/>
      <c r="C138"/>
      <c r="D138"/>
      <c r="E138"/>
      <c r="F138"/>
      <c r="G138"/>
      <c r="H138"/>
    </row>
    <row r="139" spans="1:8" x14ac:dyDescent="0.25">
      <c r="A139"/>
      <c r="B139"/>
      <c r="C139"/>
      <c r="D139"/>
      <c r="E139"/>
      <c r="F139"/>
      <c r="G139"/>
      <c r="H139"/>
    </row>
    <row r="140" spans="1:8" x14ac:dyDescent="0.25">
      <c r="A140"/>
      <c r="B140"/>
      <c r="C140"/>
      <c r="D140"/>
      <c r="E140"/>
      <c r="F140"/>
      <c r="G140"/>
      <c r="H140"/>
    </row>
    <row r="141" spans="1:8" x14ac:dyDescent="0.25">
      <c r="A141"/>
      <c r="B141"/>
      <c r="C141"/>
      <c r="D141"/>
      <c r="E141"/>
      <c r="F141"/>
      <c r="G141"/>
      <c r="H141"/>
    </row>
    <row r="142" spans="1:8" x14ac:dyDescent="0.25">
      <c r="A142"/>
      <c r="B142"/>
      <c r="C142"/>
      <c r="D142"/>
      <c r="E142"/>
      <c r="F142"/>
      <c r="G142"/>
      <c r="H142"/>
    </row>
    <row r="143" spans="1:8" x14ac:dyDescent="0.25">
      <c r="A143"/>
      <c r="B143"/>
      <c r="C143"/>
      <c r="D143"/>
      <c r="E143"/>
      <c r="F143"/>
      <c r="G143"/>
      <c r="H143"/>
    </row>
    <row r="144" spans="1:8" x14ac:dyDescent="0.25">
      <c r="A144"/>
      <c r="B144"/>
      <c r="C144"/>
      <c r="D144"/>
      <c r="E144"/>
      <c r="F144"/>
      <c r="G144"/>
      <c r="H144"/>
    </row>
    <row r="145" spans="1:8" x14ac:dyDescent="0.25">
      <c r="A145"/>
      <c r="B145"/>
      <c r="C145"/>
      <c r="D145"/>
      <c r="E145"/>
      <c r="F145"/>
      <c r="G145"/>
      <c r="H145"/>
    </row>
    <row r="146" spans="1:8" x14ac:dyDescent="0.25">
      <c r="A146"/>
      <c r="B146"/>
      <c r="C146"/>
      <c r="D146"/>
      <c r="E146"/>
      <c r="F146"/>
      <c r="G146"/>
      <c r="H146"/>
    </row>
    <row r="147" spans="1:8" x14ac:dyDescent="0.25">
      <c r="A147"/>
      <c r="B147"/>
      <c r="C147"/>
      <c r="D147"/>
      <c r="E147"/>
      <c r="F147"/>
      <c r="G147"/>
      <c r="H147"/>
    </row>
    <row r="148" spans="1:8" x14ac:dyDescent="0.25">
      <c r="A148"/>
      <c r="B148"/>
      <c r="C148"/>
      <c r="D148"/>
      <c r="E148"/>
      <c r="F148"/>
      <c r="G148"/>
      <c r="H148"/>
    </row>
    <row r="149" spans="1:8" x14ac:dyDescent="0.25">
      <c r="A149"/>
      <c r="B149"/>
      <c r="C149"/>
      <c r="D149"/>
      <c r="E149"/>
      <c r="F149"/>
      <c r="G149"/>
      <c r="H149"/>
    </row>
    <row r="150" spans="1:8" x14ac:dyDescent="0.25">
      <c r="A150"/>
      <c r="B150"/>
      <c r="C150"/>
      <c r="D150"/>
      <c r="E150"/>
      <c r="F150"/>
      <c r="G150"/>
      <c r="H150"/>
    </row>
    <row r="151" spans="1:8" x14ac:dyDescent="0.25">
      <c r="A151"/>
      <c r="B151"/>
      <c r="C151"/>
      <c r="D151"/>
      <c r="E151"/>
      <c r="F151"/>
      <c r="G151"/>
      <c r="H151"/>
    </row>
    <row r="152" spans="1:8" x14ac:dyDescent="0.25">
      <c r="A152"/>
      <c r="B152"/>
      <c r="C152"/>
      <c r="D152"/>
      <c r="E152"/>
      <c r="F152"/>
      <c r="G152"/>
      <c r="H152"/>
    </row>
    <row r="153" spans="1:8" x14ac:dyDescent="0.25">
      <c r="A153"/>
      <c r="B153"/>
      <c r="C153"/>
      <c r="D153"/>
      <c r="E153"/>
      <c r="F153"/>
      <c r="G153"/>
      <c r="H153"/>
    </row>
    <row r="154" spans="1:8" x14ac:dyDescent="0.25">
      <c r="A154"/>
      <c r="B154"/>
      <c r="C154"/>
      <c r="D154"/>
      <c r="E154"/>
      <c r="F154"/>
      <c r="G154"/>
      <c r="H154"/>
    </row>
    <row r="155" spans="1:8" x14ac:dyDescent="0.25">
      <c r="A155"/>
      <c r="B155"/>
      <c r="C155"/>
      <c r="D155"/>
      <c r="E155"/>
      <c r="F155"/>
      <c r="G155"/>
      <c r="H155"/>
    </row>
    <row r="156" spans="1:8" x14ac:dyDescent="0.25">
      <c r="A156"/>
      <c r="B156"/>
      <c r="C156"/>
      <c r="D156"/>
      <c r="E156"/>
      <c r="F156"/>
      <c r="G156"/>
      <c r="H156"/>
    </row>
    <row r="157" spans="1:8" x14ac:dyDescent="0.25">
      <c r="A157"/>
      <c r="B157"/>
      <c r="C157"/>
      <c r="D157"/>
      <c r="E157"/>
      <c r="F157"/>
      <c r="G157"/>
      <c r="H157"/>
    </row>
    <row r="158" spans="1:8" x14ac:dyDescent="0.25">
      <c r="A158"/>
      <c r="B158"/>
      <c r="C158"/>
      <c r="D158"/>
      <c r="E158"/>
      <c r="F158"/>
      <c r="G158"/>
      <c r="H158"/>
    </row>
    <row r="159" spans="1:8" x14ac:dyDescent="0.25">
      <c r="A159"/>
      <c r="B159"/>
      <c r="C159"/>
      <c r="D159"/>
      <c r="E159"/>
      <c r="F159"/>
      <c r="G159"/>
      <c r="H159"/>
    </row>
    <row r="160" spans="1:8" x14ac:dyDescent="0.25">
      <c r="A160"/>
      <c r="B160"/>
      <c r="C160"/>
      <c r="D160"/>
      <c r="E160"/>
      <c r="F160"/>
      <c r="G160"/>
      <c r="H160"/>
    </row>
    <row r="161" spans="1:8" x14ac:dyDescent="0.25">
      <c r="A161"/>
      <c r="B161"/>
      <c r="C161"/>
      <c r="D161"/>
      <c r="E161"/>
      <c r="F161"/>
      <c r="G161"/>
      <c r="H161"/>
    </row>
    <row r="162" spans="1:8" x14ac:dyDescent="0.25">
      <c r="A162"/>
      <c r="B162"/>
      <c r="C162"/>
      <c r="D162"/>
      <c r="E162"/>
      <c r="F162"/>
      <c r="G162"/>
      <c r="H162"/>
    </row>
    <row r="163" spans="1:8" x14ac:dyDescent="0.25">
      <c r="A163"/>
      <c r="B163"/>
      <c r="C163"/>
      <c r="D163"/>
      <c r="E163"/>
      <c r="F163"/>
      <c r="G163"/>
      <c r="H163"/>
    </row>
    <row r="164" spans="1:8" x14ac:dyDescent="0.25">
      <c r="A164"/>
      <c r="B164"/>
      <c r="C164"/>
      <c r="D164"/>
      <c r="E164"/>
      <c r="F164"/>
      <c r="G164"/>
      <c r="H164"/>
    </row>
    <row r="165" spans="1:8" x14ac:dyDescent="0.25">
      <c r="A165"/>
      <c r="B165"/>
      <c r="C165"/>
      <c r="D165"/>
      <c r="E165"/>
      <c r="F165"/>
      <c r="G165"/>
      <c r="H165"/>
    </row>
    <row r="166" spans="1:8" x14ac:dyDescent="0.25">
      <c r="A166"/>
      <c r="B166"/>
      <c r="C166"/>
      <c r="D166"/>
      <c r="E166"/>
      <c r="F166"/>
      <c r="G166"/>
      <c r="H166"/>
    </row>
    <row r="167" spans="1:8" x14ac:dyDescent="0.25">
      <c r="A167"/>
      <c r="B167"/>
      <c r="C167"/>
      <c r="D167"/>
      <c r="E167"/>
      <c r="F167"/>
      <c r="G167"/>
      <c r="H167"/>
    </row>
    <row r="168" spans="1:8" x14ac:dyDescent="0.25">
      <c r="A168"/>
      <c r="B168"/>
      <c r="C168"/>
      <c r="D168"/>
      <c r="E168"/>
      <c r="F168"/>
      <c r="G168"/>
      <c r="H168"/>
    </row>
    <row r="169" spans="1:8" x14ac:dyDescent="0.25">
      <c r="A169"/>
      <c r="B169"/>
      <c r="C169"/>
      <c r="D169"/>
      <c r="E169"/>
      <c r="F169"/>
      <c r="G169"/>
      <c r="H169"/>
    </row>
    <row r="170" spans="1:8" x14ac:dyDescent="0.25">
      <c r="A170"/>
      <c r="B170"/>
      <c r="C170"/>
      <c r="D170"/>
      <c r="E170"/>
      <c r="F170"/>
      <c r="G170"/>
      <c r="H170"/>
    </row>
    <row r="171" spans="1:8" x14ac:dyDescent="0.25">
      <c r="A171"/>
      <c r="B171"/>
      <c r="C171"/>
      <c r="D171"/>
      <c r="E171"/>
      <c r="F171"/>
      <c r="G171"/>
      <c r="H171"/>
    </row>
    <row r="172" spans="1:8" x14ac:dyDescent="0.25">
      <c r="A172"/>
      <c r="B172"/>
      <c r="C172"/>
      <c r="D172"/>
      <c r="E172"/>
      <c r="F172"/>
      <c r="G172"/>
      <c r="H172"/>
    </row>
    <row r="173" spans="1:8" x14ac:dyDescent="0.25">
      <c r="A173"/>
      <c r="B173"/>
      <c r="C173"/>
      <c r="D173"/>
      <c r="E173"/>
      <c r="F173"/>
      <c r="G173"/>
      <c r="H173"/>
    </row>
    <row r="174" spans="1:8" x14ac:dyDescent="0.25">
      <c r="A174"/>
      <c r="B174"/>
      <c r="C174"/>
      <c r="D174"/>
      <c r="E174"/>
      <c r="F174"/>
      <c r="G174"/>
      <c r="H174"/>
    </row>
    <row r="175" spans="1:8" x14ac:dyDescent="0.25">
      <c r="A175"/>
      <c r="B175"/>
      <c r="C175"/>
      <c r="D175"/>
      <c r="E175"/>
      <c r="F175"/>
      <c r="G175"/>
      <c r="H175"/>
    </row>
    <row r="176" spans="1:8" x14ac:dyDescent="0.25">
      <c r="A176"/>
      <c r="B176"/>
      <c r="C176"/>
      <c r="D176"/>
      <c r="E176"/>
      <c r="F176"/>
      <c r="G176"/>
      <c r="H176"/>
    </row>
    <row r="177" spans="1:8" x14ac:dyDescent="0.25">
      <c r="A177"/>
      <c r="B177"/>
      <c r="C177"/>
      <c r="D177"/>
      <c r="E177"/>
      <c r="F177"/>
      <c r="G177"/>
      <c r="H177"/>
    </row>
    <row r="178" spans="1:8" x14ac:dyDescent="0.25">
      <c r="A178"/>
      <c r="B178"/>
      <c r="C178"/>
      <c r="D178"/>
      <c r="E178"/>
      <c r="F178"/>
      <c r="G178"/>
      <c r="H178"/>
    </row>
    <row r="179" spans="1:8" x14ac:dyDescent="0.25">
      <c r="A179"/>
      <c r="B179"/>
      <c r="C179"/>
      <c r="D179"/>
      <c r="E179"/>
      <c r="F179"/>
      <c r="G179"/>
      <c r="H179"/>
    </row>
    <row r="180" spans="1:8" x14ac:dyDescent="0.25">
      <c r="A180"/>
      <c r="B180"/>
      <c r="C180"/>
      <c r="D180"/>
      <c r="E180"/>
      <c r="F180"/>
      <c r="G180"/>
      <c r="H180"/>
    </row>
    <row r="181" spans="1:8" x14ac:dyDescent="0.25">
      <c r="A181"/>
      <c r="B181"/>
      <c r="C181"/>
      <c r="D181"/>
      <c r="E181"/>
      <c r="F181"/>
      <c r="G181"/>
      <c r="H181"/>
    </row>
    <row r="182" spans="1:8" x14ac:dyDescent="0.25">
      <c r="A182"/>
      <c r="B182"/>
      <c r="C182"/>
      <c r="D182"/>
      <c r="E182"/>
      <c r="F182"/>
      <c r="G182"/>
      <c r="H182"/>
    </row>
    <row r="183" spans="1:8" x14ac:dyDescent="0.25">
      <c r="A183"/>
      <c r="B183"/>
      <c r="C183"/>
      <c r="D183"/>
      <c r="E183"/>
      <c r="F183"/>
      <c r="G183"/>
      <c r="H183"/>
    </row>
    <row r="184" spans="1:8" x14ac:dyDescent="0.25">
      <c r="A184"/>
      <c r="B184"/>
      <c r="C184"/>
      <c r="D184"/>
      <c r="E184"/>
      <c r="F184"/>
      <c r="G184"/>
      <c r="H184"/>
    </row>
    <row r="185" spans="1:8" x14ac:dyDescent="0.25">
      <c r="A185"/>
      <c r="B185"/>
      <c r="C185"/>
      <c r="D185"/>
      <c r="E185"/>
      <c r="F185"/>
      <c r="G185"/>
      <c r="H185"/>
    </row>
    <row r="186" spans="1:8" x14ac:dyDescent="0.25">
      <c r="A186"/>
      <c r="B186"/>
      <c r="C186"/>
      <c r="D186"/>
      <c r="E186"/>
      <c r="F186"/>
      <c r="G186"/>
      <c r="H186"/>
    </row>
    <row r="187" spans="1:8" x14ac:dyDescent="0.25">
      <c r="A187"/>
      <c r="B187"/>
      <c r="C187"/>
      <c r="D187"/>
      <c r="E187"/>
      <c r="F187"/>
      <c r="G187"/>
      <c r="H187"/>
    </row>
    <row r="188" spans="1:8" x14ac:dyDescent="0.25">
      <c r="A188"/>
      <c r="B188"/>
      <c r="C188"/>
      <c r="D188"/>
      <c r="E188"/>
      <c r="F188"/>
      <c r="G188"/>
      <c r="H188"/>
    </row>
    <row r="189" spans="1:8" x14ac:dyDescent="0.25">
      <c r="A189"/>
      <c r="B189"/>
      <c r="C189"/>
      <c r="D189"/>
      <c r="E189"/>
      <c r="F189"/>
      <c r="G189"/>
      <c r="H189"/>
    </row>
    <row r="190" spans="1:8" x14ac:dyDescent="0.25">
      <c r="A190"/>
      <c r="B190"/>
      <c r="C190"/>
      <c r="D190"/>
      <c r="E190"/>
      <c r="F190"/>
      <c r="G190"/>
      <c r="H190"/>
    </row>
    <row r="191" spans="1:8" x14ac:dyDescent="0.25">
      <c r="A191"/>
      <c r="B191"/>
      <c r="C191"/>
      <c r="D191"/>
      <c r="E191"/>
      <c r="F191"/>
      <c r="G191"/>
      <c r="H191"/>
    </row>
    <row r="192" spans="1:8" x14ac:dyDescent="0.25">
      <c r="A192"/>
      <c r="B192"/>
      <c r="C192"/>
      <c r="D192"/>
      <c r="E192"/>
      <c r="F192"/>
      <c r="G192"/>
      <c r="H192"/>
    </row>
    <row r="193" spans="1:8" x14ac:dyDescent="0.25">
      <c r="A193"/>
      <c r="B193"/>
      <c r="C193"/>
      <c r="D193"/>
      <c r="E193"/>
      <c r="F193"/>
      <c r="G193"/>
      <c r="H193"/>
    </row>
    <row r="194" spans="1:8" x14ac:dyDescent="0.25">
      <c r="A194"/>
      <c r="B194"/>
      <c r="C194"/>
      <c r="D194"/>
      <c r="E194"/>
      <c r="F194"/>
      <c r="G194"/>
      <c r="H194"/>
    </row>
    <row r="195" spans="1:8" x14ac:dyDescent="0.25">
      <c r="A195"/>
      <c r="B195"/>
      <c r="C195"/>
      <c r="D195"/>
      <c r="E195"/>
      <c r="F195"/>
      <c r="G195"/>
      <c r="H195"/>
    </row>
    <row r="196" spans="1:8" x14ac:dyDescent="0.25">
      <c r="A196"/>
      <c r="B196"/>
      <c r="C196"/>
      <c r="D196"/>
      <c r="E196"/>
      <c r="F196"/>
      <c r="G196"/>
      <c r="H196"/>
    </row>
    <row r="197" spans="1:8" x14ac:dyDescent="0.25">
      <c r="A197"/>
      <c r="B197"/>
      <c r="C197"/>
      <c r="D197"/>
      <c r="E197"/>
      <c r="F197"/>
      <c r="G197"/>
      <c r="H197"/>
    </row>
    <row r="198" spans="1:8" x14ac:dyDescent="0.25">
      <c r="A198"/>
      <c r="B198"/>
      <c r="C198"/>
      <c r="D198"/>
      <c r="E198"/>
      <c r="F198"/>
      <c r="G198"/>
      <c r="H198"/>
    </row>
    <row r="199" spans="1:8" x14ac:dyDescent="0.25">
      <c r="A199"/>
      <c r="B199"/>
      <c r="C199"/>
      <c r="D199"/>
      <c r="E199"/>
      <c r="F199"/>
      <c r="G199"/>
      <c r="H199"/>
    </row>
    <row r="200" spans="1:8" x14ac:dyDescent="0.25">
      <c r="A200"/>
      <c r="B200"/>
      <c r="C200"/>
      <c r="D200"/>
      <c r="E200"/>
      <c r="F200"/>
      <c r="G200"/>
      <c r="H200"/>
    </row>
    <row r="201" spans="1:8" x14ac:dyDescent="0.25">
      <c r="A201"/>
      <c r="B201"/>
      <c r="C201"/>
      <c r="D201"/>
      <c r="E201"/>
      <c r="F201"/>
      <c r="G201"/>
      <c r="H201"/>
    </row>
    <row r="202" spans="1:8" x14ac:dyDescent="0.25">
      <c r="A202"/>
      <c r="B202"/>
      <c r="C202"/>
      <c r="D202"/>
      <c r="E202"/>
      <c r="F202"/>
      <c r="G202"/>
      <c r="H202"/>
    </row>
    <row r="203" spans="1:8" x14ac:dyDescent="0.25">
      <c r="A203"/>
      <c r="B203"/>
      <c r="C203"/>
      <c r="D203"/>
      <c r="E203"/>
      <c r="F203"/>
      <c r="G203"/>
      <c r="H203"/>
    </row>
    <row r="204" spans="1:8" x14ac:dyDescent="0.25">
      <c r="A204"/>
      <c r="B204"/>
      <c r="C204"/>
      <c r="D204"/>
      <c r="E204"/>
      <c r="F204"/>
      <c r="G204"/>
      <c r="H204"/>
    </row>
    <row r="205" spans="1:8" x14ac:dyDescent="0.25">
      <c r="A205"/>
      <c r="B205"/>
      <c r="C205"/>
      <c r="D205"/>
      <c r="E205"/>
      <c r="F205"/>
      <c r="G205"/>
      <c r="H205"/>
    </row>
    <row r="206" spans="1:8" x14ac:dyDescent="0.25">
      <c r="A206"/>
      <c r="B206"/>
      <c r="C206"/>
      <c r="D206"/>
      <c r="E206"/>
      <c r="F206"/>
      <c r="G206"/>
      <c r="H206"/>
    </row>
    <row r="207" spans="1:8" x14ac:dyDescent="0.25">
      <c r="A207"/>
      <c r="B207"/>
      <c r="C207"/>
      <c r="D207"/>
      <c r="E207"/>
      <c r="F207"/>
      <c r="G207"/>
      <c r="H207"/>
    </row>
    <row r="208" spans="1:8" x14ac:dyDescent="0.25">
      <c r="A208"/>
      <c r="B208"/>
      <c r="C208"/>
      <c r="D208"/>
      <c r="E208"/>
      <c r="F208"/>
      <c r="G208"/>
      <c r="H208"/>
    </row>
    <row r="209" spans="1:8" x14ac:dyDescent="0.25">
      <c r="A209"/>
      <c r="B209"/>
      <c r="C209"/>
      <c r="D209"/>
      <c r="E209"/>
      <c r="F209"/>
      <c r="G209"/>
      <c r="H209"/>
    </row>
    <row r="210" spans="1:8" x14ac:dyDescent="0.25">
      <c r="A210"/>
      <c r="B210"/>
      <c r="C210"/>
      <c r="D210"/>
      <c r="E210"/>
      <c r="F210"/>
      <c r="G210"/>
      <c r="H210"/>
    </row>
    <row r="211" spans="1:8" x14ac:dyDescent="0.25">
      <c r="A211"/>
      <c r="B211"/>
      <c r="C211"/>
      <c r="D211"/>
      <c r="E211"/>
      <c r="F211"/>
      <c r="G211"/>
      <c r="H211"/>
    </row>
    <row r="212" spans="1:8" x14ac:dyDescent="0.25">
      <c r="A212"/>
      <c r="B212"/>
      <c r="C212"/>
      <c r="D212"/>
      <c r="E212"/>
      <c r="F212"/>
      <c r="G212"/>
      <c r="H212"/>
    </row>
    <row r="213" spans="1:8" x14ac:dyDescent="0.25">
      <c r="A213"/>
      <c r="B213"/>
      <c r="C213"/>
      <c r="D213"/>
      <c r="E213"/>
      <c r="F213"/>
      <c r="G213"/>
      <c r="H213"/>
    </row>
    <row r="214" spans="1:8" x14ac:dyDescent="0.25">
      <c r="A214"/>
      <c r="B214"/>
      <c r="C214"/>
      <c r="D214"/>
      <c r="E214"/>
      <c r="F214"/>
      <c r="G214"/>
      <c r="H214"/>
    </row>
    <row r="215" spans="1:8" x14ac:dyDescent="0.25">
      <c r="A215"/>
      <c r="B215"/>
      <c r="C215"/>
      <c r="D215"/>
      <c r="E215"/>
      <c r="F215"/>
      <c r="G215"/>
      <c r="H215"/>
    </row>
    <row r="216" spans="1:8" x14ac:dyDescent="0.25">
      <c r="A216"/>
      <c r="B216"/>
      <c r="C216"/>
      <c r="D216"/>
      <c r="E216"/>
      <c r="F216"/>
      <c r="G216"/>
      <c r="H216"/>
    </row>
    <row r="217" spans="1:8" x14ac:dyDescent="0.25">
      <c r="A217"/>
      <c r="B217"/>
      <c r="C217"/>
      <c r="D217"/>
      <c r="E217"/>
      <c r="F217"/>
      <c r="G217"/>
      <c r="H217"/>
    </row>
    <row r="218" spans="1:8" x14ac:dyDescent="0.25">
      <c r="A218"/>
      <c r="B218"/>
      <c r="C218"/>
      <c r="D218"/>
      <c r="E218"/>
      <c r="F218"/>
      <c r="G218"/>
      <c r="H218"/>
    </row>
    <row r="219" spans="1:8" x14ac:dyDescent="0.25">
      <c r="A219"/>
      <c r="B219"/>
      <c r="C219"/>
      <c r="D219"/>
      <c r="E219"/>
      <c r="F219"/>
      <c r="G219"/>
      <c r="H219"/>
    </row>
    <row r="220" spans="1:8" x14ac:dyDescent="0.25">
      <c r="A220"/>
      <c r="B220"/>
      <c r="C220"/>
      <c r="D220"/>
      <c r="E220"/>
      <c r="F220"/>
      <c r="G220"/>
      <c r="H220"/>
    </row>
    <row r="221" spans="1:8" x14ac:dyDescent="0.25">
      <c r="A221"/>
      <c r="B221"/>
      <c r="C221"/>
      <c r="D221"/>
      <c r="E221"/>
      <c r="F221"/>
      <c r="G221"/>
      <c r="H221"/>
    </row>
    <row r="222" spans="1:8" x14ac:dyDescent="0.25">
      <c r="A222"/>
      <c r="B222"/>
      <c r="C222"/>
      <c r="D222"/>
      <c r="E222"/>
      <c r="F222"/>
      <c r="G222"/>
      <c r="H222"/>
    </row>
    <row r="223" spans="1:8" x14ac:dyDescent="0.25">
      <c r="A223"/>
      <c r="B223"/>
      <c r="C223"/>
      <c r="D223"/>
      <c r="E223"/>
      <c r="F223"/>
      <c r="G223"/>
      <c r="H223"/>
    </row>
    <row r="224" spans="1:8" x14ac:dyDescent="0.25">
      <c r="A224"/>
      <c r="B224"/>
      <c r="C224"/>
      <c r="D224"/>
      <c r="E224"/>
      <c r="F224"/>
      <c r="G224"/>
      <c r="H224"/>
    </row>
    <row r="225" spans="1:8" x14ac:dyDescent="0.25">
      <c r="A225"/>
      <c r="B225"/>
      <c r="C225"/>
      <c r="D225"/>
      <c r="E225"/>
      <c r="F225"/>
      <c r="G225"/>
      <c r="H225"/>
    </row>
    <row r="226" spans="1:8" x14ac:dyDescent="0.25">
      <c r="A226"/>
      <c r="B226"/>
      <c r="C226"/>
      <c r="D226"/>
      <c r="E226"/>
      <c r="F226"/>
      <c r="G226"/>
      <c r="H226"/>
    </row>
    <row r="227" spans="1:8" x14ac:dyDescent="0.25">
      <c r="A227"/>
      <c r="B227"/>
      <c r="C227"/>
      <c r="D227"/>
      <c r="E227"/>
      <c r="F227"/>
      <c r="G227"/>
      <c r="H227"/>
    </row>
    <row r="228" spans="1:8" x14ac:dyDescent="0.25">
      <c r="A228"/>
      <c r="B228"/>
      <c r="C228"/>
      <c r="D228"/>
      <c r="E228"/>
      <c r="F228"/>
      <c r="G228"/>
      <c r="H228"/>
    </row>
    <row r="229" spans="1:8" x14ac:dyDescent="0.25">
      <c r="A229"/>
      <c r="B229"/>
      <c r="C229"/>
      <c r="D229"/>
      <c r="E229"/>
      <c r="F229"/>
      <c r="G229"/>
      <c r="H229"/>
    </row>
    <row r="230" spans="1:8" x14ac:dyDescent="0.25">
      <c r="A230"/>
      <c r="B230"/>
      <c r="C230"/>
      <c r="D230"/>
      <c r="E230"/>
      <c r="F230"/>
      <c r="G230"/>
      <c r="H230"/>
    </row>
    <row r="231" spans="1:8" x14ac:dyDescent="0.25">
      <c r="A231"/>
      <c r="B231"/>
      <c r="C231"/>
      <c r="D231"/>
      <c r="E231"/>
      <c r="F231"/>
      <c r="G231"/>
      <c r="H231"/>
    </row>
    <row r="232" spans="1:8" x14ac:dyDescent="0.25">
      <c r="A232"/>
      <c r="B232"/>
      <c r="C232"/>
      <c r="D232"/>
      <c r="E232"/>
      <c r="F232"/>
      <c r="G232"/>
      <c r="H232"/>
    </row>
    <row r="233" spans="1:8" x14ac:dyDescent="0.25">
      <c r="A233"/>
      <c r="B233"/>
      <c r="C233"/>
      <c r="D233"/>
      <c r="E233"/>
      <c r="F233"/>
      <c r="G233"/>
      <c r="H233"/>
    </row>
    <row r="234" spans="1:8" x14ac:dyDescent="0.25">
      <c r="A234"/>
      <c r="B234"/>
      <c r="C234"/>
      <c r="D234"/>
      <c r="E234"/>
      <c r="F234"/>
      <c r="G234"/>
      <c r="H234"/>
    </row>
    <row r="235" spans="1:8" x14ac:dyDescent="0.25">
      <c r="A235"/>
      <c r="B235"/>
      <c r="C235"/>
      <c r="D235"/>
      <c r="E235"/>
      <c r="F235"/>
      <c r="G235"/>
      <c r="H235"/>
    </row>
    <row r="236" spans="1:8" x14ac:dyDescent="0.25">
      <c r="A236"/>
      <c r="B236"/>
      <c r="C236"/>
      <c r="D236"/>
      <c r="E236"/>
      <c r="F236"/>
      <c r="G236"/>
      <c r="H236"/>
    </row>
    <row r="237" spans="1:8" x14ac:dyDescent="0.25">
      <c r="A237"/>
      <c r="B237"/>
      <c r="C237"/>
      <c r="D237"/>
      <c r="E237"/>
      <c r="F237"/>
      <c r="G237"/>
      <c r="H237"/>
    </row>
    <row r="238" spans="1:8" x14ac:dyDescent="0.25">
      <c r="A238"/>
      <c r="B238"/>
      <c r="C238"/>
      <c r="D238"/>
      <c r="E238"/>
      <c r="F238"/>
      <c r="G238"/>
      <c r="H238"/>
    </row>
    <row r="239" spans="1:8" x14ac:dyDescent="0.25">
      <c r="A239"/>
      <c r="B239"/>
      <c r="C239"/>
      <c r="D239"/>
      <c r="E239"/>
      <c r="F239"/>
      <c r="G239"/>
      <c r="H239"/>
    </row>
    <row r="240" spans="1:8" x14ac:dyDescent="0.25">
      <c r="A240"/>
      <c r="B240"/>
      <c r="C240"/>
      <c r="D240"/>
      <c r="E240"/>
      <c r="F240"/>
      <c r="G240"/>
      <c r="H240"/>
    </row>
    <row r="241" spans="1:8" x14ac:dyDescent="0.25">
      <c r="A241"/>
      <c r="B241"/>
      <c r="C241"/>
      <c r="D241"/>
      <c r="E241"/>
      <c r="F241"/>
      <c r="G241"/>
      <c r="H241"/>
    </row>
    <row r="242" spans="1:8" x14ac:dyDescent="0.25">
      <c r="A242"/>
      <c r="B242"/>
      <c r="C242"/>
      <c r="D242"/>
      <c r="E242"/>
      <c r="F242"/>
      <c r="G242"/>
      <c r="H242"/>
    </row>
    <row r="243" spans="1:8" x14ac:dyDescent="0.25">
      <c r="A243"/>
      <c r="B243"/>
      <c r="C243"/>
      <c r="D243"/>
      <c r="E243"/>
      <c r="F243"/>
      <c r="G243"/>
      <c r="H243"/>
    </row>
    <row r="244" spans="1:8" x14ac:dyDescent="0.25">
      <c r="A244"/>
      <c r="B244"/>
      <c r="C244"/>
      <c r="D244"/>
      <c r="E244"/>
      <c r="F244"/>
      <c r="G244"/>
      <c r="H244"/>
    </row>
    <row r="245" spans="1:8" x14ac:dyDescent="0.25">
      <c r="A245"/>
      <c r="B245"/>
      <c r="C245"/>
      <c r="D245"/>
      <c r="E245"/>
      <c r="F245"/>
      <c r="G245"/>
      <c r="H245"/>
    </row>
    <row r="246" spans="1:8" x14ac:dyDescent="0.25">
      <c r="A246"/>
      <c r="B246"/>
      <c r="C246"/>
      <c r="D246"/>
      <c r="E246"/>
      <c r="F246"/>
      <c r="G246"/>
      <c r="H246"/>
    </row>
    <row r="247" spans="1:8" x14ac:dyDescent="0.25">
      <c r="A247"/>
      <c r="B247"/>
      <c r="C247"/>
      <c r="D247"/>
      <c r="E247"/>
      <c r="F247"/>
      <c r="G247"/>
      <c r="H247"/>
    </row>
    <row r="248" spans="1:8" x14ac:dyDescent="0.25">
      <c r="A248"/>
      <c r="B248"/>
      <c r="C248"/>
      <c r="D248"/>
      <c r="E248"/>
      <c r="F248"/>
      <c r="G248"/>
      <c r="H248"/>
    </row>
    <row r="249" spans="1:8" x14ac:dyDescent="0.25">
      <c r="A249"/>
      <c r="B249"/>
      <c r="C249"/>
      <c r="D249"/>
      <c r="E249"/>
      <c r="F249"/>
      <c r="G249"/>
      <c r="H249"/>
    </row>
    <row r="250" spans="1:8" x14ac:dyDescent="0.25">
      <c r="A250"/>
      <c r="B250"/>
      <c r="C250"/>
      <c r="D250"/>
      <c r="E250"/>
      <c r="F250"/>
      <c r="G250"/>
      <c r="H250"/>
    </row>
    <row r="251" spans="1:8" x14ac:dyDescent="0.25">
      <c r="A251"/>
      <c r="B251"/>
      <c r="C251"/>
      <c r="D251"/>
      <c r="E251"/>
      <c r="F251"/>
      <c r="G251"/>
      <c r="H251"/>
    </row>
    <row r="252" spans="1:8" x14ac:dyDescent="0.25">
      <c r="A252"/>
      <c r="B252"/>
      <c r="C252"/>
      <c r="D252"/>
      <c r="E252"/>
      <c r="F252"/>
      <c r="G252"/>
      <c r="H252"/>
    </row>
    <row r="253" spans="1:8" x14ac:dyDescent="0.25">
      <c r="A253"/>
      <c r="B253"/>
      <c r="C253"/>
      <c r="D253"/>
      <c r="E253"/>
      <c r="F253"/>
      <c r="G253"/>
      <c r="H253"/>
    </row>
    <row r="254" spans="1:8" x14ac:dyDescent="0.25">
      <c r="A254"/>
      <c r="B254"/>
      <c r="C254"/>
      <c r="D254"/>
      <c r="E254"/>
      <c r="F254"/>
      <c r="G254"/>
      <c r="H254"/>
    </row>
    <row r="255" spans="1:8" x14ac:dyDescent="0.25">
      <c r="A255"/>
      <c r="B255"/>
      <c r="C255"/>
      <c r="D255"/>
      <c r="E255"/>
      <c r="F255"/>
      <c r="G255"/>
      <c r="H255"/>
    </row>
    <row r="256" spans="1:8" x14ac:dyDescent="0.25">
      <c r="A256"/>
      <c r="B256"/>
      <c r="C256"/>
      <c r="D256"/>
      <c r="E256"/>
      <c r="F256"/>
      <c r="G256"/>
      <c r="H256"/>
    </row>
    <row r="257" spans="1:8" x14ac:dyDescent="0.25">
      <c r="A257"/>
      <c r="B257"/>
      <c r="C257"/>
      <c r="D257"/>
      <c r="E257"/>
      <c r="F257"/>
      <c r="G257"/>
      <c r="H257"/>
    </row>
    <row r="258" spans="1:8" x14ac:dyDescent="0.25">
      <c r="A258"/>
      <c r="B258"/>
      <c r="C258"/>
      <c r="D258"/>
      <c r="E258"/>
      <c r="F258"/>
      <c r="G258"/>
      <c r="H258"/>
    </row>
    <row r="259" spans="1:8" x14ac:dyDescent="0.25">
      <c r="A259"/>
      <c r="B259"/>
      <c r="C259"/>
      <c r="D259"/>
      <c r="E259"/>
      <c r="F259"/>
      <c r="G259"/>
      <c r="H259"/>
    </row>
    <row r="260" spans="1:8" x14ac:dyDescent="0.25">
      <c r="A260"/>
      <c r="B260"/>
      <c r="C260"/>
      <c r="D260"/>
      <c r="E260"/>
      <c r="F260"/>
      <c r="G260"/>
      <c r="H260"/>
    </row>
    <row r="261" spans="1:8" x14ac:dyDescent="0.25">
      <c r="A261"/>
      <c r="B261"/>
      <c r="C261"/>
      <c r="D261"/>
      <c r="E261"/>
      <c r="F261"/>
      <c r="G261"/>
      <c r="H261"/>
    </row>
    <row r="262" spans="1:8" x14ac:dyDescent="0.25">
      <c r="A262"/>
      <c r="B262"/>
      <c r="C262"/>
      <c r="D262"/>
      <c r="E262"/>
      <c r="F262"/>
      <c r="G262"/>
      <c r="H262"/>
    </row>
    <row r="263" spans="1:8" x14ac:dyDescent="0.25">
      <c r="A263"/>
      <c r="B263"/>
      <c r="C263"/>
      <c r="D263"/>
      <c r="E263"/>
      <c r="F263"/>
      <c r="G263"/>
      <c r="H263"/>
    </row>
    <row r="264" spans="1:8" x14ac:dyDescent="0.25">
      <c r="A264"/>
      <c r="B264"/>
      <c r="C264"/>
      <c r="D264"/>
      <c r="E264"/>
      <c r="F264"/>
      <c r="G264"/>
      <c r="H264"/>
    </row>
    <row r="265" spans="1:8" x14ac:dyDescent="0.25">
      <c r="A265"/>
      <c r="B265"/>
      <c r="C265"/>
      <c r="D265"/>
      <c r="E265"/>
      <c r="F265"/>
      <c r="G265"/>
      <c r="H265"/>
    </row>
    <row r="266" spans="1:8" x14ac:dyDescent="0.25">
      <c r="A266"/>
      <c r="B266"/>
      <c r="C266"/>
      <c r="D266"/>
      <c r="E266"/>
      <c r="F266"/>
      <c r="G266"/>
      <c r="H266"/>
    </row>
    <row r="267" spans="1:8" x14ac:dyDescent="0.25">
      <c r="A267"/>
      <c r="B267"/>
      <c r="C267"/>
      <c r="D267"/>
      <c r="E267"/>
      <c r="F267"/>
      <c r="G267"/>
      <c r="H267"/>
    </row>
    <row r="268" spans="1:8" x14ac:dyDescent="0.25">
      <c r="A268"/>
      <c r="B268"/>
      <c r="C268"/>
      <c r="D268"/>
      <c r="E268"/>
      <c r="F268"/>
      <c r="G268"/>
      <c r="H268"/>
    </row>
    <row r="269" spans="1:8" x14ac:dyDescent="0.25">
      <c r="A269"/>
      <c r="B269"/>
      <c r="C269"/>
      <c r="D269"/>
      <c r="E269"/>
      <c r="F269"/>
      <c r="G269"/>
      <c r="H269"/>
    </row>
    <row r="270" spans="1:8" x14ac:dyDescent="0.25">
      <c r="A270"/>
      <c r="B270"/>
      <c r="C270"/>
      <c r="D270"/>
      <c r="E270"/>
      <c r="F270"/>
      <c r="G270"/>
      <c r="H270"/>
    </row>
    <row r="271" spans="1:8" x14ac:dyDescent="0.25">
      <c r="A271"/>
      <c r="B271"/>
      <c r="C271"/>
      <c r="D271"/>
      <c r="E271"/>
      <c r="F271"/>
      <c r="G271"/>
      <c r="H271"/>
    </row>
    <row r="272" spans="1:8" x14ac:dyDescent="0.25">
      <c r="A272"/>
      <c r="B272"/>
      <c r="C272"/>
      <c r="D272"/>
      <c r="E272"/>
      <c r="F272"/>
      <c r="G272"/>
      <c r="H272"/>
    </row>
    <row r="273" spans="1:8" x14ac:dyDescent="0.25">
      <c r="A273"/>
      <c r="B273"/>
      <c r="C273"/>
      <c r="D273"/>
      <c r="E273"/>
      <c r="F273"/>
      <c r="G273"/>
      <c r="H273"/>
    </row>
    <row r="274" spans="1:8" x14ac:dyDescent="0.25">
      <c r="A274"/>
      <c r="B274"/>
      <c r="C274"/>
      <c r="D274"/>
      <c r="E274"/>
      <c r="F274"/>
      <c r="G274"/>
      <c r="H274"/>
    </row>
    <row r="275" spans="1:8" x14ac:dyDescent="0.25">
      <c r="A275"/>
      <c r="B275"/>
      <c r="C275"/>
      <c r="D275"/>
      <c r="E275"/>
      <c r="F275"/>
      <c r="G275"/>
      <c r="H275"/>
    </row>
    <row r="276" spans="1:8" x14ac:dyDescent="0.25">
      <c r="A276"/>
      <c r="B276"/>
      <c r="C276"/>
      <c r="D276"/>
      <c r="E276"/>
      <c r="F276"/>
      <c r="G276"/>
      <c r="H276"/>
    </row>
    <row r="277" spans="1:8" x14ac:dyDescent="0.25">
      <c r="A277"/>
      <c r="B277"/>
      <c r="C277"/>
      <c r="D277"/>
      <c r="E277"/>
      <c r="F277"/>
      <c r="G277"/>
      <c r="H277"/>
    </row>
    <row r="278" spans="1:8" x14ac:dyDescent="0.25">
      <c r="A278"/>
      <c r="B278"/>
      <c r="C278"/>
      <c r="D278"/>
      <c r="E278"/>
      <c r="F278"/>
      <c r="G278"/>
      <c r="H278"/>
    </row>
    <row r="279" spans="1:8" x14ac:dyDescent="0.25">
      <c r="A279"/>
      <c r="B279"/>
      <c r="C279"/>
      <c r="D279"/>
      <c r="E279"/>
      <c r="F279"/>
      <c r="G279"/>
      <c r="H279"/>
    </row>
    <row r="280" spans="1:8" x14ac:dyDescent="0.25">
      <c r="A280"/>
      <c r="B280"/>
      <c r="C280"/>
      <c r="D280"/>
      <c r="E280"/>
      <c r="F280"/>
      <c r="G280"/>
      <c r="H280"/>
    </row>
    <row r="281" spans="1:8" x14ac:dyDescent="0.25">
      <c r="A281"/>
      <c r="B281"/>
      <c r="C281"/>
      <c r="D281"/>
      <c r="E281"/>
      <c r="F281"/>
      <c r="G281"/>
      <c r="H281"/>
    </row>
    <row r="282" spans="1:8" x14ac:dyDescent="0.25">
      <c r="A282"/>
      <c r="B282"/>
      <c r="C282"/>
      <c r="D282"/>
      <c r="E282"/>
      <c r="F282"/>
      <c r="G282"/>
      <c r="H282"/>
    </row>
    <row r="283" spans="1:8" x14ac:dyDescent="0.25">
      <c r="A283"/>
      <c r="B283"/>
      <c r="C283"/>
      <c r="D283"/>
      <c r="E283"/>
      <c r="F283"/>
      <c r="G283"/>
      <c r="H283"/>
    </row>
    <row r="284" spans="1:8" x14ac:dyDescent="0.25">
      <c r="A284"/>
      <c r="B284"/>
      <c r="C284"/>
      <c r="D284"/>
      <c r="E284"/>
      <c r="F284"/>
      <c r="G284"/>
      <c r="H284"/>
    </row>
    <row r="285" spans="1:8" x14ac:dyDescent="0.25">
      <c r="A285"/>
      <c r="B285"/>
      <c r="C285"/>
      <c r="D285"/>
      <c r="E285"/>
      <c r="F285"/>
      <c r="G285"/>
      <c r="H285"/>
    </row>
    <row r="286" spans="1:8" x14ac:dyDescent="0.25">
      <c r="A286"/>
      <c r="B286"/>
      <c r="C286"/>
      <c r="D286"/>
      <c r="E286"/>
      <c r="F286"/>
      <c r="G286"/>
      <c r="H286"/>
    </row>
    <row r="287" spans="1:8" x14ac:dyDescent="0.25">
      <c r="A287"/>
      <c r="B287"/>
      <c r="C287"/>
      <c r="D287"/>
      <c r="E287"/>
      <c r="F287"/>
      <c r="G287"/>
      <c r="H287"/>
    </row>
    <row r="288" spans="1:8" x14ac:dyDescent="0.25">
      <c r="A288"/>
      <c r="B288"/>
      <c r="C288"/>
      <c r="D288"/>
      <c r="E288"/>
      <c r="F288"/>
      <c r="G288"/>
      <c r="H288"/>
    </row>
    <row r="289" spans="1:8" x14ac:dyDescent="0.25">
      <c r="A289"/>
      <c r="B289"/>
      <c r="C289"/>
      <c r="D289"/>
      <c r="E289"/>
      <c r="F289"/>
      <c r="G289"/>
      <c r="H289"/>
    </row>
    <row r="290" spans="1:8" x14ac:dyDescent="0.25">
      <c r="A290"/>
      <c r="B290"/>
      <c r="C290"/>
      <c r="D290"/>
      <c r="E290"/>
      <c r="F290"/>
      <c r="G290"/>
      <c r="H290"/>
    </row>
    <row r="291" spans="1:8" x14ac:dyDescent="0.25">
      <c r="A291"/>
      <c r="B291"/>
      <c r="C291"/>
      <c r="D291"/>
      <c r="E291"/>
      <c r="F291"/>
      <c r="G291"/>
      <c r="H291"/>
    </row>
    <row r="292" spans="1:8" x14ac:dyDescent="0.25">
      <c r="A292"/>
      <c r="B292"/>
      <c r="C292"/>
      <c r="D292"/>
      <c r="E292"/>
      <c r="F292"/>
      <c r="G292"/>
      <c r="H292"/>
    </row>
    <row r="293" spans="1:8" x14ac:dyDescent="0.25">
      <c r="A293"/>
      <c r="B293"/>
      <c r="C293"/>
      <c r="D293"/>
      <c r="E293"/>
      <c r="F293"/>
      <c r="G293"/>
      <c r="H293"/>
    </row>
    <row r="294" spans="1:8" x14ac:dyDescent="0.25">
      <c r="A294"/>
      <c r="B294"/>
      <c r="C294"/>
      <c r="D294"/>
      <c r="E294"/>
      <c r="F294"/>
      <c r="G294"/>
      <c r="H294"/>
    </row>
    <row r="295" spans="1:8" x14ac:dyDescent="0.25">
      <c r="A295"/>
      <c r="B295"/>
      <c r="C295"/>
      <c r="D295"/>
      <c r="E295"/>
      <c r="F295"/>
      <c r="G295"/>
      <c r="H295"/>
    </row>
    <row r="296" spans="1:8" x14ac:dyDescent="0.25">
      <c r="A296"/>
      <c r="B296"/>
      <c r="C296"/>
      <c r="D296"/>
      <c r="E296"/>
      <c r="F296"/>
      <c r="G296"/>
      <c r="H296"/>
    </row>
    <row r="297" spans="1:8" x14ac:dyDescent="0.25">
      <c r="A297"/>
      <c r="B297"/>
      <c r="C297"/>
      <c r="D297"/>
      <c r="E297"/>
      <c r="F297"/>
      <c r="G297"/>
      <c r="H297"/>
    </row>
    <row r="298" spans="1:8" x14ac:dyDescent="0.25">
      <c r="A298"/>
      <c r="B298"/>
      <c r="C298"/>
      <c r="D298"/>
      <c r="E298"/>
      <c r="F298"/>
      <c r="G298"/>
      <c r="H298"/>
    </row>
    <row r="299" spans="1:8" x14ac:dyDescent="0.25">
      <c r="A299"/>
      <c r="B299"/>
      <c r="C299"/>
      <c r="D299"/>
      <c r="E299"/>
      <c r="F299"/>
      <c r="G299"/>
      <c r="H299"/>
    </row>
    <row r="300" spans="1:8" x14ac:dyDescent="0.25">
      <c r="A300"/>
      <c r="B300"/>
      <c r="C300"/>
      <c r="D300"/>
      <c r="E300"/>
      <c r="F300"/>
      <c r="G300"/>
      <c r="H300"/>
    </row>
    <row r="301" spans="1:8" x14ac:dyDescent="0.25">
      <c r="A301"/>
      <c r="B301"/>
      <c r="C301"/>
      <c r="D301"/>
      <c r="E301"/>
      <c r="F301"/>
      <c r="G301"/>
      <c r="H301"/>
    </row>
    <row r="302" spans="1:8" x14ac:dyDescent="0.25">
      <c r="A302"/>
      <c r="B302"/>
      <c r="C302"/>
      <c r="D302"/>
      <c r="E302"/>
      <c r="F302"/>
      <c r="G302"/>
      <c r="H302"/>
    </row>
    <row r="303" spans="1:8" x14ac:dyDescent="0.25">
      <c r="A303"/>
      <c r="B303"/>
      <c r="C303"/>
      <c r="D303"/>
      <c r="E303"/>
      <c r="F303"/>
      <c r="G303"/>
      <c r="H303"/>
    </row>
    <row r="304" spans="1:8" x14ac:dyDescent="0.25">
      <c r="A304"/>
      <c r="B304"/>
      <c r="C304"/>
      <c r="D304"/>
      <c r="E304"/>
      <c r="F304"/>
      <c r="G304"/>
      <c r="H304"/>
    </row>
    <row r="305" spans="1:8" x14ac:dyDescent="0.25">
      <c r="A305"/>
      <c r="B305"/>
      <c r="C305"/>
      <c r="D305"/>
      <c r="E305"/>
      <c r="F305"/>
      <c r="G305"/>
      <c r="H305"/>
    </row>
    <row r="306" spans="1:8" x14ac:dyDescent="0.25">
      <c r="A306"/>
      <c r="B306"/>
      <c r="C306"/>
      <c r="D306"/>
      <c r="E306"/>
      <c r="F306"/>
      <c r="G306"/>
      <c r="H306"/>
    </row>
    <row r="307" spans="1:8" x14ac:dyDescent="0.25">
      <c r="A307"/>
      <c r="B307"/>
      <c r="C307"/>
      <c r="D307"/>
      <c r="E307"/>
      <c r="F307"/>
      <c r="G307"/>
      <c r="H307"/>
    </row>
    <row r="308" spans="1:8" x14ac:dyDescent="0.25">
      <c r="A308"/>
      <c r="B308"/>
      <c r="C308"/>
      <c r="D308"/>
      <c r="E308"/>
      <c r="F308"/>
      <c r="G308"/>
      <c r="H308"/>
    </row>
    <row r="309" spans="1:8" x14ac:dyDescent="0.25">
      <c r="A309"/>
      <c r="B309"/>
      <c r="C309"/>
      <c r="D309"/>
      <c r="E309"/>
      <c r="F309"/>
      <c r="G309"/>
      <c r="H309"/>
    </row>
    <row r="310" spans="1:8" x14ac:dyDescent="0.25">
      <c r="A310"/>
      <c r="B310"/>
      <c r="C310"/>
      <c r="D310"/>
      <c r="E310"/>
      <c r="F310"/>
      <c r="G310"/>
      <c r="H310"/>
    </row>
    <row r="311" spans="1:8" x14ac:dyDescent="0.25">
      <c r="A311"/>
      <c r="B311"/>
      <c r="C311"/>
      <c r="D311"/>
      <c r="E311"/>
      <c r="F311"/>
      <c r="G311"/>
      <c r="H311"/>
    </row>
    <row r="312" spans="1:8" x14ac:dyDescent="0.25">
      <c r="A312"/>
      <c r="B312"/>
      <c r="C312"/>
      <c r="D312"/>
      <c r="E312"/>
      <c r="F312"/>
      <c r="G312"/>
      <c r="H312"/>
    </row>
    <row r="313" spans="1:8" x14ac:dyDescent="0.25">
      <c r="A313"/>
      <c r="B313"/>
      <c r="C313"/>
      <c r="D313"/>
      <c r="E313"/>
      <c r="F313"/>
      <c r="G313"/>
      <c r="H313"/>
    </row>
    <row r="314" spans="1:8" x14ac:dyDescent="0.25">
      <c r="A314"/>
      <c r="B314"/>
      <c r="C314"/>
      <c r="D314"/>
      <c r="E314"/>
      <c r="F314"/>
      <c r="G314"/>
      <c r="H314"/>
    </row>
    <row r="315" spans="1:8" x14ac:dyDescent="0.25">
      <c r="A315"/>
      <c r="B315"/>
      <c r="C315"/>
      <c r="D315"/>
      <c r="E315"/>
      <c r="F315"/>
      <c r="G315"/>
      <c r="H315"/>
    </row>
    <row r="316" spans="1:8" x14ac:dyDescent="0.25">
      <c r="A316"/>
      <c r="B316"/>
      <c r="C316"/>
      <c r="D316"/>
      <c r="E316"/>
      <c r="F316"/>
      <c r="G316"/>
      <c r="H316"/>
    </row>
    <row r="317" spans="1:8" x14ac:dyDescent="0.25">
      <c r="A317"/>
      <c r="B317"/>
      <c r="C317"/>
      <c r="D317"/>
      <c r="E317"/>
      <c r="F317"/>
      <c r="G317"/>
      <c r="H317"/>
    </row>
    <row r="318" spans="1:8" x14ac:dyDescent="0.25">
      <c r="A318"/>
      <c r="B318"/>
      <c r="C318"/>
      <c r="D318"/>
      <c r="E318"/>
      <c r="F318"/>
      <c r="G318"/>
      <c r="H318"/>
    </row>
    <row r="319" spans="1:8" x14ac:dyDescent="0.25">
      <c r="A319"/>
      <c r="B319"/>
      <c r="C319"/>
      <c r="D319"/>
      <c r="E319"/>
      <c r="F319"/>
      <c r="G319"/>
      <c r="H319"/>
    </row>
    <row r="320" spans="1:8" x14ac:dyDescent="0.25">
      <c r="A320"/>
      <c r="B320"/>
      <c r="C320"/>
      <c r="D320"/>
      <c r="E320"/>
      <c r="F320"/>
      <c r="G320"/>
      <c r="H320"/>
    </row>
    <row r="321" spans="1:8" x14ac:dyDescent="0.25">
      <c r="A321"/>
      <c r="B321"/>
      <c r="C321"/>
      <c r="D321"/>
      <c r="E321"/>
      <c r="F321"/>
      <c r="G321"/>
      <c r="H321"/>
    </row>
    <row r="322" spans="1:8" x14ac:dyDescent="0.25">
      <c r="A322"/>
      <c r="B322"/>
      <c r="C322"/>
      <c r="D322"/>
      <c r="E322"/>
      <c r="F322"/>
      <c r="G322"/>
      <c r="H322"/>
    </row>
    <row r="323" spans="1:8" x14ac:dyDescent="0.25">
      <c r="A323"/>
      <c r="B323"/>
      <c r="C323"/>
      <c r="D323"/>
      <c r="E323"/>
      <c r="F323"/>
      <c r="G323"/>
      <c r="H323"/>
    </row>
    <row r="324" spans="1:8" x14ac:dyDescent="0.25">
      <c r="A324"/>
      <c r="B324"/>
      <c r="C324"/>
      <c r="D324"/>
      <c r="E324"/>
      <c r="F324"/>
      <c r="G324"/>
      <c r="H324"/>
    </row>
    <row r="325" spans="1:8" x14ac:dyDescent="0.25">
      <c r="A325"/>
      <c r="B325"/>
      <c r="C325"/>
      <c r="D325"/>
      <c r="E325"/>
      <c r="F325"/>
      <c r="G325"/>
      <c r="H325"/>
    </row>
    <row r="326" spans="1:8" x14ac:dyDescent="0.25">
      <c r="A326"/>
      <c r="B326"/>
      <c r="C326"/>
      <c r="D326"/>
      <c r="E326"/>
      <c r="F326"/>
      <c r="G326"/>
      <c r="H326"/>
    </row>
    <row r="327" spans="1:8" x14ac:dyDescent="0.25">
      <c r="A327"/>
      <c r="B327"/>
      <c r="C327"/>
      <c r="D327"/>
      <c r="E327"/>
      <c r="F327"/>
      <c r="G327"/>
      <c r="H327"/>
    </row>
    <row r="328" spans="1:8" x14ac:dyDescent="0.25">
      <c r="A328"/>
      <c r="B328"/>
      <c r="C328"/>
      <c r="D328"/>
      <c r="E328"/>
      <c r="F328"/>
      <c r="G328"/>
      <c r="H328"/>
    </row>
    <row r="329" spans="1:8" x14ac:dyDescent="0.25">
      <c r="A329"/>
      <c r="B329"/>
      <c r="C329"/>
      <c r="D329"/>
      <c r="E329"/>
      <c r="F329"/>
      <c r="G329"/>
      <c r="H329"/>
    </row>
    <row r="330" spans="1:8" x14ac:dyDescent="0.25">
      <c r="A330"/>
      <c r="B330"/>
      <c r="C330"/>
      <c r="D330"/>
      <c r="E330"/>
      <c r="F330"/>
      <c r="G330"/>
      <c r="H330"/>
    </row>
    <row r="331" spans="1:8" x14ac:dyDescent="0.25">
      <c r="A331"/>
      <c r="B331"/>
      <c r="C331"/>
      <c r="D331"/>
      <c r="E331"/>
      <c r="F331"/>
      <c r="G331"/>
      <c r="H331"/>
    </row>
    <row r="332" spans="1:8" x14ac:dyDescent="0.25">
      <c r="A332"/>
      <c r="B332"/>
      <c r="C332"/>
      <c r="D332"/>
      <c r="E332"/>
      <c r="F332"/>
      <c r="G332"/>
      <c r="H332"/>
    </row>
    <row r="333" spans="1:8" x14ac:dyDescent="0.25">
      <c r="A333"/>
      <c r="B333"/>
      <c r="C333"/>
      <c r="D333"/>
      <c r="E333"/>
      <c r="F333"/>
      <c r="G333"/>
      <c r="H333"/>
    </row>
    <row r="334" spans="1:8" x14ac:dyDescent="0.25">
      <c r="A334"/>
      <c r="B334"/>
      <c r="C334"/>
      <c r="D334"/>
      <c r="E334"/>
      <c r="F334"/>
      <c r="G334"/>
      <c r="H334"/>
    </row>
    <row r="335" spans="1:8" x14ac:dyDescent="0.25">
      <c r="A335"/>
      <c r="B335"/>
      <c r="C335"/>
      <c r="D335"/>
      <c r="E335"/>
      <c r="F335"/>
      <c r="G335"/>
      <c r="H335"/>
    </row>
    <row r="336" spans="1:8" x14ac:dyDescent="0.25">
      <c r="A336"/>
      <c r="B336"/>
      <c r="C336"/>
      <c r="D336"/>
      <c r="E336"/>
      <c r="F336"/>
      <c r="G336"/>
      <c r="H336"/>
    </row>
    <row r="337" spans="1:8" x14ac:dyDescent="0.25">
      <c r="A337"/>
      <c r="B337"/>
      <c r="C337"/>
      <c r="D337"/>
      <c r="E337"/>
      <c r="F337"/>
      <c r="G337"/>
      <c r="H337"/>
    </row>
    <row r="338" spans="1:8" x14ac:dyDescent="0.25">
      <c r="A338"/>
      <c r="B338"/>
      <c r="C338"/>
      <c r="D338"/>
      <c r="E338"/>
      <c r="F338"/>
      <c r="G338"/>
      <c r="H338"/>
    </row>
    <row r="339" spans="1:8" x14ac:dyDescent="0.25">
      <c r="A339"/>
      <c r="B339"/>
      <c r="C339"/>
      <c r="D339"/>
      <c r="E339"/>
      <c r="F339"/>
      <c r="G339"/>
      <c r="H339"/>
    </row>
    <row r="340" spans="1:8" x14ac:dyDescent="0.25">
      <c r="A340"/>
      <c r="B340"/>
      <c r="C340"/>
      <c r="D340"/>
      <c r="E340"/>
      <c r="F340"/>
      <c r="G340"/>
      <c r="H340"/>
    </row>
    <row r="341" spans="1:8" x14ac:dyDescent="0.25">
      <c r="A341"/>
      <c r="B341"/>
      <c r="C341"/>
      <c r="D341"/>
      <c r="E341"/>
      <c r="F341"/>
      <c r="G341"/>
      <c r="H341"/>
    </row>
    <row r="342" spans="1:8" x14ac:dyDescent="0.25">
      <c r="A342"/>
      <c r="B342"/>
      <c r="C342"/>
      <c r="D342"/>
      <c r="E342"/>
      <c r="F342"/>
      <c r="G342"/>
      <c r="H342"/>
    </row>
    <row r="343" spans="1:8" x14ac:dyDescent="0.25">
      <c r="A343"/>
      <c r="B343"/>
      <c r="C343"/>
      <c r="D343"/>
      <c r="E343"/>
      <c r="F343"/>
      <c r="G343"/>
      <c r="H343"/>
    </row>
    <row r="344" spans="1:8" x14ac:dyDescent="0.25">
      <c r="A344"/>
      <c r="B344"/>
      <c r="C344"/>
      <c r="D344"/>
      <c r="E344"/>
      <c r="F344"/>
      <c r="G344"/>
      <c r="H344"/>
    </row>
    <row r="345" spans="1:8" x14ac:dyDescent="0.25">
      <c r="A345"/>
      <c r="B345"/>
      <c r="C345"/>
      <c r="D345"/>
      <c r="E345"/>
      <c r="F345"/>
      <c r="G345"/>
      <c r="H345"/>
    </row>
    <row r="346" spans="1:8" x14ac:dyDescent="0.25">
      <c r="A346"/>
      <c r="B346"/>
      <c r="C346"/>
      <c r="D346"/>
      <c r="E346"/>
      <c r="F346"/>
      <c r="G346"/>
      <c r="H346"/>
    </row>
    <row r="347" spans="1:8" x14ac:dyDescent="0.25">
      <c r="A347"/>
      <c r="B347"/>
      <c r="C347"/>
      <c r="D347"/>
      <c r="E347"/>
      <c r="F347"/>
      <c r="G347"/>
      <c r="H347"/>
    </row>
    <row r="348" spans="1:8" x14ac:dyDescent="0.25">
      <c r="A348"/>
      <c r="B348"/>
      <c r="C348"/>
      <c r="D348"/>
      <c r="E348"/>
      <c r="F348"/>
      <c r="G348"/>
      <c r="H348"/>
    </row>
    <row r="349" spans="1:8" x14ac:dyDescent="0.25">
      <c r="A349"/>
      <c r="B349"/>
      <c r="C349"/>
      <c r="D349"/>
      <c r="E349"/>
      <c r="F349"/>
      <c r="G349"/>
      <c r="H349"/>
    </row>
    <row r="350" spans="1:8" x14ac:dyDescent="0.25">
      <c r="A350"/>
      <c r="B350"/>
      <c r="C350"/>
      <c r="D350"/>
      <c r="E350"/>
      <c r="F350"/>
      <c r="G350"/>
      <c r="H350"/>
    </row>
    <row r="351" spans="1:8" x14ac:dyDescent="0.25">
      <c r="A351"/>
      <c r="B351"/>
      <c r="C351"/>
      <c r="D351"/>
      <c r="E351"/>
      <c r="F351"/>
      <c r="G351"/>
      <c r="H351"/>
    </row>
    <row r="352" spans="1:8" x14ac:dyDescent="0.25">
      <c r="A352"/>
      <c r="B352"/>
      <c r="C352"/>
      <c r="D352"/>
      <c r="E352"/>
      <c r="F352"/>
      <c r="G352"/>
      <c r="H352"/>
    </row>
    <row r="353" spans="1:8" x14ac:dyDescent="0.25">
      <c r="A353"/>
      <c r="B353"/>
      <c r="C353"/>
      <c r="D353"/>
      <c r="E353"/>
      <c r="F353"/>
      <c r="G353"/>
      <c r="H353"/>
    </row>
    <row r="354" spans="1:8" x14ac:dyDescent="0.25">
      <c r="A354"/>
      <c r="B354"/>
      <c r="C354"/>
      <c r="D354"/>
      <c r="E354"/>
      <c r="F354"/>
      <c r="G354"/>
      <c r="H354"/>
    </row>
    <row r="355" spans="1:8" x14ac:dyDescent="0.25">
      <c r="A355"/>
      <c r="B355"/>
      <c r="C355"/>
      <c r="D355"/>
      <c r="E355"/>
      <c r="F355"/>
      <c r="G355"/>
      <c r="H355"/>
    </row>
    <row r="356" spans="1:8" x14ac:dyDescent="0.25">
      <c r="A356"/>
      <c r="B356"/>
      <c r="C356"/>
      <c r="D356"/>
      <c r="E356"/>
      <c r="F356"/>
      <c r="G356"/>
      <c r="H356"/>
    </row>
    <row r="357" spans="1:8" x14ac:dyDescent="0.25">
      <c r="A357"/>
      <c r="B357"/>
      <c r="C357"/>
      <c r="D357"/>
      <c r="E357"/>
      <c r="F357"/>
      <c r="G357"/>
      <c r="H357"/>
    </row>
    <row r="358" spans="1:8" x14ac:dyDescent="0.25">
      <c r="A358"/>
      <c r="B358"/>
      <c r="C358"/>
      <c r="D358"/>
      <c r="E358"/>
      <c r="F358"/>
      <c r="G358"/>
      <c r="H358"/>
    </row>
    <row r="359" spans="1:8" x14ac:dyDescent="0.25">
      <c r="A359"/>
      <c r="B359"/>
      <c r="C359"/>
      <c r="D359"/>
      <c r="E359"/>
      <c r="F359"/>
      <c r="G359"/>
      <c r="H359"/>
    </row>
    <row r="360" spans="1:8" x14ac:dyDescent="0.25">
      <c r="A360"/>
      <c r="B360"/>
      <c r="C360"/>
      <c r="D360"/>
      <c r="E360"/>
      <c r="F360"/>
      <c r="G360"/>
      <c r="H360"/>
    </row>
    <row r="361" spans="1:8" x14ac:dyDescent="0.25">
      <c r="A361"/>
      <c r="B361"/>
      <c r="C361"/>
      <c r="D361"/>
      <c r="E361"/>
      <c r="F361"/>
      <c r="G361"/>
      <c r="H361"/>
    </row>
    <row r="362" spans="1:8" x14ac:dyDescent="0.25">
      <c r="A362"/>
      <c r="B362"/>
      <c r="C362"/>
      <c r="D362"/>
      <c r="E362"/>
      <c r="F362"/>
      <c r="G362"/>
      <c r="H362"/>
    </row>
    <row r="363" spans="1:8" x14ac:dyDescent="0.25">
      <c r="A363"/>
      <c r="B363"/>
      <c r="C363"/>
      <c r="D363"/>
      <c r="E363"/>
      <c r="F363"/>
      <c r="G363"/>
      <c r="H363"/>
    </row>
    <row r="364" spans="1:8" x14ac:dyDescent="0.25">
      <c r="A364"/>
      <c r="B364"/>
      <c r="C364"/>
      <c r="D364"/>
      <c r="E364"/>
      <c r="F364"/>
      <c r="G364"/>
      <c r="H364"/>
    </row>
    <row r="365" spans="1:8" x14ac:dyDescent="0.25">
      <c r="A365"/>
      <c r="B365"/>
      <c r="C365"/>
      <c r="D365"/>
      <c r="E365"/>
      <c r="F365"/>
      <c r="G365"/>
      <c r="H365"/>
    </row>
    <row r="366" spans="1:8" x14ac:dyDescent="0.25">
      <c r="A366"/>
      <c r="B366"/>
      <c r="C366"/>
      <c r="D366"/>
      <c r="E366"/>
      <c r="F366"/>
      <c r="G366"/>
      <c r="H366"/>
    </row>
    <row r="367" spans="1:8" x14ac:dyDescent="0.25">
      <c r="A367"/>
      <c r="B367"/>
      <c r="C367"/>
      <c r="D367"/>
      <c r="E367"/>
      <c r="F367"/>
      <c r="G367"/>
      <c r="H367"/>
    </row>
    <row r="368" spans="1:8" x14ac:dyDescent="0.25">
      <c r="A368"/>
      <c r="B368"/>
      <c r="C368"/>
      <c r="D368"/>
      <c r="E368"/>
      <c r="F368"/>
      <c r="G368"/>
      <c r="H368"/>
    </row>
    <row r="369" spans="1:8" x14ac:dyDescent="0.25">
      <c r="A369"/>
      <c r="B369"/>
      <c r="C369"/>
      <c r="D369"/>
      <c r="E369"/>
      <c r="F369"/>
      <c r="G369"/>
      <c r="H369"/>
    </row>
    <row r="370" spans="1:8" x14ac:dyDescent="0.25">
      <c r="A370"/>
      <c r="B370"/>
      <c r="C370"/>
      <c r="D370"/>
      <c r="E370"/>
      <c r="F370"/>
      <c r="G370"/>
      <c r="H370"/>
    </row>
    <row r="371" spans="1:8" x14ac:dyDescent="0.25">
      <c r="A371"/>
      <c r="B371"/>
      <c r="C371"/>
      <c r="D371"/>
      <c r="E371"/>
      <c r="F371"/>
      <c r="G371"/>
      <c r="H371"/>
    </row>
    <row r="372" spans="1:8" x14ac:dyDescent="0.25">
      <c r="A372"/>
      <c r="B372"/>
      <c r="C372"/>
      <c r="D372"/>
      <c r="E372"/>
      <c r="F372"/>
      <c r="G372"/>
      <c r="H372"/>
    </row>
    <row r="373" spans="1:8" x14ac:dyDescent="0.25">
      <c r="A373"/>
      <c r="B373"/>
      <c r="C373"/>
      <c r="D373"/>
      <c r="E373"/>
      <c r="F373"/>
      <c r="G373"/>
      <c r="H373"/>
    </row>
    <row r="374" spans="1:8" x14ac:dyDescent="0.25">
      <c r="A374"/>
      <c r="B374"/>
      <c r="C374"/>
      <c r="D374"/>
      <c r="E374"/>
      <c r="F374"/>
      <c r="G374"/>
      <c r="H374"/>
    </row>
    <row r="375" spans="1:8" x14ac:dyDescent="0.25">
      <c r="A375"/>
      <c r="B375"/>
      <c r="C375"/>
      <c r="D375"/>
      <c r="E375"/>
      <c r="F375"/>
      <c r="G375"/>
      <c r="H375"/>
    </row>
    <row r="376" spans="1:8" x14ac:dyDescent="0.25">
      <c r="A376"/>
      <c r="B376"/>
      <c r="C376"/>
      <c r="D376"/>
      <c r="E376"/>
      <c r="F376"/>
      <c r="G376"/>
      <c r="H376"/>
    </row>
    <row r="377" spans="1:8" x14ac:dyDescent="0.25">
      <c r="A377"/>
      <c r="B377"/>
      <c r="C377"/>
      <c r="D377"/>
      <c r="E377"/>
      <c r="F377"/>
      <c r="G377"/>
      <c r="H377"/>
    </row>
    <row r="378" spans="1:8" x14ac:dyDescent="0.25">
      <c r="A378"/>
      <c r="B378"/>
      <c r="C378"/>
      <c r="D378"/>
      <c r="E378"/>
      <c r="F378"/>
      <c r="G378"/>
      <c r="H378"/>
    </row>
    <row r="379" spans="1:8" x14ac:dyDescent="0.25">
      <c r="A379"/>
      <c r="B379"/>
      <c r="C379"/>
      <c r="D379"/>
      <c r="E379"/>
      <c r="F379"/>
      <c r="G379"/>
      <c r="H379"/>
    </row>
    <row r="380" spans="1:8" x14ac:dyDescent="0.25">
      <c r="A380"/>
      <c r="B380"/>
      <c r="C380"/>
      <c r="D380"/>
      <c r="E380"/>
      <c r="F380"/>
      <c r="G380"/>
      <c r="H380"/>
    </row>
    <row r="381" spans="1:8" x14ac:dyDescent="0.25">
      <c r="A381"/>
      <c r="B381"/>
      <c r="C381"/>
      <c r="D381"/>
      <c r="E381"/>
      <c r="F381"/>
      <c r="G381"/>
      <c r="H381"/>
    </row>
    <row r="382" spans="1:8" x14ac:dyDescent="0.25">
      <c r="A382"/>
      <c r="B382"/>
      <c r="C382"/>
      <c r="D382"/>
      <c r="E382"/>
      <c r="F382"/>
      <c r="G382"/>
      <c r="H382"/>
    </row>
    <row r="383" spans="1:8" x14ac:dyDescent="0.25">
      <c r="A383"/>
      <c r="B383"/>
      <c r="C383"/>
      <c r="D383"/>
      <c r="E383"/>
      <c r="F383"/>
      <c r="G383"/>
      <c r="H383"/>
    </row>
    <row r="384" spans="1:8" x14ac:dyDescent="0.25">
      <c r="A384"/>
      <c r="B384"/>
      <c r="C384"/>
      <c r="D384"/>
      <c r="E384"/>
      <c r="F384"/>
      <c r="G384"/>
      <c r="H384"/>
    </row>
    <row r="385" spans="1:8" x14ac:dyDescent="0.25">
      <c r="A385"/>
      <c r="B385"/>
      <c r="C385"/>
      <c r="D385"/>
      <c r="E385"/>
      <c r="F385"/>
      <c r="G385"/>
      <c r="H385"/>
    </row>
    <row r="386" spans="1:8" x14ac:dyDescent="0.25">
      <c r="A386"/>
      <c r="B386"/>
      <c r="C386"/>
      <c r="D386"/>
      <c r="E386"/>
      <c r="F386"/>
      <c r="G386"/>
      <c r="H386"/>
    </row>
    <row r="387" spans="1:8" x14ac:dyDescent="0.25">
      <c r="A387"/>
      <c r="B387"/>
      <c r="C387"/>
      <c r="D387"/>
      <c r="E387"/>
      <c r="F387"/>
      <c r="G387"/>
      <c r="H387"/>
    </row>
    <row r="388" spans="1:8" x14ac:dyDescent="0.25">
      <c r="A388"/>
      <c r="B388"/>
      <c r="C388"/>
      <c r="D388"/>
      <c r="E388"/>
      <c r="F388"/>
      <c r="G388"/>
      <c r="H388"/>
    </row>
    <row r="389" spans="1:8" x14ac:dyDescent="0.25">
      <c r="A389"/>
      <c r="B389"/>
      <c r="C389"/>
      <c r="D389"/>
      <c r="E389"/>
      <c r="F389"/>
      <c r="G389"/>
      <c r="H389"/>
    </row>
    <row r="390" spans="1:8" x14ac:dyDescent="0.25">
      <c r="A390"/>
      <c r="B390"/>
      <c r="C390"/>
      <c r="D390"/>
      <c r="E390"/>
      <c r="F390"/>
      <c r="G390"/>
      <c r="H390"/>
    </row>
    <row r="391" spans="1:8" x14ac:dyDescent="0.25">
      <c r="A391"/>
      <c r="B391"/>
      <c r="C391"/>
      <c r="D391"/>
      <c r="E391"/>
      <c r="F391"/>
      <c r="G391"/>
      <c r="H391"/>
    </row>
    <row r="392" spans="1:8" x14ac:dyDescent="0.25">
      <c r="A392"/>
      <c r="B392"/>
      <c r="C392"/>
      <c r="D392"/>
      <c r="E392"/>
      <c r="F392"/>
      <c r="G392"/>
      <c r="H392"/>
    </row>
    <row r="393" spans="1:8" x14ac:dyDescent="0.25">
      <c r="A393"/>
      <c r="B393"/>
      <c r="C393"/>
      <c r="D393"/>
      <c r="E393"/>
      <c r="F393"/>
      <c r="G393"/>
      <c r="H393"/>
    </row>
    <row r="394" spans="1:8" x14ac:dyDescent="0.25">
      <c r="A394"/>
      <c r="B394"/>
      <c r="C394"/>
      <c r="D394"/>
      <c r="E394"/>
      <c r="F394"/>
      <c r="G394"/>
      <c r="H394"/>
    </row>
    <row r="395" spans="1:8" x14ac:dyDescent="0.25">
      <c r="A395"/>
      <c r="B395"/>
      <c r="C395"/>
      <c r="D395"/>
      <c r="E395"/>
      <c r="F395"/>
      <c r="G395"/>
      <c r="H395"/>
    </row>
    <row r="396" spans="1:8" x14ac:dyDescent="0.25">
      <c r="A396"/>
      <c r="B396"/>
      <c r="C396"/>
      <c r="D396"/>
      <c r="E396"/>
      <c r="F396"/>
      <c r="G396"/>
      <c r="H396"/>
    </row>
    <row r="397" spans="1:8" x14ac:dyDescent="0.25">
      <c r="A397"/>
      <c r="B397"/>
      <c r="C397"/>
      <c r="D397"/>
      <c r="E397"/>
      <c r="F397"/>
      <c r="G397"/>
      <c r="H397"/>
    </row>
    <row r="398" spans="1:8" x14ac:dyDescent="0.25">
      <c r="A398"/>
      <c r="B398"/>
      <c r="C398"/>
      <c r="D398"/>
      <c r="E398"/>
      <c r="F398"/>
      <c r="G398"/>
      <c r="H398"/>
    </row>
    <row r="399" spans="1:8" x14ac:dyDescent="0.25">
      <c r="A399"/>
      <c r="B399"/>
      <c r="C399"/>
      <c r="D399"/>
      <c r="E399"/>
      <c r="F399"/>
      <c r="G399"/>
      <c r="H399"/>
    </row>
    <row r="400" spans="1:8" x14ac:dyDescent="0.25">
      <c r="A400"/>
      <c r="B400"/>
      <c r="C400"/>
      <c r="D400"/>
      <c r="E400"/>
      <c r="F400"/>
      <c r="G400"/>
      <c r="H400"/>
    </row>
    <row r="401" spans="1:8" x14ac:dyDescent="0.25">
      <c r="A401"/>
      <c r="B401"/>
      <c r="C401"/>
      <c r="D401"/>
      <c r="E401"/>
      <c r="F401"/>
      <c r="G401"/>
      <c r="H401"/>
    </row>
    <row r="402" spans="1:8" x14ac:dyDescent="0.25">
      <c r="A402"/>
      <c r="B402"/>
      <c r="C402"/>
      <c r="D402"/>
      <c r="E402"/>
      <c r="F402"/>
      <c r="G402"/>
      <c r="H402"/>
    </row>
    <row r="403" spans="1:8" x14ac:dyDescent="0.25">
      <c r="A403"/>
      <c r="B403"/>
      <c r="C403"/>
      <c r="D403"/>
      <c r="E403"/>
      <c r="F403"/>
      <c r="G403"/>
      <c r="H403"/>
    </row>
    <row r="404" spans="1:8" x14ac:dyDescent="0.25">
      <c r="A404"/>
      <c r="B404"/>
      <c r="C404"/>
      <c r="D404"/>
      <c r="E404"/>
      <c r="F404"/>
      <c r="G404"/>
      <c r="H404"/>
    </row>
    <row r="405" spans="1:8" x14ac:dyDescent="0.25">
      <c r="A405"/>
      <c r="B405"/>
      <c r="C405"/>
      <c r="D405"/>
      <c r="E405"/>
      <c r="F405"/>
      <c r="G405"/>
      <c r="H405"/>
    </row>
    <row r="406" spans="1:8" x14ac:dyDescent="0.25">
      <c r="A406"/>
      <c r="B406"/>
      <c r="C406"/>
      <c r="D406"/>
      <c r="E406"/>
      <c r="F406"/>
      <c r="G406"/>
      <c r="H406"/>
    </row>
    <row r="407" spans="1:8" x14ac:dyDescent="0.25">
      <c r="A407"/>
      <c r="B407"/>
      <c r="C407"/>
      <c r="D407"/>
      <c r="E407"/>
      <c r="F407"/>
      <c r="G407"/>
      <c r="H407"/>
    </row>
    <row r="408" spans="1:8" x14ac:dyDescent="0.25">
      <c r="A408"/>
      <c r="B408"/>
      <c r="C408"/>
      <c r="D408"/>
      <c r="E408"/>
      <c r="F408"/>
      <c r="G408"/>
      <c r="H408"/>
    </row>
    <row r="409" spans="1:8" x14ac:dyDescent="0.25">
      <c r="A409"/>
      <c r="B409"/>
      <c r="C409"/>
      <c r="D409"/>
      <c r="E409"/>
      <c r="F409"/>
      <c r="G409"/>
      <c r="H409"/>
    </row>
    <row r="410" spans="1:8" x14ac:dyDescent="0.25">
      <c r="A410"/>
      <c r="B410"/>
      <c r="C410"/>
      <c r="D410"/>
      <c r="E410"/>
      <c r="F410"/>
      <c r="G410"/>
      <c r="H410"/>
    </row>
    <row r="411" spans="1:8" x14ac:dyDescent="0.25">
      <c r="A411"/>
      <c r="B411"/>
      <c r="C411"/>
      <c r="D411"/>
      <c r="E411"/>
      <c r="F411"/>
      <c r="G411"/>
      <c r="H411"/>
    </row>
    <row r="412" spans="1:8" x14ac:dyDescent="0.25">
      <c r="A412"/>
      <c r="B412"/>
      <c r="C412"/>
      <c r="D412"/>
      <c r="E412"/>
      <c r="F412"/>
      <c r="G412"/>
      <c r="H412"/>
    </row>
    <row r="413" spans="1:8" x14ac:dyDescent="0.25">
      <c r="A413"/>
      <c r="B413"/>
      <c r="C413"/>
      <c r="D413"/>
      <c r="E413"/>
      <c r="F413"/>
      <c r="G413"/>
      <c r="H413"/>
    </row>
    <row r="414" spans="1:8" x14ac:dyDescent="0.25">
      <c r="A414"/>
      <c r="B414"/>
      <c r="C414"/>
      <c r="D414"/>
      <c r="E414"/>
      <c r="F414"/>
      <c r="G414"/>
      <c r="H414"/>
    </row>
    <row r="415" spans="1:8" x14ac:dyDescent="0.25">
      <c r="A415"/>
      <c r="B415"/>
      <c r="C415"/>
      <c r="D415"/>
      <c r="E415"/>
      <c r="F415"/>
      <c r="G415"/>
      <c r="H415"/>
    </row>
    <row r="416" spans="1:8" x14ac:dyDescent="0.25">
      <c r="A416"/>
      <c r="B416"/>
      <c r="C416"/>
      <c r="D416"/>
      <c r="E416"/>
      <c r="F416"/>
      <c r="G416"/>
      <c r="H416"/>
    </row>
    <row r="417" spans="1:8" x14ac:dyDescent="0.25">
      <c r="A417"/>
      <c r="B417"/>
      <c r="C417"/>
      <c r="D417"/>
      <c r="E417"/>
      <c r="F417"/>
      <c r="G417"/>
      <c r="H417"/>
    </row>
    <row r="418" spans="1:8" x14ac:dyDescent="0.25">
      <c r="A418"/>
      <c r="B418"/>
      <c r="C418"/>
      <c r="D418"/>
      <c r="E418"/>
      <c r="F418"/>
      <c r="G418"/>
      <c r="H418"/>
    </row>
    <row r="419" spans="1:8" x14ac:dyDescent="0.25">
      <c r="A419"/>
      <c r="B419"/>
      <c r="C419"/>
      <c r="D419"/>
      <c r="E419"/>
      <c r="F419"/>
      <c r="G419"/>
      <c r="H419"/>
    </row>
    <row r="420" spans="1:8" x14ac:dyDescent="0.25">
      <c r="A420"/>
      <c r="B420"/>
      <c r="C420"/>
      <c r="D420"/>
      <c r="E420"/>
      <c r="F420"/>
      <c r="G420"/>
      <c r="H420"/>
    </row>
    <row r="421" spans="1:8" x14ac:dyDescent="0.25">
      <c r="A421"/>
      <c r="B421"/>
      <c r="C421"/>
      <c r="D421"/>
      <c r="E421"/>
      <c r="F421"/>
      <c r="G421"/>
      <c r="H421"/>
    </row>
    <row r="422" spans="1:8" x14ac:dyDescent="0.25">
      <c r="A422"/>
      <c r="B422"/>
      <c r="C422"/>
      <c r="D422"/>
      <c r="E422"/>
      <c r="F422"/>
      <c r="G422"/>
      <c r="H422"/>
    </row>
    <row r="423" spans="1:8" x14ac:dyDescent="0.25">
      <c r="A423"/>
      <c r="B423"/>
      <c r="C423"/>
      <c r="D423"/>
      <c r="E423"/>
      <c r="F423"/>
      <c r="G423"/>
      <c r="H423"/>
    </row>
    <row r="424" spans="1:8" x14ac:dyDescent="0.25">
      <c r="A424"/>
      <c r="B424"/>
      <c r="C424"/>
      <c r="D424"/>
      <c r="E424"/>
      <c r="F424"/>
      <c r="G424"/>
      <c r="H424"/>
    </row>
    <row r="425" spans="1:8" x14ac:dyDescent="0.25">
      <c r="A425"/>
      <c r="B425"/>
      <c r="C425"/>
      <c r="D425"/>
      <c r="E425"/>
      <c r="F425"/>
      <c r="G425"/>
      <c r="H425"/>
    </row>
    <row r="426" spans="1:8" x14ac:dyDescent="0.25">
      <c r="A426"/>
      <c r="B426"/>
      <c r="C426"/>
      <c r="D426"/>
      <c r="E426"/>
      <c r="F426"/>
      <c r="G426"/>
      <c r="H426"/>
    </row>
    <row r="427" spans="1:8" x14ac:dyDescent="0.25">
      <c r="A427"/>
      <c r="B427"/>
      <c r="C427"/>
      <c r="D427"/>
      <c r="E427"/>
      <c r="F427"/>
      <c r="G427"/>
      <c r="H427"/>
    </row>
    <row r="428" spans="1:8" x14ac:dyDescent="0.25">
      <c r="A428"/>
      <c r="B428"/>
      <c r="C428"/>
      <c r="D428"/>
      <c r="E428"/>
      <c r="F428"/>
      <c r="G428"/>
      <c r="H428"/>
    </row>
    <row r="429" spans="1:8" x14ac:dyDescent="0.25">
      <c r="A429"/>
      <c r="B429"/>
      <c r="C429"/>
      <c r="D429"/>
      <c r="E429"/>
      <c r="F429"/>
      <c r="G429"/>
      <c r="H429"/>
    </row>
    <row r="430" spans="1:8" x14ac:dyDescent="0.25">
      <c r="A430"/>
      <c r="B430"/>
      <c r="C430"/>
      <c r="D430"/>
      <c r="E430"/>
      <c r="F430"/>
      <c r="G430"/>
      <c r="H430"/>
    </row>
    <row r="431" spans="1:8" x14ac:dyDescent="0.25">
      <c r="A431"/>
      <c r="B431"/>
      <c r="C431"/>
      <c r="D431"/>
      <c r="E431"/>
      <c r="F431"/>
      <c r="G431"/>
      <c r="H431"/>
    </row>
    <row r="432" spans="1:8" x14ac:dyDescent="0.25">
      <c r="A432"/>
      <c r="B432"/>
      <c r="C432"/>
      <c r="D432"/>
      <c r="E432"/>
      <c r="F432"/>
      <c r="G432"/>
      <c r="H432"/>
    </row>
    <row r="433" spans="1:8" x14ac:dyDescent="0.25">
      <c r="A433"/>
      <c r="B433"/>
      <c r="C433"/>
      <c r="D433"/>
      <c r="E433"/>
      <c r="F433"/>
      <c r="G433"/>
      <c r="H433"/>
    </row>
    <row r="434" spans="1:8" x14ac:dyDescent="0.25">
      <c r="A434"/>
      <c r="B434"/>
      <c r="C434"/>
      <c r="D434"/>
      <c r="E434"/>
      <c r="F434"/>
      <c r="G434"/>
      <c r="H434"/>
    </row>
    <row r="435" spans="1:8" x14ac:dyDescent="0.25">
      <c r="A435"/>
      <c r="B435"/>
      <c r="C435"/>
      <c r="D435"/>
      <c r="E435"/>
      <c r="F435"/>
      <c r="G435"/>
      <c r="H435"/>
    </row>
    <row r="436" spans="1:8" x14ac:dyDescent="0.25">
      <c r="A436"/>
      <c r="B436"/>
      <c r="C436"/>
      <c r="D436"/>
      <c r="E436"/>
      <c r="F436"/>
      <c r="G436"/>
      <c r="H436"/>
    </row>
    <row r="437" spans="1:8" x14ac:dyDescent="0.25">
      <c r="A437"/>
      <c r="B437"/>
      <c r="C437"/>
      <c r="D437"/>
      <c r="E437"/>
      <c r="F437"/>
      <c r="G437"/>
      <c r="H437"/>
    </row>
    <row r="438" spans="1:8" x14ac:dyDescent="0.25">
      <c r="A438"/>
      <c r="B438"/>
      <c r="C438"/>
      <c r="D438"/>
      <c r="E438"/>
      <c r="F438"/>
      <c r="G438"/>
      <c r="H438"/>
    </row>
    <row r="439" spans="1:8" x14ac:dyDescent="0.25">
      <c r="A439"/>
      <c r="B439"/>
      <c r="C439"/>
      <c r="D439"/>
      <c r="E439"/>
      <c r="F439"/>
      <c r="G439"/>
      <c r="H439"/>
    </row>
    <row r="440" spans="1:8" x14ac:dyDescent="0.25">
      <c r="A440"/>
      <c r="B440"/>
      <c r="C440"/>
      <c r="D440"/>
      <c r="E440"/>
      <c r="F440"/>
      <c r="G440"/>
      <c r="H440"/>
    </row>
    <row r="441" spans="1:8" x14ac:dyDescent="0.25">
      <c r="A441"/>
      <c r="B441"/>
      <c r="C441"/>
      <c r="D441"/>
      <c r="E441"/>
      <c r="F441"/>
      <c r="G441"/>
      <c r="H441"/>
    </row>
    <row r="442" spans="1:8" x14ac:dyDescent="0.25">
      <c r="A442"/>
      <c r="B442"/>
      <c r="C442"/>
      <c r="D442"/>
      <c r="E442"/>
      <c r="F442"/>
      <c r="G442"/>
      <c r="H442"/>
    </row>
    <row r="443" spans="1:8" x14ac:dyDescent="0.25">
      <c r="A443"/>
      <c r="B443"/>
      <c r="C443"/>
      <c r="D443"/>
      <c r="E443"/>
      <c r="F443"/>
      <c r="G443"/>
      <c r="H443"/>
    </row>
    <row r="444" spans="1:8" x14ac:dyDescent="0.25">
      <c r="A444"/>
      <c r="B444"/>
      <c r="C444"/>
      <c r="D444"/>
      <c r="E444"/>
      <c r="F444"/>
      <c r="G444"/>
      <c r="H444"/>
    </row>
    <row r="445" spans="1:8" x14ac:dyDescent="0.25">
      <c r="A445"/>
      <c r="B445"/>
      <c r="C445"/>
      <c r="D445"/>
      <c r="E445"/>
      <c r="F445"/>
      <c r="G445"/>
      <c r="H445"/>
    </row>
    <row r="446" spans="1:8" x14ac:dyDescent="0.25">
      <c r="A446"/>
      <c r="B446"/>
      <c r="C446"/>
      <c r="D446"/>
      <c r="E446"/>
      <c r="F446"/>
      <c r="G446"/>
      <c r="H446"/>
    </row>
    <row r="447" spans="1:8" x14ac:dyDescent="0.25">
      <c r="A447"/>
      <c r="B447"/>
      <c r="C447"/>
      <c r="D447"/>
      <c r="E447"/>
      <c r="F447"/>
      <c r="G447"/>
      <c r="H447"/>
    </row>
    <row r="448" spans="1:8" x14ac:dyDescent="0.25">
      <c r="A448"/>
      <c r="B448"/>
      <c r="C448"/>
      <c r="D448"/>
      <c r="E448"/>
      <c r="F448"/>
      <c r="G448"/>
      <c r="H448"/>
    </row>
    <row r="449" spans="1:8" x14ac:dyDescent="0.25">
      <c r="A449"/>
      <c r="B449"/>
      <c r="C449"/>
      <c r="D449"/>
      <c r="E449"/>
      <c r="F449"/>
      <c r="G449"/>
      <c r="H449"/>
    </row>
    <row r="450" spans="1:8" x14ac:dyDescent="0.25">
      <c r="A450"/>
      <c r="B450"/>
      <c r="C450"/>
      <c r="D450"/>
      <c r="E450"/>
      <c r="F450"/>
      <c r="G450"/>
      <c r="H450"/>
    </row>
    <row r="451" spans="1:8" x14ac:dyDescent="0.25">
      <c r="A451"/>
      <c r="B451"/>
      <c r="C451"/>
      <c r="D451"/>
      <c r="E451"/>
      <c r="F451"/>
      <c r="G451"/>
      <c r="H451"/>
    </row>
    <row r="452" spans="1:8" x14ac:dyDescent="0.25">
      <c r="A452"/>
      <c r="B452"/>
      <c r="C452"/>
      <c r="D452"/>
      <c r="E452"/>
      <c r="F452"/>
      <c r="G452"/>
      <c r="H452"/>
    </row>
    <row r="453" spans="1:8" x14ac:dyDescent="0.25">
      <c r="A453"/>
      <c r="B453"/>
      <c r="C453"/>
      <c r="D453"/>
      <c r="E453"/>
      <c r="F453"/>
      <c r="G453"/>
      <c r="H453"/>
    </row>
    <row r="454" spans="1:8" x14ac:dyDescent="0.25">
      <c r="A454"/>
      <c r="B454"/>
      <c r="C454"/>
      <c r="D454"/>
      <c r="E454"/>
      <c r="F454"/>
      <c r="G454"/>
      <c r="H454"/>
    </row>
    <row r="455" spans="1:8" x14ac:dyDescent="0.25">
      <c r="A455"/>
      <c r="B455"/>
      <c r="C455"/>
      <c r="D455"/>
      <c r="E455"/>
      <c r="F455"/>
      <c r="G455"/>
      <c r="H455"/>
    </row>
    <row r="456" spans="1:8" x14ac:dyDescent="0.25">
      <c r="A456"/>
      <c r="B456"/>
      <c r="C456"/>
      <c r="D456"/>
      <c r="E456"/>
      <c r="F456"/>
      <c r="G456"/>
      <c r="H456"/>
    </row>
    <row r="457" spans="1:8" x14ac:dyDescent="0.25">
      <c r="A457"/>
      <c r="B457"/>
      <c r="C457"/>
      <c r="D457"/>
      <c r="E457"/>
      <c r="F457"/>
      <c r="G457"/>
      <c r="H457"/>
    </row>
    <row r="458" spans="1:8" x14ac:dyDescent="0.25">
      <c r="A458"/>
      <c r="B458"/>
      <c r="C458"/>
      <c r="D458"/>
      <c r="E458"/>
      <c r="F458"/>
      <c r="G458"/>
      <c r="H458"/>
    </row>
    <row r="459" spans="1:8" x14ac:dyDescent="0.25">
      <c r="A459"/>
      <c r="B459"/>
      <c r="C459"/>
      <c r="D459"/>
      <c r="E459"/>
      <c r="F459"/>
      <c r="G459"/>
      <c r="H459"/>
    </row>
    <row r="460" spans="1:8" x14ac:dyDescent="0.25">
      <c r="A460"/>
      <c r="B460"/>
      <c r="C460"/>
      <c r="D460"/>
      <c r="E460"/>
      <c r="F460"/>
      <c r="G460"/>
      <c r="H460"/>
    </row>
    <row r="461" spans="1:8" x14ac:dyDescent="0.25">
      <c r="A461"/>
      <c r="B461"/>
      <c r="C461"/>
      <c r="D461"/>
      <c r="E461"/>
      <c r="F461"/>
      <c r="G461"/>
      <c r="H461"/>
    </row>
    <row r="462" spans="1:8" x14ac:dyDescent="0.25">
      <c r="A462"/>
      <c r="B462"/>
      <c r="C462"/>
      <c r="D462"/>
      <c r="E462"/>
      <c r="F462"/>
      <c r="G462"/>
      <c r="H462"/>
    </row>
    <row r="463" spans="1:8" x14ac:dyDescent="0.25">
      <c r="A463"/>
      <c r="B463"/>
      <c r="C463"/>
      <c r="D463"/>
      <c r="E463"/>
      <c r="F463"/>
      <c r="G463"/>
      <c r="H463"/>
    </row>
    <row r="464" spans="1:8" x14ac:dyDescent="0.25">
      <c r="A464"/>
      <c r="B464"/>
      <c r="C464"/>
      <c r="D464"/>
      <c r="E464"/>
      <c r="F464"/>
      <c r="G464"/>
      <c r="H464"/>
    </row>
    <row r="465" spans="1:8" x14ac:dyDescent="0.25">
      <c r="A465"/>
      <c r="B465"/>
      <c r="C465"/>
      <c r="D465"/>
      <c r="E465"/>
      <c r="F465"/>
      <c r="G465"/>
      <c r="H465"/>
    </row>
    <row r="466" spans="1:8" x14ac:dyDescent="0.25">
      <c r="A466"/>
      <c r="B466"/>
      <c r="C466"/>
      <c r="D466"/>
      <c r="E466"/>
      <c r="F466"/>
      <c r="G466"/>
      <c r="H466"/>
    </row>
    <row r="467" spans="1:8" x14ac:dyDescent="0.25">
      <c r="A467"/>
      <c r="B467"/>
      <c r="C467"/>
      <c r="D467"/>
      <c r="E467"/>
      <c r="F467"/>
      <c r="G467"/>
      <c r="H467"/>
    </row>
    <row r="468" spans="1:8" x14ac:dyDescent="0.25">
      <c r="A468"/>
      <c r="B468"/>
      <c r="C468"/>
      <c r="D468"/>
      <c r="E468"/>
      <c r="F468"/>
      <c r="G468"/>
      <c r="H468"/>
    </row>
    <row r="469" spans="1:8" x14ac:dyDescent="0.25">
      <c r="A469"/>
      <c r="B469"/>
      <c r="C469"/>
      <c r="D469"/>
      <c r="E469"/>
      <c r="F469"/>
      <c r="G469"/>
      <c r="H469"/>
    </row>
    <row r="470" spans="1:8" x14ac:dyDescent="0.25">
      <c r="A470"/>
      <c r="B470"/>
      <c r="C470"/>
      <c r="D470"/>
      <c r="E470"/>
      <c r="F470"/>
      <c r="G470"/>
      <c r="H470"/>
    </row>
    <row r="471" spans="1:8" x14ac:dyDescent="0.25">
      <c r="A471"/>
      <c r="B471"/>
      <c r="C471"/>
      <c r="D471"/>
      <c r="E471"/>
      <c r="F471"/>
      <c r="G471"/>
      <c r="H471"/>
    </row>
    <row r="472" spans="1:8" x14ac:dyDescent="0.25">
      <c r="A472"/>
      <c r="B472"/>
      <c r="C472"/>
      <c r="D472"/>
      <c r="E472"/>
      <c r="F472"/>
      <c r="G472"/>
      <c r="H472"/>
    </row>
    <row r="473" spans="1:8" x14ac:dyDescent="0.25">
      <c r="A473"/>
      <c r="B473"/>
      <c r="C473"/>
      <c r="D473"/>
      <c r="E473"/>
      <c r="F473"/>
      <c r="G473"/>
      <c r="H473"/>
    </row>
    <row r="474" spans="1:8" x14ac:dyDescent="0.25">
      <c r="A474"/>
      <c r="B474"/>
      <c r="C474"/>
      <c r="D474"/>
      <c r="E474"/>
      <c r="F474"/>
      <c r="G474"/>
      <c r="H474"/>
    </row>
    <row r="475" spans="1:8" x14ac:dyDescent="0.25">
      <c r="A475"/>
      <c r="B475"/>
      <c r="C475"/>
      <c r="D475"/>
      <c r="E475"/>
      <c r="F475"/>
      <c r="G475"/>
      <c r="H475"/>
    </row>
    <row r="476" spans="1:8" x14ac:dyDescent="0.25">
      <c r="A476"/>
      <c r="B476"/>
      <c r="C476"/>
      <c r="D476"/>
      <c r="E476"/>
      <c r="F476"/>
      <c r="G476"/>
      <c r="H476"/>
    </row>
    <row r="477" spans="1:8" x14ac:dyDescent="0.25">
      <c r="A477"/>
      <c r="B477"/>
      <c r="C477"/>
      <c r="D477"/>
      <c r="E477"/>
      <c r="F477"/>
      <c r="G477"/>
      <c r="H477"/>
    </row>
    <row r="478" spans="1:8" x14ac:dyDescent="0.25">
      <c r="A478"/>
      <c r="B478"/>
      <c r="C478"/>
      <c r="D478"/>
      <c r="E478"/>
      <c r="F478"/>
      <c r="G478"/>
      <c r="H478"/>
    </row>
    <row r="479" spans="1:8" x14ac:dyDescent="0.25">
      <c r="A479"/>
      <c r="B479"/>
      <c r="C479"/>
      <c r="D479"/>
      <c r="E479"/>
      <c r="F479"/>
      <c r="G479"/>
      <c r="H479"/>
    </row>
    <row r="480" spans="1:8" x14ac:dyDescent="0.25">
      <c r="A480"/>
      <c r="B480"/>
      <c r="C480"/>
      <c r="D480"/>
      <c r="E480"/>
      <c r="F480"/>
      <c r="G480"/>
      <c r="H480"/>
    </row>
    <row r="481" spans="1:8" x14ac:dyDescent="0.25">
      <c r="A481"/>
      <c r="B481"/>
      <c r="C481"/>
      <c r="D481"/>
      <c r="E481"/>
      <c r="F481"/>
      <c r="G481"/>
      <c r="H481"/>
    </row>
    <row r="482" spans="1:8" x14ac:dyDescent="0.25">
      <c r="A482"/>
      <c r="B482"/>
      <c r="C482"/>
      <c r="D482"/>
      <c r="E482"/>
      <c r="F482"/>
      <c r="G482"/>
      <c r="H482"/>
    </row>
    <row r="483" spans="1:8" x14ac:dyDescent="0.25">
      <c r="A483"/>
      <c r="B483"/>
      <c r="C483"/>
      <c r="D483"/>
      <c r="E483"/>
      <c r="F483"/>
      <c r="G483"/>
      <c r="H483"/>
    </row>
    <row r="484" spans="1:8" x14ac:dyDescent="0.25">
      <c r="A484"/>
      <c r="B484"/>
      <c r="C484"/>
      <c r="D484"/>
      <c r="E484"/>
      <c r="F484"/>
      <c r="G484"/>
      <c r="H484"/>
    </row>
    <row r="485" spans="1:8" x14ac:dyDescent="0.25">
      <c r="A485"/>
      <c r="B485"/>
      <c r="C485"/>
      <c r="D485"/>
      <c r="E485"/>
      <c r="F485"/>
      <c r="G485"/>
      <c r="H485"/>
    </row>
    <row r="486" spans="1:8" x14ac:dyDescent="0.25">
      <c r="A486"/>
      <c r="B486"/>
      <c r="C486"/>
      <c r="D486"/>
      <c r="E486"/>
      <c r="F486"/>
      <c r="G486"/>
      <c r="H486"/>
    </row>
    <row r="487" spans="1:8" x14ac:dyDescent="0.25">
      <c r="A487"/>
      <c r="B487"/>
      <c r="C487"/>
      <c r="D487"/>
      <c r="E487"/>
      <c r="F487"/>
      <c r="G487"/>
      <c r="H487"/>
    </row>
    <row r="488" spans="1:8" x14ac:dyDescent="0.25">
      <c r="A488"/>
      <c r="B488"/>
      <c r="C488"/>
      <c r="D488"/>
      <c r="E488"/>
      <c r="F488"/>
      <c r="G488"/>
      <c r="H488"/>
    </row>
    <row r="489" spans="1:8" x14ac:dyDescent="0.25">
      <c r="A489"/>
      <c r="B489"/>
      <c r="C489"/>
      <c r="D489"/>
      <c r="E489"/>
      <c r="F489"/>
      <c r="G489"/>
      <c r="H489"/>
    </row>
    <row r="490" spans="1:8" x14ac:dyDescent="0.25">
      <c r="A490"/>
      <c r="B490"/>
      <c r="C490"/>
      <c r="D490"/>
      <c r="E490"/>
      <c r="F490"/>
      <c r="G490"/>
      <c r="H490"/>
    </row>
    <row r="491" spans="1:8" x14ac:dyDescent="0.25">
      <c r="A491"/>
      <c r="B491"/>
      <c r="C491"/>
      <c r="D491"/>
      <c r="E491"/>
      <c r="F491"/>
      <c r="G491"/>
      <c r="H491"/>
    </row>
    <row r="492" spans="1:8" x14ac:dyDescent="0.25">
      <c r="A492"/>
      <c r="B492"/>
      <c r="C492"/>
      <c r="D492"/>
      <c r="E492"/>
      <c r="F492"/>
      <c r="G492"/>
      <c r="H492"/>
    </row>
    <row r="493" spans="1:8" x14ac:dyDescent="0.25">
      <c r="A493"/>
      <c r="B493"/>
      <c r="C493"/>
      <c r="D493"/>
      <c r="E493"/>
      <c r="F493"/>
      <c r="G493"/>
      <c r="H493"/>
    </row>
    <row r="494" spans="1:8" x14ac:dyDescent="0.25">
      <c r="A494"/>
      <c r="B494"/>
      <c r="C494"/>
      <c r="D494"/>
      <c r="E494"/>
      <c r="F494"/>
      <c r="G494"/>
      <c r="H494"/>
    </row>
    <row r="495" spans="1:8" x14ac:dyDescent="0.25">
      <c r="A495"/>
      <c r="B495"/>
      <c r="C495"/>
      <c r="D495"/>
      <c r="E495"/>
      <c r="F495"/>
      <c r="G495"/>
      <c r="H495"/>
    </row>
    <row r="496" spans="1:8" x14ac:dyDescent="0.25">
      <c r="A496"/>
      <c r="B496"/>
      <c r="C496"/>
      <c r="D496"/>
      <c r="E496"/>
      <c r="F496"/>
      <c r="G496"/>
      <c r="H496"/>
    </row>
    <row r="497" spans="1:8" x14ac:dyDescent="0.25">
      <c r="A497"/>
      <c r="B497"/>
      <c r="C497"/>
      <c r="D497"/>
      <c r="E497"/>
      <c r="F497"/>
      <c r="G497"/>
      <c r="H497"/>
    </row>
    <row r="498" spans="1:8" x14ac:dyDescent="0.25">
      <c r="A498"/>
      <c r="B498"/>
      <c r="C498"/>
      <c r="D498"/>
      <c r="E498"/>
      <c r="F498"/>
      <c r="G498"/>
      <c r="H498"/>
    </row>
    <row r="499" spans="1:8" x14ac:dyDescent="0.25">
      <c r="A499"/>
      <c r="B499"/>
      <c r="C499"/>
      <c r="D499"/>
      <c r="E499"/>
      <c r="F499"/>
      <c r="G499"/>
      <c r="H499"/>
    </row>
    <row r="500" spans="1:8" x14ac:dyDescent="0.25">
      <c r="A500"/>
      <c r="B500"/>
      <c r="C500"/>
      <c r="D500"/>
      <c r="E500"/>
      <c r="F500"/>
      <c r="G500"/>
      <c r="H500"/>
    </row>
    <row r="501" spans="1:8" x14ac:dyDescent="0.25">
      <c r="A501" s="11" t="s">
        <v>27</v>
      </c>
      <c r="B501" s="11" t="s">
        <v>27</v>
      </c>
    </row>
    <row r="502" spans="1:8" x14ac:dyDescent="0.25">
      <c r="A502" s="11" t="s">
        <v>27</v>
      </c>
      <c r="B502" s="11" t="s">
        <v>27</v>
      </c>
    </row>
    <row r="503" spans="1:8" x14ac:dyDescent="0.25">
      <c r="A503" s="11" t="s">
        <v>27</v>
      </c>
      <c r="B503" s="11" t="s">
        <v>27</v>
      </c>
    </row>
    <row r="504" spans="1:8" x14ac:dyDescent="0.25">
      <c r="A504" s="11" t="s">
        <v>27</v>
      </c>
      <c r="B504" s="11" t="s">
        <v>27</v>
      </c>
    </row>
    <row r="505" spans="1:8" x14ac:dyDescent="0.25">
      <c r="A505" s="11" t="s">
        <v>27</v>
      </c>
      <c r="B505" s="11" t="s">
        <v>27</v>
      </c>
    </row>
    <row r="506" spans="1:8" x14ac:dyDescent="0.25">
      <c r="A506" s="11" t="s">
        <v>27</v>
      </c>
      <c r="B506" s="11" t="s">
        <v>27</v>
      </c>
    </row>
    <row r="507" spans="1:8" x14ac:dyDescent="0.25">
      <c r="A507" s="11" t="s">
        <v>27</v>
      </c>
      <c r="B507" s="11" t="s">
        <v>27</v>
      </c>
    </row>
    <row r="508" spans="1:8" x14ac:dyDescent="0.25">
      <c r="A508" s="11" t="s">
        <v>27</v>
      </c>
      <c r="B508" s="11" t="s">
        <v>27</v>
      </c>
    </row>
    <row r="509" spans="1:8" x14ac:dyDescent="0.25">
      <c r="A509" s="11" t="s">
        <v>27</v>
      </c>
      <c r="B509" s="11" t="s">
        <v>27</v>
      </c>
    </row>
    <row r="510" spans="1:8" x14ac:dyDescent="0.25">
      <c r="A510" s="11" t="s">
        <v>27</v>
      </c>
      <c r="B510" s="11" t="s">
        <v>27</v>
      </c>
    </row>
    <row r="511" spans="1:8" x14ac:dyDescent="0.25">
      <c r="A511" s="11" t="s">
        <v>27</v>
      </c>
      <c r="B511" s="11" t="s">
        <v>27</v>
      </c>
    </row>
    <row r="512" spans="1:8" x14ac:dyDescent="0.25">
      <c r="A512" s="11" t="s">
        <v>27</v>
      </c>
      <c r="B512" s="11" t="s">
        <v>27</v>
      </c>
    </row>
    <row r="513" spans="1:2" x14ac:dyDescent="0.25">
      <c r="A513" s="11" t="s">
        <v>27</v>
      </c>
      <c r="B513" s="11" t="s">
        <v>27</v>
      </c>
    </row>
    <row r="514" spans="1:2" x14ac:dyDescent="0.25">
      <c r="A514" s="11" t="s">
        <v>27</v>
      </c>
      <c r="B514" s="11" t="s">
        <v>27</v>
      </c>
    </row>
    <row r="515" spans="1:2" x14ac:dyDescent="0.25">
      <c r="A515" s="11" t="s">
        <v>27</v>
      </c>
      <c r="B515" s="11" t="s">
        <v>27</v>
      </c>
    </row>
    <row r="516" spans="1:2" x14ac:dyDescent="0.25">
      <c r="A516" s="11" t="s">
        <v>27</v>
      </c>
      <c r="B516" s="11" t="s">
        <v>27</v>
      </c>
    </row>
    <row r="517" spans="1:2" x14ac:dyDescent="0.25">
      <c r="A517" s="11" t="s">
        <v>27</v>
      </c>
      <c r="B517" s="11" t="s">
        <v>27</v>
      </c>
    </row>
    <row r="518" spans="1:2" x14ac:dyDescent="0.25">
      <c r="A518" s="11" t="s">
        <v>27</v>
      </c>
      <c r="B518" s="11" t="s">
        <v>27</v>
      </c>
    </row>
    <row r="519" spans="1:2" x14ac:dyDescent="0.25">
      <c r="A519" s="11" t="s">
        <v>27</v>
      </c>
      <c r="B519" s="11" t="s">
        <v>27</v>
      </c>
    </row>
    <row r="520" spans="1:2" x14ac:dyDescent="0.25">
      <c r="A520" s="11" t="s">
        <v>27</v>
      </c>
      <c r="B520" s="11" t="s">
        <v>27</v>
      </c>
    </row>
    <row r="521" spans="1:2" x14ac:dyDescent="0.25">
      <c r="A521" s="11" t="s">
        <v>27</v>
      </c>
      <c r="B521" s="11" t="s">
        <v>27</v>
      </c>
    </row>
    <row r="522" spans="1:2" x14ac:dyDescent="0.25">
      <c r="A522" s="11" t="s">
        <v>27</v>
      </c>
      <c r="B522" s="11" t="s">
        <v>27</v>
      </c>
    </row>
    <row r="523" spans="1:2" x14ac:dyDescent="0.25">
      <c r="A523" s="11" t="s">
        <v>27</v>
      </c>
      <c r="B523" s="11" t="s">
        <v>27</v>
      </c>
    </row>
    <row r="524" spans="1:2" x14ac:dyDescent="0.25">
      <c r="A524" s="11" t="s">
        <v>27</v>
      </c>
      <c r="B524" s="11" t="s">
        <v>27</v>
      </c>
    </row>
    <row r="525" spans="1:2" x14ac:dyDescent="0.25">
      <c r="A525" s="11" t="s">
        <v>27</v>
      </c>
      <c r="B525" s="11" t="s">
        <v>27</v>
      </c>
    </row>
    <row r="526" spans="1:2" x14ac:dyDescent="0.25">
      <c r="A526" s="11" t="s">
        <v>27</v>
      </c>
      <c r="B526" s="11" t="s">
        <v>27</v>
      </c>
    </row>
    <row r="527" spans="1:2" x14ac:dyDescent="0.25">
      <c r="A527" s="11" t="s">
        <v>27</v>
      </c>
      <c r="B527" s="11" t="s">
        <v>27</v>
      </c>
    </row>
    <row r="528" spans="1:2" x14ac:dyDescent="0.25">
      <c r="A528" s="11" t="s">
        <v>27</v>
      </c>
      <c r="B528" s="11" t="s">
        <v>27</v>
      </c>
    </row>
    <row r="529" spans="1:2" x14ac:dyDescent="0.25">
      <c r="A529" s="11" t="s">
        <v>27</v>
      </c>
      <c r="B529" s="11" t="s">
        <v>27</v>
      </c>
    </row>
    <row r="530" spans="1:2" x14ac:dyDescent="0.25">
      <c r="A530" s="11" t="s">
        <v>27</v>
      </c>
      <c r="B530" s="11" t="s">
        <v>27</v>
      </c>
    </row>
    <row r="531" spans="1:2" x14ac:dyDescent="0.25">
      <c r="A531" s="11" t="s">
        <v>27</v>
      </c>
      <c r="B531" s="11" t="s">
        <v>27</v>
      </c>
    </row>
    <row r="532" spans="1:2" x14ac:dyDescent="0.25">
      <c r="A532" s="11" t="s">
        <v>27</v>
      </c>
      <c r="B532" s="11" t="s">
        <v>27</v>
      </c>
    </row>
    <row r="533" spans="1:2" x14ac:dyDescent="0.25">
      <c r="A533" s="11" t="s">
        <v>27</v>
      </c>
      <c r="B533" s="11" t="s">
        <v>27</v>
      </c>
    </row>
    <row r="534" spans="1:2" x14ac:dyDescent="0.25">
      <c r="A534" s="11" t="s">
        <v>27</v>
      </c>
      <c r="B534" s="11" t="s">
        <v>27</v>
      </c>
    </row>
    <row r="535" spans="1:2" x14ac:dyDescent="0.25">
      <c r="A535" s="11" t="s">
        <v>27</v>
      </c>
      <c r="B535" s="11" t="s">
        <v>27</v>
      </c>
    </row>
    <row r="536" spans="1:2" x14ac:dyDescent="0.25">
      <c r="A536" s="11" t="s">
        <v>27</v>
      </c>
      <c r="B536" s="11" t="s">
        <v>27</v>
      </c>
    </row>
    <row r="537" spans="1:2" x14ac:dyDescent="0.25">
      <c r="A537" s="11" t="s">
        <v>27</v>
      </c>
      <c r="B537" s="11" t="s">
        <v>27</v>
      </c>
    </row>
    <row r="538" spans="1:2" x14ac:dyDescent="0.25">
      <c r="A538" s="11" t="s">
        <v>27</v>
      </c>
      <c r="B538" s="11" t="s">
        <v>27</v>
      </c>
    </row>
    <row r="539" spans="1:2" x14ac:dyDescent="0.25">
      <c r="A539" s="11" t="s">
        <v>27</v>
      </c>
      <c r="B539" s="11" t="s">
        <v>27</v>
      </c>
    </row>
    <row r="540" spans="1:2" x14ac:dyDescent="0.25">
      <c r="A540" s="11" t="s">
        <v>27</v>
      </c>
      <c r="B540" s="11" t="s">
        <v>27</v>
      </c>
    </row>
    <row r="541" spans="1:2" x14ac:dyDescent="0.25">
      <c r="A541" s="11" t="s">
        <v>27</v>
      </c>
      <c r="B541" s="11" t="s">
        <v>27</v>
      </c>
    </row>
    <row r="542" spans="1:2" x14ac:dyDescent="0.25">
      <c r="A542" s="11" t="s">
        <v>27</v>
      </c>
      <c r="B542" s="11" t="s">
        <v>27</v>
      </c>
    </row>
    <row r="543" spans="1:2" x14ac:dyDescent="0.25">
      <c r="A543" s="11" t="s">
        <v>27</v>
      </c>
      <c r="B543" s="11" t="s">
        <v>27</v>
      </c>
    </row>
    <row r="544" spans="1:2" x14ac:dyDescent="0.25">
      <c r="A544" s="11" t="s">
        <v>27</v>
      </c>
      <c r="B544" s="11" t="s">
        <v>27</v>
      </c>
    </row>
    <row r="545" spans="1:2" x14ac:dyDescent="0.25">
      <c r="A545" s="11" t="s">
        <v>27</v>
      </c>
      <c r="B545" s="11" t="s">
        <v>27</v>
      </c>
    </row>
    <row r="546" spans="1:2" x14ac:dyDescent="0.25">
      <c r="A546" s="11" t="s">
        <v>27</v>
      </c>
      <c r="B546" s="11" t="s">
        <v>27</v>
      </c>
    </row>
    <row r="547" spans="1:2" x14ac:dyDescent="0.25">
      <c r="A547" s="11" t="s">
        <v>27</v>
      </c>
      <c r="B547" s="11" t="s">
        <v>27</v>
      </c>
    </row>
    <row r="548" spans="1:2" x14ac:dyDescent="0.25">
      <c r="A548" s="11" t="s">
        <v>27</v>
      </c>
      <c r="B548" s="11" t="s">
        <v>27</v>
      </c>
    </row>
    <row r="549" spans="1:2" x14ac:dyDescent="0.25">
      <c r="A549" s="11" t="s">
        <v>27</v>
      </c>
      <c r="B549" s="11" t="s">
        <v>27</v>
      </c>
    </row>
    <row r="550" spans="1:2" x14ac:dyDescent="0.25">
      <c r="A550" s="11" t="s">
        <v>27</v>
      </c>
      <c r="B550" s="11" t="s">
        <v>27</v>
      </c>
    </row>
    <row r="551" spans="1:2" x14ac:dyDescent="0.25">
      <c r="A551" s="11" t="s">
        <v>27</v>
      </c>
      <c r="B551" s="11" t="s">
        <v>27</v>
      </c>
    </row>
    <row r="552" spans="1:2" x14ac:dyDescent="0.25">
      <c r="A552" s="11" t="s">
        <v>27</v>
      </c>
      <c r="B552" s="11" t="s">
        <v>27</v>
      </c>
    </row>
    <row r="553" spans="1:2" x14ac:dyDescent="0.25">
      <c r="A553" s="11" t="s">
        <v>27</v>
      </c>
      <c r="B553" s="11" t="s">
        <v>27</v>
      </c>
    </row>
    <row r="554" spans="1:2" x14ac:dyDescent="0.25">
      <c r="A554" s="11" t="s">
        <v>27</v>
      </c>
      <c r="B554" s="11" t="s">
        <v>27</v>
      </c>
    </row>
    <row r="555" spans="1:2" x14ac:dyDescent="0.25">
      <c r="A555" s="11" t="s">
        <v>27</v>
      </c>
      <c r="B555" s="11" t="s">
        <v>27</v>
      </c>
    </row>
    <row r="556" spans="1:2" x14ac:dyDescent="0.25">
      <c r="A556" s="11" t="s">
        <v>27</v>
      </c>
      <c r="B556" s="11" t="s">
        <v>27</v>
      </c>
    </row>
    <row r="557" spans="1:2" x14ac:dyDescent="0.25">
      <c r="A557" s="11" t="s">
        <v>27</v>
      </c>
      <c r="B557" s="11" t="s">
        <v>27</v>
      </c>
    </row>
    <row r="558" spans="1:2" x14ac:dyDescent="0.25">
      <c r="A558" s="11" t="s">
        <v>27</v>
      </c>
      <c r="B558" s="11" t="s">
        <v>27</v>
      </c>
    </row>
    <row r="559" spans="1:2" x14ac:dyDescent="0.25">
      <c r="A559" s="11" t="s">
        <v>27</v>
      </c>
      <c r="B559" s="11" t="s">
        <v>27</v>
      </c>
    </row>
    <row r="560" spans="1:2" x14ac:dyDescent="0.25">
      <c r="A560" s="11" t="s">
        <v>27</v>
      </c>
      <c r="B560" s="11" t="s">
        <v>27</v>
      </c>
    </row>
    <row r="561" spans="1:2" x14ac:dyDescent="0.25">
      <c r="A561" s="11" t="s">
        <v>27</v>
      </c>
      <c r="B561" s="11" t="s">
        <v>27</v>
      </c>
    </row>
    <row r="562" spans="1:2" x14ac:dyDescent="0.25">
      <c r="A562" s="11" t="s">
        <v>27</v>
      </c>
      <c r="B562" s="11" t="s">
        <v>27</v>
      </c>
    </row>
    <row r="563" spans="1:2" x14ac:dyDescent="0.25">
      <c r="A563" s="11" t="s">
        <v>27</v>
      </c>
      <c r="B563" s="11" t="s">
        <v>27</v>
      </c>
    </row>
    <row r="564" spans="1:2" x14ac:dyDescent="0.25">
      <c r="A564" s="11" t="s">
        <v>27</v>
      </c>
      <c r="B564" s="11" t="s">
        <v>27</v>
      </c>
    </row>
    <row r="565" spans="1:2" x14ac:dyDescent="0.25">
      <c r="A565" s="11" t="s">
        <v>27</v>
      </c>
      <c r="B565" s="11" t="s">
        <v>27</v>
      </c>
    </row>
    <row r="566" spans="1:2" x14ac:dyDescent="0.25">
      <c r="A566" s="11" t="s">
        <v>27</v>
      </c>
      <c r="B566" s="11" t="s">
        <v>27</v>
      </c>
    </row>
    <row r="567" spans="1:2" x14ac:dyDescent="0.25">
      <c r="A567" s="11" t="s">
        <v>27</v>
      </c>
      <c r="B567" s="11" t="s">
        <v>27</v>
      </c>
    </row>
    <row r="568" spans="1:2" x14ac:dyDescent="0.25">
      <c r="A568" s="11" t="s">
        <v>27</v>
      </c>
      <c r="B568" s="11" t="s">
        <v>27</v>
      </c>
    </row>
    <row r="569" spans="1:2" x14ac:dyDescent="0.25">
      <c r="A569" s="11" t="s">
        <v>27</v>
      </c>
      <c r="B569" s="11" t="s">
        <v>27</v>
      </c>
    </row>
    <row r="570" spans="1:2" x14ac:dyDescent="0.25">
      <c r="A570" s="11" t="s">
        <v>27</v>
      </c>
      <c r="B570" s="11" t="s">
        <v>27</v>
      </c>
    </row>
    <row r="571" spans="1:2" x14ac:dyDescent="0.25">
      <c r="A571" s="11" t="s">
        <v>27</v>
      </c>
      <c r="B571" s="11" t="s">
        <v>27</v>
      </c>
    </row>
    <row r="572" spans="1:2" x14ac:dyDescent="0.25">
      <c r="A572" s="11" t="s">
        <v>27</v>
      </c>
      <c r="B572" s="11" t="s">
        <v>27</v>
      </c>
    </row>
    <row r="573" spans="1:2" x14ac:dyDescent="0.25">
      <c r="A573" s="11" t="s">
        <v>27</v>
      </c>
      <c r="B573" s="11" t="s">
        <v>27</v>
      </c>
    </row>
    <row r="574" spans="1:2" x14ac:dyDescent="0.25">
      <c r="A574" s="11" t="s">
        <v>27</v>
      </c>
      <c r="B574" s="11" t="s">
        <v>27</v>
      </c>
    </row>
    <row r="575" spans="1:2" x14ac:dyDescent="0.25">
      <c r="A575" s="11" t="s">
        <v>27</v>
      </c>
      <c r="B575" s="11" t="s">
        <v>27</v>
      </c>
    </row>
    <row r="576" spans="1:2" x14ac:dyDescent="0.25">
      <c r="A576" s="11" t="s">
        <v>27</v>
      </c>
      <c r="B576" s="11" t="s">
        <v>27</v>
      </c>
    </row>
    <row r="577" spans="1:2" x14ac:dyDescent="0.25">
      <c r="A577" s="11" t="s">
        <v>27</v>
      </c>
      <c r="B577" s="11" t="s">
        <v>27</v>
      </c>
    </row>
    <row r="578" spans="1:2" x14ac:dyDescent="0.25">
      <c r="A578" s="11" t="s">
        <v>27</v>
      </c>
      <c r="B578" s="11" t="s">
        <v>27</v>
      </c>
    </row>
    <row r="579" spans="1:2" x14ac:dyDescent="0.25">
      <c r="A579" s="11" t="s">
        <v>27</v>
      </c>
      <c r="B579" s="11" t="s">
        <v>27</v>
      </c>
    </row>
    <row r="580" spans="1:2" x14ac:dyDescent="0.25">
      <c r="A580" s="11" t="s">
        <v>27</v>
      </c>
      <c r="B580" s="11" t="s">
        <v>27</v>
      </c>
    </row>
    <row r="581" spans="1:2" x14ac:dyDescent="0.25">
      <c r="A581" s="11" t="s">
        <v>27</v>
      </c>
      <c r="B581" s="11" t="s">
        <v>27</v>
      </c>
    </row>
    <row r="582" spans="1:2" x14ac:dyDescent="0.25">
      <c r="A582" s="11" t="s">
        <v>27</v>
      </c>
      <c r="B582" s="11" t="s">
        <v>27</v>
      </c>
    </row>
    <row r="583" spans="1:2" x14ac:dyDescent="0.25">
      <c r="A583" s="11" t="s">
        <v>27</v>
      </c>
      <c r="B583" s="11" t="s">
        <v>27</v>
      </c>
    </row>
    <row r="584" spans="1:2" x14ac:dyDescent="0.25">
      <c r="A584" s="11" t="s">
        <v>27</v>
      </c>
      <c r="B584" s="11" t="s">
        <v>27</v>
      </c>
    </row>
    <row r="585" spans="1:2" x14ac:dyDescent="0.25">
      <c r="A585" s="11" t="s">
        <v>27</v>
      </c>
      <c r="B585" s="11" t="s">
        <v>27</v>
      </c>
    </row>
    <row r="586" spans="1:2" x14ac:dyDescent="0.25">
      <c r="A586" s="11" t="s">
        <v>27</v>
      </c>
      <c r="B586" s="11" t="s">
        <v>27</v>
      </c>
    </row>
    <row r="587" spans="1:2" x14ac:dyDescent="0.25">
      <c r="A587" s="11" t="s">
        <v>27</v>
      </c>
      <c r="B587" s="11" t="s">
        <v>27</v>
      </c>
    </row>
    <row r="588" spans="1:2" x14ac:dyDescent="0.25">
      <c r="A588" s="11" t="s">
        <v>27</v>
      </c>
      <c r="B588" s="11" t="s">
        <v>27</v>
      </c>
    </row>
    <row r="589" spans="1:2" x14ac:dyDescent="0.25">
      <c r="A589" s="11" t="s">
        <v>27</v>
      </c>
      <c r="B589" s="11" t="s">
        <v>27</v>
      </c>
    </row>
    <row r="590" spans="1:2" x14ac:dyDescent="0.25">
      <c r="A590" s="11" t="s">
        <v>27</v>
      </c>
      <c r="B590" s="11" t="s">
        <v>27</v>
      </c>
    </row>
    <row r="591" spans="1:2" x14ac:dyDescent="0.25">
      <c r="A591" s="11" t="s">
        <v>27</v>
      </c>
      <c r="B591" s="11" t="s">
        <v>27</v>
      </c>
    </row>
    <row r="592" spans="1:2" x14ac:dyDescent="0.25">
      <c r="A592" s="11" t="s">
        <v>27</v>
      </c>
      <c r="B592" s="11" t="s">
        <v>27</v>
      </c>
    </row>
    <row r="593" spans="1:2" x14ac:dyDescent="0.25">
      <c r="A593" s="11" t="s">
        <v>27</v>
      </c>
      <c r="B593" s="11" t="s">
        <v>27</v>
      </c>
    </row>
    <row r="594" spans="1:2" x14ac:dyDescent="0.25">
      <c r="A594" s="11" t="s">
        <v>27</v>
      </c>
      <c r="B594" s="11" t="s">
        <v>27</v>
      </c>
    </row>
    <row r="595" spans="1:2" x14ac:dyDescent="0.25">
      <c r="A595" s="11" t="s">
        <v>27</v>
      </c>
      <c r="B595" s="11" t="s">
        <v>27</v>
      </c>
    </row>
    <row r="596" spans="1:2" x14ac:dyDescent="0.25">
      <c r="A596" s="11" t="s">
        <v>27</v>
      </c>
      <c r="B596" s="11" t="s">
        <v>27</v>
      </c>
    </row>
    <row r="597" spans="1:2" x14ac:dyDescent="0.25">
      <c r="A597" s="11" t="s">
        <v>27</v>
      </c>
      <c r="B597" s="11" t="s">
        <v>27</v>
      </c>
    </row>
    <row r="598" spans="1:2" x14ac:dyDescent="0.25">
      <c r="A598" s="11" t="s">
        <v>27</v>
      </c>
      <c r="B598" s="11" t="s">
        <v>27</v>
      </c>
    </row>
    <row r="599" spans="1:2" x14ac:dyDescent="0.25">
      <c r="A599" s="11" t="s">
        <v>27</v>
      </c>
      <c r="B599" s="11" t="s">
        <v>27</v>
      </c>
    </row>
    <row r="600" spans="1:2" x14ac:dyDescent="0.25">
      <c r="A600" s="11" t="s">
        <v>27</v>
      </c>
      <c r="B600" s="11" t="s">
        <v>27</v>
      </c>
    </row>
    <row r="601" spans="1:2" x14ac:dyDescent="0.25">
      <c r="A601" s="11" t="s">
        <v>27</v>
      </c>
      <c r="B601" s="11" t="s">
        <v>27</v>
      </c>
    </row>
    <row r="602" spans="1:2" x14ac:dyDescent="0.25">
      <c r="A602" s="11" t="s">
        <v>27</v>
      </c>
      <c r="B602" s="11" t="s">
        <v>27</v>
      </c>
    </row>
    <row r="603" spans="1:2" x14ac:dyDescent="0.25">
      <c r="A603" s="11" t="s">
        <v>27</v>
      </c>
      <c r="B603" s="11" t="s">
        <v>27</v>
      </c>
    </row>
    <row r="604" spans="1:2" x14ac:dyDescent="0.25">
      <c r="A604" s="11" t="s">
        <v>27</v>
      </c>
      <c r="B604" s="11" t="s">
        <v>27</v>
      </c>
    </row>
    <row r="605" spans="1:2" x14ac:dyDescent="0.25">
      <c r="A605" s="11" t="s">
        <v>27</v>
      </c>
      <c r="B605" s="11" t="s">
        <v>27</v>
      </c>
    </row>
    <row r="606" spans="1:2" x14ac:dyDescent="0.25">
      <c r="A606" s="11" t="s">
        <v>27</v>
      </c>
      <c r="B606" s="11" t="s">
        <v>27</v>
      </c>
    </row>
    <row r="607" spans="1:2" x14ac:dyDescent="0.25">
      <c r="A607" s="11" t="s">
        <v>27</v>
      </c>
      <c r="B607" s="11" t="s">
        <v>27</v>
      </c>
    </row>
    <row r="608" spans="1:2" x14ac:dyDescent="0.25">
      <c r="A608" s="11" t="s">
        <v>27</v>
      </c>
      <c r="B608" s="11" t="s">
        <v>27</v>
      </c>
    </row>
    <row r="609" spans="1:2" x14ac:dyDescent="0.25">
      <c r="A609" s="11" t="s">
        <v>27</v>
      </c>
      <c r="B609" s="11" t="s">
        <v>27</v>
      </c>
    </row>
    <row r="610" spans="1:2" x14ac:dyDescent="0.25">
      <c r="A610" s="11" t="s">
        <v>27</v>
      </c>
      <c r="B610" s="11" t="s">
        <v>27</v>
      </c>
    </row>
    <row r="611" spans="1:2" x14ac:dyDescent="0.25">
      <c r="A611" s="11" t="s">
        <v>27</v>
      </c>
      <c r="B611" s="11" t="s">
        <v>27</v>
      </c>
    </row>
    <row r="612" spans="1:2" x14ac:dyDescent="0.25">
      <c r="A612" s="11" t="s">
        <v>27</v>
      </c>
      <c r="B612" s="11" t="s">
        <v>27</v>
      </c>
    </row>
    <row r="613" spans="1:2" x14ac:dyDescent="0.25">
      <c r="A613" s="11" t="s">
        <v>27</v>
      </c>
      <c r="B613" s="11" t="s">
        <v>27</v>
      </c>
    </row>
    <row r="614" spans="1:2" x14ac:dyDescent="0.25">
      <c r="A614" s="11" t="s">
        <v>27</v>
      </c>
      <c r="B614" s="11" t="s">
        <v>27</v>
      </c>
    </row>
    <row r="615" spans="1:2" x14ac:dyDescent="0.25">
      <c r="A615" s="11" t="s">
        <v>27</v>
      </c>
      <c r="B615" s="11" t="s">
        <v>27</v>
      </c>
    </row>
    <row r="616" spans="1:2" x14ac:dyDescent="0.25">
      <c r="A616" s="11" t="s">
        <v>27</v>
      </c>
      <c r="B616" s="11" t="s">
        <v>27</v>
      </c>
    </row>
    <row r="617" spans="1:2" x14ac:dyDescent="0.25">
      <c r="A617" s="11" t="s">
        <v>27</v>
      </c>
      <c r="B617" s="11" t="s">
        <v>27</v>
      </c>
    </row>
    <row r="618" spans="1:2" x14ac:dyDescent="0.25">
      <c r="A618" s="11" t="s">
        <v>27</v>
      </c>
      <c r="B618" s="11" t="s">
        <v>27</v>
      </c>
    </row>
    <row r="619" spans="1:2" x14ac:dyDescent="0.25">
      <c r="A619" s="11" t="s">
        <v>27</v>
      </c>
      <c r="B619" s="11" t="s">
        <v>27</v>
      </c>
    </row>
    <row r="620" spans="1:2" x14ac:dyDescent="0.25">
      <c r="A620" s="11" t="s">
        <v>27</v>
      </c>
      <c r="B620" s="11" t="s">
        <v>27</v>
      </c>
    </row>
    <row r="621" spans="1:2" x14ac:dyDescent="0.25">
      <c r="A621" s="11" t="s">
        <v>27</v>
      </c>
      <c r="B621" s="11" t="s">
        <v>27</v>
      </c>
    </row>
    <row r="622" spans="1:2" x14ac:dyDescent="0.25">
      <c r="A622" s="11" t="s">
        <v>27</v>
      </c>
      <c r="B622" s="11" t="s">
        <v>27</v>
      </c>
    </row>
    <row r="623" spans="1:2" x14ac:dyDescent="0.25">
      <c r="A623" s="11" t="s">
        <v>27</v>
      </c>
      <c r="B623" s="11" t="s">
        <v>27</v>
      </c>
    </row>
    <row r="624" spans="1:2" x14ac:dyDescent="0.25">
      <c r="A624" s="11" t="s">
        <v>27</v>
      </c>
      <c r="B624" s="11" t="s">
        <v>27</v>
      </c>
    </row>
    <row r="625" spans="1:2" x14ac:dyDescent="0.25">
      <c r="A625" s="11" t="s">
        <v>27</v>
      </c>
      <c r="B625" s="11" t="s">
        <v>27</v>
      </c>
    </row>
    <row r="626" spans="1:2" x14ac:dyDescent="0.25">
      <c r="A626" s="11" t="s">
        <v>27</v>
      </c>
      <c r="B626" s="11" t="s">
        <v>27</v>
      </c>
    </row>
    <row r="627" spans="1:2" x14ac:dyDescent="0.25">
      <c r="A627" s="11" t="s">
        <v>27</v>
      </c>
      <c r="B627" s="11" t="s">
        <v>27</v>
      </c>
    </row>
    <row r="628" spans="1:2" x14ac:dyDescent="0.25">
      <c r="A628" s="11" t="s">
        <v>27</v>
      </c>
      <c r="B628" s="11" t="s">
        <v>27</v>
      </c>
    </row>
    <row r="629" spans="1:2" x14ac:dyDescent="0.25">
      <c r="A629" s="11" t="s">
        <v>27</v>
      </c>
      <c r="B629" s="11" t="s">
        <v>27</v>
      </c>
    </row>
    <row r="630" spans="1:2" x14ac:dyDescent="0.25">
      <c r="A630" s="11" t="s">
        <v>27</v>
      </c>
      <c r="B630" s="11" t="s">
        <v>27</v>
      </c>
    </row>
    <row r="631" spans="1:2" x14ac:dyDescent="0.25">
      <c r="A631" s="11" t="s">
        <v>27</v>
      </c>
      <c r="B631" s="11" t="s">
        <v>27</v>
      </c>
    </row>
    <row r="632" spans="1:2" x14ac:dyDescent="0.25">
      <c r="A632" s="11" t="s">
        <v>27</v>
      </c>
      <c r="B632" s="11" t="s">
        <v>27</v>
      </c>
    </row>
    <row r="633" spans="1:2" x14ac:dyDescent="0.25">
      <c r="A633" s="11" t="s">
        <v>27</v>
      </c>
      <c r="B633" s="11" t="s">
        <v>27</v>
      </c>
    </row>
    <row r="634" spans="1:2" x14ac:dyDescent="0.25">
      <c r="A634" s="11" t="s">
        <v>27</v>
      </c>
      <c r="B634" s="11" t="s">
        <v>27</v>
      </c>
    </row>
    <row r="635" spans="1:2" x14ac:dyDescent="0.25">
      <c r="A635" s="11" t="s">
        <v>27</v>
      </c>
      <c r="B635" s="11" t="s">
        <v>27</v>
      </c>
    </row>
    <row r="636" spans="1:2" x14ac:dyDescent="0.25">
      <c r="A636" s="11" t="s">
        <v>27</v>
      </c>
      <c r="B636" s="11" t="s">
        <v>27</v>
      </c>
    </row>
    <row r="637" spans="1:2" x14ac:dyDescent="0.25">
      <c r="A637" s="11" t="s">
        <v>27</v>
      </c>
      <c r="B637" s="11" t="s">
        <v>27</v>
      </c>
    </row>
    <row r="638" spans="1:2" x14ac:dyDescent="0.25">
      <c r="A638" s="11" t="s">
        <v>27</v>
      </c>
      <c r="B638" s="11" t="s">
        <v>27</v>
      </c>
    </row>
    <row r="639" spans="1:2" x14ac:dyDescent="0.25">
      <c r="A639" s="11" t="s">
        <v>27</v>
      </c>
      <c r="B639" s="11" t="s">
        <v>27</v>
      </c>
    </row>
    <row r="640" spans="1:2" x14ac:dyDescent="0.25">
      <c r="A640" s="11" t="s">
        <v>27</v>
      </c>
      <c r="B640" s="11" t="s">
        <v>27</v>
      </c>
    </row>
    <row r="641" spans="1:2" x14ac:dyDescent="0.25">
      <c r="A641" s="11" t="s">
        <v>27</v>
      </c>
      <c r="B641" s="11" t="s">
        <v>27</v>
      </c>
    </row>
    <row r="642" spans="1:2" x14ac:dyDescent="0.25">
      <c r="A642" s="11" t="s">
        <v>27</v>
      </c>
      <c r="B642" s="11" t="s">
        <v>27</v>
      </c>
    </row>
    <row r="643" spans="1:2" x14ac:dyDescent="0.25">
      <c r="A643" s="11" t="s">
        <v>27</v>
      </c>
      <c r="B643" s="11" t="s">
        <v>27</v>
      </c>
    </row>
    <row r="644" spans="1:2" x14ac:dyDescent="0.25">
      <c r="A644" s="11" t="s">
        <v>27</v>
      </c>
      <c r="B644" s="11" t="s">
        <v>27</v>
      </c>
    </row>
    <row r="645" spans="1:2" x14ac:dyDescent="0.25">
      <c r="A645" s="11" t="s">
        <v>27</v>
      </c>
      <c r="B645" s="11" t="s">
        <v>27</v>
      </c>
    </row>
    <row r="646" spans="1:2" x14ac:dyDescent="0.25">
      <c r="A646" s="11" t="s">
        <v>27</v>
      </c>
      <c r="B646" s="11" t="s">
        <v>27</v>
      </c>
    </row>
    <row r="647" spans="1:2" x14ac:dyDescent="0.25">
      <c r="A647" s="11" t="s">
        <v>27</v>
      </c>
      <c r="B647" s="11" t="s">
        <v>27</v>
      </c>
    </row>
    <row r="648" spans="1:2" x14ac:dyDescent="0.25">
      <c r="A648" s="11" t="s">
        <v>27</v>
      </c>
      <c r="B648" s="11" t="s">
        <v>27</v>
      </c>
    </row>
    <row r="649" spans="1:2" x14ac:dyDescent="0.25">
      <c r="A649" s="11" t="s">
        <v>27</v>
      </c>
      <c r="B649" s="11" t="s">
        <v>27</v>
      </c>
    </row>
    <row r="650" spans="1:2" x14ac:dyDescent="0.25">
      <c r="A650" s="11" t="s">
        <v>27</v>
      </c>
      <c r="B650" s="11" t="s">
        <v>27</v>
      </c>
    </row>
    <row r="651" spans="1:2" x14ac:dyDescent="0.25">
      <c r="A651" s="11" t="s">
        <v>27</v>
      </c>
      <c r="B651" s="11" t="s">
        <v>27</v>
      </c>
    </row>
    <row r="652" spans="1:2" x14ac:dyDescent="0.25">
      <c r="A652" s="11" t="s">
        <v>27</v>
      </c>
      <c r="B652" s="11" t="s">
        <v>27</v>
      </c>
    </row>
    <row r="653" spans="1:2" x14ac:dyDescent="0.25">
      <c r="A653" s="11" t="s">
        <v>27</v>
      </c>
      <c r="B653" s="11" t="s">
        <v>27</v>
      </c>
    </row>
    <row r="654" spans="1:2" x14ac:dyDescent="0.25">
      <c r="A654" s="11" t="s">
        <v>27</v>
      </c>
      <c r="B654" s="11" t="s">
        <v>27</v>
      </c>
    </row>
    <row r="655" spans="1:2" x14ac:dyDescent="0.25">
      <c r="A655" s="11" t="s">
        <v>27</v>
      </c>
      <c r="B655" s="11" t="s">
        <v>27</v>
      </c>
    </row>
    <row r="656" spans="1:2" x14ac:dyDescent="0.25">
      <c r="A656" s="11" t="s">
        <v>27</v>
      </c>
      <c r="B656" s="11" t="s">
        <v>27</v>
      </c>
    </row>
    <row r="657" spans="1:2" x14ac:dyDescent="0.25">
      <c r="A657" s="11" t="s">
        <v>27</v>
      </c>
      <c r="B657" s="11" t="s">
        <v>27</v>
      </c>
    </row>
    <row r="658" spans="1:2" x14ac:dyDescent="0.25">
      <c r="A658" s="11" t="s">
        <v>27</v>
      </c>
      <c r="B658" s="11" t="s">
        <v>27</v>
      </c>
    </row>
    <row r="659" spans="1:2" x14ac:dyDescent="0.25">
      <c r="A659" s="11" t="s">
        <v>27</v>
      </c>
      <c r="B659" s="11" t="s">
        <v>27</v>
      </c>
    </row>
    <row r="660" spans="1:2" x14ac:dyDescent="0.25">
      <c r="A660" s="11" t="s">
        <v>27</v>
      </c>
      <c r="B660" s="11" t="s">
        <v>27</v>
      </c>
    </row>
    <row r="661" spans="1:2" x14ac:dyDescent="0.25">
      <c r="A661" s="11" t="s">
        <v>27</v>
      </c>
      <c r="B661" s="11" t="s">
        <v>27</v>
      </c>
    </row>
    <row r="662" spans="1:2" x14ac:dyDescent="0.25">
      <c r="A662" s="11" t="s">
        <v>27</v>
      </c>
      <c r="B662" s="11" t="s">
        <v>27</v>
      </c>
    </row>
    <row r="663" spans="1:2" x14ac:dyDescent="0.25">
      <c r="A663" s="11" t="s">
        <v>27</v>
      </c>
      <c r="B663" s="11" t="s">
        <v>27</v>
      </c>
    </row>
    <row r="664" spans="1:2" x14ac:dyDescent="0.25">
      <c r="A664" s="11" t="s">
        <v>27</v>
      </c>
      <c r="B664" s="11" t="s">
        <v>27</v>
      </c>
    </row>
    <row r="665" spans="1:2" x14ac:dyDescent="0.25">
      <c r="A665" s="11" t="s">
        <v>27</v>
      </c>
      <c r="B665" s="11" t="s">
        <v>27</v>
      </c>
    </row>
    <row r="666" spans="1:2" x14ac:dyDescent="0.25">
      <c r="A666" s="11" t="s">
        <v>27</v>
      </c>
      <c r="B666" s="11" t="s">
        <v>27</v>
      </c>
    </row>
    <row r="667" spans="1:2" x14ac:dyDescent="0.25">
      <c r="A667" s="11" t="s">
        <v>27</v>
      </c>
      <c r="B667" s="11" t="s">
        <v>27</v>
      </c>
    </row>
    <row r="668" spans="1:2" x14ac:dyDescent="0.25">
      <c r="A668" s="11" t="s">
        <v>27</v>
      </c>
      <c r="B668" s="11" t="s">
        <v>27</v>
      </c>
    </row>
    <row r="669" spans="1:2" x14ac:dyDescent="0.25">
      <c r="A669" s="11" t="s">
        <v>27</v>
      </c>
      <c r="B669" s="11" t="s">
        <v>27</v>
      </c>
    </row>
    <row r="670" spans="1:2" x14ac:dyDescent="0.25">
      <c r="A670" s="11" t="s">
        <v>27</v>
      </c>
      <c r="B670" s="11" t="s">
        <v>27</v>
      </c>
    </row>
    <row r="671" spans="1:2" x14ac:dyDescent="0.25">
      <c r="A671" s="11" t="s">
        <v>27</v>
      </c>
      <c r="B671" s="11" t="s">
        <v>27</v>
      </c>
    </row>
    <row r="672" spans="1:2" x14ac:dyDescent="0.25">
      <c r="A672" s="11" t="s">
        <v>27</v>
      </c>
      <c r="B672" s="11" t="s">
        <v>27</v>
      </c>
    </row>
    <row r="673" spans="1:2" x14ac:dyDescent="0.25">
      <c r="A673" s="11" t="s">
        <v>27</v>
      </c>
      <c r="B673" s="11" t="s">
        <v>27</v>
      </c>
    </row>
    <row r="674" spans="1:2" x14ac:dyDescent="0.25">
      <c r="A674" s="11" t="s">
        <v>27</v>
      </c>
      <c r="B674" s="11" t="s">
        <v>27</v>
      </c>
    </row>
    <row r="675" spans="1:2" x14ac:dyDescent="0.25">
      <c r="A675" s="11" t="s">
        <v>27</v>
      </c>
      <c r="B675" s="11" t="s">
        <v>27</v>
      </c>
    </row>
    <row r="676" spans="1:2" x14ac:dyDescent="0.25">
      <c r="A676" s="11" t="s">
        <v>27</v>
      </c>
      <c r="B676" s="11" t="s">
        <v>27</v>
      </c>
    </row>
    <row r="677" spans="1:2" x14ac:dyDescent="0.25">
      <c r="A677" s="11" t="s">
        <v>27</v>
      </c>
      <c r="B677" s="11" t="s">
        <v>27</v>
      </c>
    </row>
    <row r="678" spans="1:2" x14ac:dyDescent="0.25">
      <c r="A678" s="11" t="s">
        <v>27</v>
      </c>
      <c r="B678" s="11" t="s">
        <v>27</v>
      </c>
    </row>
    <row r="679" spans="1:2" x14ac:dyDescent="0.25">
      <c r="A679" s="11" t="s">
        <v>27</v>
      </c>
      <c r="B679" s="11" t="s">
        <v>27</v>
      </c>
    </row>
    <row r="680" spans="1:2" x14ac:dyDescent="0.25">
      <c r="A680" s="11" t="s">
        <v>27</v>
      </c>
      <c r="B680" s="11" t="s">
        <v>27</v>
      </c>
    </row>
    <row r="681" spans="1:2" x14ac:dyDescent="0.25">
      <c r="A681" s="11" t="s">
        <v>27</v>
      </c>
      <c r="B681" s="11" t="s">
        <v>27</v>
      </c>
    </row>
    <row r="682" spans="1:2" x14ac:dyDescent="0.25">
      <c r="A682" s="11" t="s">
        <v>27</v>
      </c>
      <c r="B682" s="11" t="s">
        <v>27</v>
      </c>
    </row>
    <row r="683" spans="1:2" x14ac:dyDescent="0.25">
      <c r="A683" s="11" t="s">
        <v>27</v>
      </c>
      <c r="B683" s="11" t="s">
        <v>27</v>
      </c>
    </row>
    <row r="684" spans="1:2" x14ac:dyDescent="0.25">
      <c r="A684" s="11" t="s">
        <v>27</v>
      </c>
      <c r="B684" s="11" t="s">
        <v>27</v>
      </c>
    </row>
    <row r="685" spans="1:2" x14ac:dyDescent="0.25">
      <c r="A685" s="11" t="s">
        <v>27</v>
      </c>
      <c r="B685" s="11" t="s">
        <v>27</v>
      </c>
    </row>
    <row r="686" spans="1:2" x14ac:dyDescent="0.25">
      <c r="A686" s="11" t="s">
        <v>27</v>
      </c>
      <c r="B686" s="11" t="s">
        <v>27</v>
      </c>
    </row>
    <row r="687" spans="1:2" x14ac:dyDescent="0.25">
      <c r="A687" s="11" t="s">
        <v>27</v>
      </c>
      <c r="B687" s="11" t="s">
        <v>27</v>
      </c>
    </row>
    <row r="688" spans="1:2" x14ac:dyDescent="0.25">
      <c r="A688" s="11" t="s">
        <v>27</v>
      </c>
      <c r="B688" s="11" t="s">
        <v>27</v>
      </c>
    </row>
    <row r="689" spans="1:2" x14ac:dyDescent="0.25">
      <c r="A689" s="11" t="s">
        <v>27</v>
      </c>
      <c r="B689" s="11" t="s">
        <v>27</v>
      </c>
    </row>
    <row r="690" spans="1:2" x14ac:dyDescent="0.25">
      <c r="A690" s="11" t="s">
        <v>27</v>
      </c>
      <c r="B690" s="11" t="s">
        <v>27</v>
      </c>
    </row>
    <row r="691" spans="1:2" x14ac:dyDescent="0.25">
      <c r="A691" s="11" t="s">
        <v>27</v>
      </c>
      <c r="B691" s="11" t="s">
        <v>27</v>
      </c>
    </row>
    <row r="692" spans="1:2" x14ac:dyDescent="0.25">
      <c r="A692" s="11" t="s">
        <v>27</v>
      </c>
      <c r="B692" s="11" t="s">
        <v>27</v>
      </c>
    </row>
    <row r="693" spans="1:2" x14ac:dyDescent="0.25">
      <c r="A693" s="11" t="s">
        <v>27</v>
      </c>
      <c r="B693" s="11" t="s">
        <v>27</v>
      </c>
    </row>
    <row r="694" spans="1:2" x14ac:dyDescent="0.25">
      <c r="A694" s="11" t="s">
        <v>27</v>
      </c>
      <c r="B694" s="11" t="s">
        <v>27</v>
      </c>
    </row>
    <row r="695" spans="1:2" x14ac:dyDescent="0.25">
      <c r="A695" s="11" t="s">
        <v>27</v>
      </c>
      <c r="B695" s="11" t="s">
        <v>27</v>
      </c>
    </row>
    <row r="696" spans="1:2" x14ac:dyDescent="0.25">
      <c r="A696" s="11" t="s">
        <v>27</v>
      </c>
      <c r="B696" s="11" t="s">
        <v>27</v>
      </c>
    </row>
    <row r="697" spans="1:2" x14ac:dyDescent="0.25">
      <c r="A697" s="11" t="s">
        <v>27</v>
      </c>
      <c r="B697" s="11" t="s">
        <v>27</v>
      </c>
    </row>
    <row r="698" spans="1:2" x14ac:dyDescent="0.25">
      <c r="A698" s="11" t="s">
        <v>27</v>
      </c>
      <c r="B698" s="11" t="s">
        <v>27</v>
      </c>
    </row>
    <row r="699" spans="1:2" x14ac:dyDescent="0.25">
      <c r="A699" s="11" t="s">
        <v>27</v>
      </c>
      <c r="B699" s="11" t="s">
        <v>27</v>
      </c>
    </row>
    <row r="700" spans="1:2" x14ac:dyDescent="0.25">
      <c r="A700" s="11" t="s">
        <v>27</v>
      </c>
      <c r="B700" s="11" t="s">
        <v>27</v>
      </c>
    </row>
    <row r="701" spans="1:2" x14ac:dyDescent="0.25">
      <c r="A701" s="11" t="s">
        <v>27</v>
      </c>
      <c r="B701" s="11" t="s">
        <v>27</v>
      </c>
    </row>
    <row r="702" spans="1:2" x14ac:dyDescent="0.25">
      <c r="A702" s="11" t="s">
        <v>27</v>
      </c>
      <c r="B702" s="11" t="s">
        <v>27</v>
      </c>
    </row>
    <row r="703" spans="1:2" x14ac:dyDescent="0.25">
      <c r="A703" s="11" t="s">
        <v>27</v>
      </c>
      <c r="B703" s="11" t="s">
        <v>27</v>
      </c>
    </row>
    <row r="704" spans="1:2" x14ac:dyDescent="0.25">
      <c r="A704" s="11" t="s">
        <v>27</v>
      </c>
      <c r="B704" s="11" t="s">
        <v>27</v>
      </c>
    </row>
    <row r="705" spans="1:2" x14ac:dyDescent="0.25">
      <c r="A705" s="11" t="s">
        <v>27</v>
      </c>
      <c r="B705" s="11" t="s">
        <v>27</v>
      </c>
    </row>
    <row r="706" spans="1:2" x14ac:dyDescent="0.25">
      <c r="A706" s="11" t="s">
        <v>27</v>
      </c>
      <c r="B706" s="11" t="s">
        <v>27</v>
      </c>
    </row>
    <row r="707" spans="1:2" x14ac:dyDescent="0.25">
      <c r="A707" s="11" t="s">
        <v>27</v>
      </c>
      <c r="B707" s="11" t="s">
        <v>27</v>
      </c>
    </row>
    <row r="708" spans="1:2" x14ac:dyDescent="0.25">
      <c r="A708" s="11" t="s">
        <v>27</v>
      </c>
      <c r="B708" s="11" t="s">
        <v>27</v>
      </c>
    </row>
    <row r="709" spans="1:2" x14ac:dyDescent="0.25">
      <c r="A709" s="11" t="s">
        <v>27</v>
      </c>
      <c r="B709" s="11" t="s">
        <v>27</v>
      </c>
    </row>
    <row r="710" spans="1:2" x14ac:dyDescent="0.25">
      <c r="A710" s="11" t="s">
        <v>27</v>
      </c>
      <c r="B710" s="11" t="s">
        <v>27</v>
      </c>
    </row>
    <row r="711" spans="1:2" x14ac:dyDescent="0.25">
      <c r="A711" s="11" t="s">
        <v>27</v>
      </c>
      <c r="B711" s="11" t="s">
        <v>27</v>
      </c>
    </row>
    <row r="712" spans="1:2" x14ac:dyDescent="0.25">
      <c r="A712" s="11" t="s">
        <v>27</v>
      </c>
      <c r="B712" s="11" t="s">
        <v>27</v>
      </c>
    </row>
    <row r="713" spans="1:2" x14ac:dyDescent="0.25">
      <c r="A713" s="11" t="s">
        <v>27</v>
      </c>
      <c r="B713" s="11" t="s">
        <v>27</v>
      </c>
    </row>
    <row r="714" spans="1:2" x14ac:dyDescent="0.25">
      <c r="A714" s="11" t="s">
        <v>27</v>
      </c>
      <c r="B714" s="11" t="s">
        <v>27</v>
      </c>
    </row>
    <row r="715" spans="1:2" x14ac:dyDescent="0.25">
      <c r="A715" s="11" t="s">
        <v>27</v>
      </c>
      <c r="B715" s="11" t="s">
        <v>27</v>
      </c>
    </row>
    <row r="716" spans="1:2" x14ac:dyDescent="0.25">
      <c r="A716" s="11" t="s">
        <v>27</v>
      </c>
      <c r="B716" s="11" t="s">
        <v>27</v>
      </c>
    </row>
    <row r="717" spans="1:2" x14ac:dyDescent="0.25">
      <c r="A717" s="11" t="s">
        <v>27</v>
      </c>
      <c r="B717" s="11" t="s">
        <v>27</v>
      </c>
    </row>
    <row r="718" spans="1:2" x14ac:dyDescent="0.25">
      <c r="A718" s="11" t="s">
        <v>27</v>
      </c>
      <c r="B718" s="11" t="s">
        <v>27</v>
      </c>
    </row>
    <row r="719" spans="1:2" x14ac:dyDescent="0.25">
      <c r="A719" s="11" t="s">
        <v>27</v>
      </c>
      <c r="B719" s="11" t="s">
        <v>27</v>
      </c>
    </row>
    <row r="720" spans="1:2" x14ac:dyDescent="0.25">
      <c r="A720" s="11" t="s">
        <v>27</v>
      </c>
      <c r="B720" s="11" t="s">
        <v>27</v>
      </c>
    </row>
    <row r="721" spans="1:2" x14ac:dyDescent="0.25">
      <c r="A721" s="11" t="s">
        <v>27</v>
      </c>
      <c r="B721" s="11" t="s">
        <v>27</v>
      </c>
    </row>
    <row r="722" spans="1:2" x14ac:dyDescent="0.25">
      <c r="A722" s="11" t="s">
        <v>27</v>
      </c>
      <c r="B722" s="11" t="s">
        <v>27</v>
      </c>
    </row>
    <row r="723" spans="1:2" x14ac:dyDescent="0.25">
      <c r="A723" s="11" t="s">
        <v>27</v>
      </c>
      <c r="B723" s="11" t="s">
        <v>27</v>
      </c>
    </row>
    <row r="724" spans="1:2" x14ac:dyDescent="0.25">
      <c r="A724" s="11" t="s">
        <v>27</v>
      </c>
      <c r="B724" s="11" t="s">
        <v>27</v>
      </c>
    </row>
    <row r="725" spans="1:2" x14ac:dyDescent="0.25">
      <c r="A725" s="11" t="s">
        <v>27</v>
      </c>
      <c r="B725" s="11" t="s">
        <v>27</v>
      </c>
    </row>
    <row r="726" spans="1:2" x14ac:dyDescent="0.25">
      <c r="A726" s="11" t="s">
        <v>27</v>
      </c>
      <c r="B726" s="11" t="s">
        <v>27</v>
      </c>
    </row>
    <row r="727" spans="1:2" x14ac:dyDescent="0.25">
      <c r="A727" s="11" t="s">
        <v>27</v>
      </c>
      <c r="B727" s="11" t="s">
        <v>27</v>
      </c>
    </row>
    <row r="728" spans="1:2" x14ac:dyDescent="0.25">
      <c r="A728" s="11" t="s">
        <v>27</v>
      </c>
      <c r="B728" s="11" t="s">
        <v>27</v>
      </c>
    </row>
    <row r="729" spans="1:2" x14ac:dyDescent="0.25">
      <c r="A729" s="11" t="s">
        <v>27</v>
      </c>
      <c r="B729" s="11" t="s">
        <v>27</v>
      </c>
    </row>
    <row r="730" spans="1:2" x14ac:dyDescent="0.25">
      <c r="A730" s="11" t="s">
        <v>27</v>
      </c>
      <c r="B730" s="11" t="s">
        <v>27</v>
      </c>
    </row>
    <row r="731" spans="1:2" x14ac:dyDescent="0.25">
      <c r="A731" s="11" t="s">
        <v>27</v>
      </c>
      <c r="B731" s="11" t="s">
        <v>27</v>
      </c>
    </row>
    <row r="732" spans="1:2" x14ac:dyDescent="0.25">
      <c r="A732" s="11" t="s">
        <v>27</v>
      </c>
      <c r="B732" s="11" t="s">
        <v>27</v>
      </c>
    </row>
    <row r="733" spans="1:2" x14ac:dyDescent="0.25">
      <c r="A733" s="11" t="s">
        <v>27</v>
      </c>
      <c r="B733" s="11" t="s">
        <v>27</v>
      </c>
    </row>
    <row r="734" spans="1:2" x14ac:dyDescent="0.25">
      <c r="A734" s="11" t="s">
        <v>27</v>
      </c>
      <c r="B734" s="11" t="s">
        <v>27</v>
      </c>
    </row>
    <row r="735" spans="1:2" x14ac:dyDescent="0.25">
      <c r="A735" s="11" t="s">
        <v>27</v>
      </c>
      <c r="B735" s="11" t="s">
        <v>27</v>
      </c>
    </row>
    <row r="736" spans="1:2" x14ac:dyDescent="0.25">
      <c r="A736" s="11" t="s">
        <v>27</v>
      </c>
      <c r="B736" s="11" t="s">
        <v>27</v>
      </c>
    </row>
    <row r="737" spans="1:2" x14ac:dyDescent="0.25">
      <c r="A737" s="11" t="s">
        <v>27</v>
      </c>
      <c r="B737" s="11" t="s">
        <v>27</v>
      </c>
    </row>
    <row r="738" spans="1:2" x14ac:dyDescent="0.25">
      <c r="A738" s="11" t="s">
        <v>27</v>
      </c>
      <c r="B738" s="11" t="s">
        <v>27</v>
      </c>
    </row>
    <row r="739" spans="1:2" x14ac:dyDescent="0.25">
      <c r="A739" s="11" t="s">
        <v>27</v>
      </c>
      <c r="B739" s="11" t="s">
        <v>27</v>
      </c>
    </row>
    <row r="740" spans="1:2" x14ac:dyDescent="0.25">
      <c r="A740" s="11" t="s">
        <v>27</v>
      </c>
      <c r="B740" s="11" t="s">
        <v>27</v>
      </c>
    </row>
    <row r="741" spans="1:2" x14ac:dyDescent="0.25">
      <c r="A741" s="11" t="s">
        <v>27</v>
      </c>
      <c r="B741" s="11" t="s">
        <v>27</v>
      </c>
    </row>
    <row r="742" spans="1:2" x14ac:dyDescent="0.25">
      <c r="A742" s="11" t="s">
        <v>27</v>
      </c>
      <c r="B742" s="11" t="s">
        <v>27</v>
      </c>
    </row>
    <row r="743" spans="1:2" x14ac:dyDescent="0.25">
      <c r="A743" s="11" t="s">
        <v>27</v>
      </c>
      <c r="B743" s="11" t="s">
        <v>27</v>
      </c>
    </row>
    <row r="744" spans="1:2" x14ac:dyDescent="0.25">
      <c r="A744" s="11" t="s">
        <v>27</v>
      </c>
      <c r="B744" s="11" t="s">
        <v>27</v>
      </c>
    </row>
    <row r="745" spans="1:2" x14ac:dyDescent="0.25">
      <c r="A745" s="11" t="s">
        <v>27</v>
      </c>
      <c r="B745" s="11" t="s">
        <v>27</v>
      </c>
    </row>
    <row r="746" spans="1:2" x14ac:dyDescent="0.25">
      <c r="A746" s="11" t="s">
        <v>27</v>
      </c>
      <c r="B746" s="11" t="s">
        <v>27</v>
      </c>
    </row>
    <row r="747" spans="1:2" x14ac:dyDescent="0.25">
      <c r="A747" s="11" t="s">
        <v>27</v>
      </c>
      <c r="B747" s="11" t="s">
        <v>27</v>
      </c>
    </row>
    <row r="748" spans="1:2" x14ac:dyDescent="0.25">
      <c r="A748" s="11" t="s">
        <v>27</v>
      </c>
      <c r="B748" s="11" t="s">
        <v>27</v>
      </c>
    </row>
    <row r="749" spans="1:2" x14ac:dyDescent="0.25">
      <c r="A749" s="11" t="s">
        <v>27</v>
      </c>
      <c r="B749" s="11" t="s">
        <v>27</v>
      </c>
    </row>
    <row r="750" spans="1:2" x14ac:dyDescent="0.25">
      <c r="A750" s="11" t="s">
        <v>27</v>
      </c>
      <c r="B750" s="11" t="s">
        <v>27</v>
      </c>
    </row>
    <row r="751" spans="1:2" x14ac:dyDescent="0.25">
      <c r="A751" s="11" t="s">
        <v>27</v>
      </c>
      <c r="B751" s="11" t="s">
        <v>27</v>
      </c>
    </row>
    <row r="752" spans="1:2" x14ac:dyDescent="0.25">
      <c r="A752" s="11" t="s">
        <v>27</v>
      </c>
      <c r="B752" s="11" t="s">
        <v>27</v>
      </c>
    </row>
    <row r="753" spans="1:2" x14ac:dyDescent="0.25">
      <c r="A753" s="11" t="s">
        <v>27</v>
      </c>
      <c r="B753" s="11" t="s">
        <v>27</v>
      </c>
    </row>
    <row r="754" spans="1:2" x14ac:dyDescent="0.25">
      <c r="A754" s="11" t="s">
        <v>27</v>
      </c>
      <c r="B754" s="11" t="s">
        <v>27</v>
      </c>
    </row>
    <row r="755" spans="1:2" x14ac:dyDescent="0.25">
      <c r="A755" s="11" t="s">
        <v>27</v>
      </c>
      <c r="B755" s="11" t="s">
        <v>27</v>
      </c>
    </row>
    <row r="756" spans="1:2" x14ac:dyDescent="0.25">
      <c r="A756" s="11" t="s">
        <v>27</v>
      </c>
      <c r="B756" s="11" t="s">
        <v>27</v>
      </c>
    </row>
    <row r="757" spans="1:2" x14ac:dyDescent="0.25">
      <c r="A757" s="11" t="s">
        <v>27</v>
      </c>
      <c r="B757" s="11" t="s">
        <v>27</v>
      </c>
    </row>
    <row r="758" spans="1:2" x14ac:dyDescent="0.25">
      <c r="A758" s="11" t="s">
        <v>27</v>
      </c>
      <c r="B758" s="11" t="s">
        <v>27</v>
      </c>
    </row>
    <row r="759" spans="1:2" x14ac:dyDescent="0.25">
      <c r="A759" s="11" t="s">
        <v>27</v>
      </c>
      <c r="B759" s="11" t="s">
        <v>27</v>
      </c>
    </row>
    <row r="760" spans="1:2" x14ac:dyDescent="0.25">
      <c r="A760" s="11" t="s">
        <v>27</v>
      </c>
      <c r="B760" s="11" t="s">
        <v>27</v>
      </c>
    </row>
    <row r="761" spans="1:2" x14ac:dyDescent="0.25">
      <c r="A761" s="11" t="s">
        <v>27</v>
      </c>
      <c r="B761" s="11" t="s">
        <v>27</v>
      </c>
    </row>
    <row r="762" spans="1:2" x14ac:dyDescent="0.25">
      <c r="A762" s="11" t="s">
        <v>27</v>
      </c>
      <c r="B762" s="11" t="s">
        <v>27</v>
      </c>
    </row>
    <row r="763" spans="1:2" x14ac:dyDescent="0.25">
      <c r="A763" s="11" t="s">
        <v>27</v>
      </c>
      <c r="B763" s="11" t="s">
        <v>27</v>
      </c>
    </row>
    <row r="764" spans="1:2" x14ac:dyDescent="0.25">
      <c r="A764" s="11" t="s">
        <v>27</v>
      </c>
      <c r="B764" s="11" t="s">
        <v>27</v>
      </c>
    </row>
    <row r="765" spans="1:2" x14ac:dyDescent="0.25">
      <c r="A765" s="11" t="s">
        <v>27</v>
      </c>
      <c r="B765" s="11" t="s">
        <v>27</v>
      </c>
    </row>
    <row r="766" spans="1:2" x14ac:dyDescent="0.25">
      <c r="A766" s="11" t="s">
        <v>27</v>
      </c>
      <c r="B766" s="11" t="s">
        <v>27</v>
      </c>
    </row>
    <row r="767" spans="1:2" x14ac:dyDescent="0.25">
      <c r="A767" s="11" t="s">
        <v>27</v>
      </c>
      <c r="B767" s="11" t="s">
        <v>27</v>
      </c>
    </row>
    <row r="768" spans="1:2" x14ac:dyDescent="0.25">
      <c r="A768" s="11" t="s">
        <v>27</v>
      </c>
      <c r="B768" s="11" t="s">
        <v>27</v>
      </c>
    </row>
    <row r="769" spans="1:2" x14ac:dyDescent="0.25">
      <c r="A769" s="11" t="s">
        <v>27</v>
      </c>
      <c r="B769" s="11" t="s">
        <v>27</v>
      </c>
    </row>
    <row r="770" spans="1:2" x14ac:dyDescent="0.25">
      <c r="A770" s="11" t="s">
        <v>27</v>
      </c>
      <c r="B770" s="11" t="s">
        <v>27</v>
      </c>
    </row>
    <row r="771" spans="1:2" x14ac:dyDescent="0.25">
      <c r="A771" s="11" t="s">
        <v>27</v>
      </c>
      <c r="B771" s="11" t="s">
        <v>27</v>
      </c>
    </row>
    <row r="772" spans="1:2" x14ac:dyDescent="0.25">
      <c r="A772" s="11" t="s">
        <v>27</v>
      </c>
      <c r="B772" s="11" t="s">
        <v>27</v>
      </c>
    </row>
    <row r="773" spans="1:2" x14ac:dyDescent="0.25">
      <c r="A773" s="11" t="s">
        <v>27</v>
      </c>
      <c r="B773" s="11" t="s">
        <v>27</v>
      </c>
    </row>
    <row r="774" spans="1:2" x14ac:dyDescent="0.25">
      <c r="A774" s="11" t="s">
        <v>27</v>
      </c>
      <c r="B774" s="11" t="s">
        <v>27</v>
      </c>
    </row>
    <row r="775" spans="1:2" x14ac:dyDescent="0.25">
      <c r="A775" s="11" t="s">
        <v>27</v>
      </c>
      <c r="B775" s="11" t="s">
        <v>27</v>
      </c>
    </row>
    <row r="776" spans="1:2" x14ac:dyDescent="0.25">
      <c r="A776" s="11" t="s">
        <v>27</v>
      </c>
      <c r="B776" s="11" t="s">
        <v>27</v>
      </c>
    </row>
    <row r="777" spans="1:2" x14ac:dyDescent="0.25">
      <c r="A777" s="11" t="s">
        <v>27</v>
      </c>
      <c r="B777" s="11" t="s">
        <v>27</v>
      </c>
    </row>
    <row r="778" spans="1:2" x14ac:dyDescent="0.25">
      <c r="A778" s="11" t="s">
        <v>27</v>
      </c>
      <c r="B778" s="11" t="s">
        <v>27</v>
      </c>
    </row>
    <row r="779" spans="1:2" x14ac:dyDescent="0.25">
      <c r="A779" s="11" t="s">
        <v>27</v>
      </c>
      <c r="B779" s="11" t="s">
        <v>27</v>
      </c>
    </row>
    <row r="780" spans="1:2" x14ac:dyDescent="0.25">
      <c r="A780" s="11" t="s">
        <v>27</v>
      </c>
      <c r="B780" s="11" t="s">
        <v>27</v>
      </c>
    </row>
    <row r="781" spans="1:2" x14ac:dyDescent="0.25">
      <c r="A781" s="11" t="s">
        <v>27</v>
      </c>
      <c r="B781" s="11" t="s">
        <v>27</v>
      </c>
    </row>
    <row r="782" spans="1:2" x14ac:dyDescent="0.25">
      <c r="A782" s="11" t="s">
        <v>27</v>
      </c>
      <c r="B782" s="11" t="s">
        <v>27</v>
      </c>
    </row>
    <row r="783" spans="1:2" x14ac:dyDescent="0.25">
      <c r="A783" s="11" t="s">
        <v>27</v>
      </c>
      <c r="B783" s="11" t="s">
        <v>27</v>
      </c>
    </row>
    <row r="784" spans="1:2" x14ac:dyDescent="0.25">
      <c r="A784" s="11" t="s">
        <v>27</v>
      </c>
      <c r="B784" s="11" t="s">
        <v>27</v>
      </c>
    </row>
    <row r="785" spans="1:2" x14ac:dyDescent="0.25">
      <c r="A785" s="11" t="s">
        <v>27</v>
      </c>
      <c r="B785" s="11" t="s">
        <v>27</v>
      </c>
    </row>
    <row r="786" spans="1:2" x14ac:dyDescent="0.25">
      <c r="A786" s="11" t="s">
        <v>27</v>
      </c>
      <c r="B786" s="11" t="s">
        <v>27</v>
      </c>
    </row>
    <row r="787" spans="1:2" x14ac:dyDescent="0.25">
      <c r="A787" s="11" t="s">
        <v>27</v>
      </c>
      <c r="B787" s="11" t="s">
        <v>27</v>
      </c>
    </row>
    <row r="788" spans="1:2" x14ac:dyDescent="0.25">
      <c r="A788" s="11" t="s">
        <v>27</v>
      </c>
      <c r="B788" s="11" t="s">
        <v>27</v>
      </c>
    </row>
    <row r="789" spans="1:2" x14ac:dyDescent="0.25">
      <c r="A789" s="11" t="s">
        <v>27</v>
      </c>
      <c r="B789" s="11" t="s">
        <v>27</v>
      </c>
    </row>
    <row r="790" spans="1:2" x14ac:dyDescent="0.25">
      <c r="A790" s="11" t="s">
        <v>27</v>
      </c>
      <c r="B790" s="11" t="s">
        <v>27</v>
      </c>
    </row>
    <row r="791" spans="1:2" x14ac:dyDescent="0.25">
      <c r="A791" s="11" t="s">
        <v>27</v>
      </c>
      <c r="B791" s="11" t="s">
        <v>27</v>
      </c>
    </row>
    <row r="792" spans="1:2" x14ac:dyDescent="0.25">
      <c r="A792" s="11" t="s">
        <v>27</v>
      </c>
      <c r="B792" s="11" t="s">
        <v>27</v>
      </c>
    </row>
    <row r="793" spans="1:2" x14ac:dyDescent="0.25">
      <c r="A793" s="11" t="s">
        <v>27</v>
      </c>
      <c r="B793" s="11" t="s">
        <v>27</v>
      </c>
    </row>
    <row r="794" spans="1:2" x14ac:dyDescent="0.25">
      <c r="A794" s="11" t="s">
        <v>27</v>
      </c>
      <c r="B794" s="11" t="s">
        <v>27</v>
      </c>
    </row>
    <row r="795" spans="1:2" x14ac:dyDescent="0.25">
      <c r="A795" s="11" t="s">
        <v>27</v>
      </c>
      <c r="B795" s="11" t="s">
        <v>27</v>
      </c>
    </row>
    <row r="796" spans="1:2" x14ac:dyDescent="0.25">
      <c r="A796" s="11" t="s">
        <v>27</v>
      </c>
      <c r="B796" s="11" t="s">
        <v>27</v>
      </c>
    </row>
    <row r="797" spans="1:2" x14ac:dyDescent="0.25">
      <c r="A797" s="11" t="s">
        <v>27</v>
      </c>
      <c r="B797" s="11" t="s">
        <v>27</v>
      </c>
    </row>
    <row r="798" spans="1:2" x14ac:dyDescent="0.25">
      <c r="A798" s="11" t="s">
        <v>27</v>
      </c>
      <c r="B798" s="11" t="s">
        <v>27</v>
      </c>
    </row>
    <row r="799" spans="1:2" x14ac:dyDescent="0.25">
      <c r="A799" s="11" t="s">
        <v>27</v>
      </c>
      <c r="B799" s="11" t="s">
        <v>27</v>
      </c>
    </row>
    <row r="800" spans="1:2" x14ac:dyDescent="0.25">
      <c r="A800" s="11" t="s">
        <v>27</v>
      </c>
      <c r="B800" s="11" t="s">
        <v>27</v>
      </c>
    </row>
    <row r="801" spans="1:2" x14ac:dyDescent="0.25">
      <c r="A801" s="11" t="s">
        <v>27</v>
      </c>
      <c r="B801" s="11" t="s">
        <v>27</v>
      </c>
    </row>
    <row r="802" spans="1:2" x14ac:dyDescent="0.25">
      <c r="A802" s="11" t="s">
        <v>27</v>
      </c>
      <c r="B802" s="11" t="s">
        <v>27</v>
      </c>
    </row>
    <row r="803" spans="1:2" x14ac:dyDescent="0.25">
      <c r="A803" s="11" t="s">
        <v>27</v>
      </c>
      <c r="B803" s="11" t="s">
        <v>27</v>
      </c>
    </row>
    <row r="804" spans="1:2" x14ac:dyDescent="0.25">
      <c r="A804" s="11" t="s">
        <v>27</v>
      </c>
      <c r="B804" s="11" t="s">
        <v>27</v>
      </c>
    </row>
    <row r="805" spans="1:2" x14ac:dyDescent="0.25">
      <c r="A805" s="11" t="s">
        <v>27</v>
      </c>
      <c r="B805" s="11" t="s">
        <v>27</v>
      </c>
    </row>
    <row r="806" spans="1:2" x14ac:dyDescent="0.25">
      <c r="A806" s="11" t="s">
        <v>27</v>
      </c>
      <c r="B806" s="11" t="s">
        <v>27</v>
      </c>
    </row>
    <row r="807" spans="1:2" x14ac:dyDescent="0.25">
      <c r="A807" s="11" t="s">
        <v>27</v>
      </c>
      <c r="B807" s="11" t="s">
        <v>27</v>
      </c>
    </row>
    <row r="808" spans="1:2" x14ac:dyDescent="0.25">
      <c r="A808" s="11" t="s">
        <v>27</v>
      </c>
      <c r="B808" s="11" t="s">
        <v>27</v>
      </c>
    </row>
    <row r="809" spans="1:2" x14ac:dyDescent="0.25">
      <c r="A809" s="11" t="s">
        <v>27</v>
      </c>
      <c r="B809" s="11" t="s">
        <v>27</v>
      </c>
    </row>
    <row r="810" spans="1:2" x14ac:dyDescent="0.25">
      <c r="A810" s="11" t="s">
        <v>27</v>
      </c>
      <c r="B810" s="11" t="s">
        <v>27</v>
      </c>
    </row>
    <row r="811" spans="1:2" x14ac:dyDescent="0.25">
      <c r="A811" s="11" t="s">
        <v>27</v>
      </c>
      <c r="B811" s="11" t="s">
        <v>27</v>
      </c>
    </row>
    <row r="812" spans="1:2" x14ac:dyDescent="0.25">
      <c r="A812" s="11" t="s">
        <v>27</v>
      </c>
      <c r="B812" s="11" t="s">
        <v>27</v>
      </c>
    </row>
    <row r="813" spans="1:2" x14ac:dyDescent="0.25">
      <c r="A813" s="11" t="s">
        <v>27</v>
      </c>
      <c r="B813" s="11" t="s">
        <v>27</v>
      </c>
    </row>
    <row r="814" spans="1:2" x14ac:dyDescent="0.25">
      <c r="A814" s="11" t="s">
        <v>27</v>
      </c>
      <c r="B814" s="11" t="s">
        <v>27</v>
      </c>
    </row>
    <row r="815" spans="1:2" x14ac:dyDescent="0.25">
      <c r="A815" s="11" t="s">
        <v>27</v>
      </c>
      <c r="B815" s="11" t="s">
        <v>27</v>
      </c>
    </row>
    <row r="816" spans="1:2" x14ac:dyDescent="0.25">
      <c r="A816" s="11" t="s">
        <v>27</v>
      </c>
      <c r="B816" s="11" t="s">
        <v>27</v>
      </c>
    </row>
    <row r="817" spans="1:2" x14ac:dyDescent="0.25">
      <c r="A817" s="11" t="s">
        <v>27</v>
      </c>
      <c r="B817" s="11" t="s">
        <v>27</v>
      </c>
    </row>
    <row r="818" spans="1:2" x14ac:dyDescent="0.25">
      <c r="A818" s="11" t="s">
        <v>27</v>
      </c>
      <c r="B818" s="11" t="s">
        <v>27</v>
      </c>
    </row>
    <row r="819" spans="1:2" x14ac:dyDescent="0.25">
      <c r="A819" s="11" t="s">
        <v>27</v>
      </c>
      <c r="B819" s="11" t="s">
        <v>27</v>
      </c>
    </row>
    <row r="820" spans="1:2" x14ac:dyDescent="0.25">
      <c r="A820" s="11" t="s">
        <v>27</v>
      </c>
      <c r="B820" s="11" t="s">
        <v>27</v>
      </c>
    </row>
    <row r="821" spans="1:2" x14ac:dyDescent="0.25">
      <c r="A821" s="11" t="s">
        <v>27</v>
      </c>
      <c r="B821" s="11" t="s">
        <v>27</v>
      </c>
    </row>
    <row r="822" spans="1:2" x14ac:dyDescent="0.25">
      <c r="A822" s="11" t="s">
        <v>27</v>
      </c>
      <c r="B822" s="11" t="s">
        <v>27</v>
      </c>
    </row>
    <row r="823" spans="1:2" x14ac:dyDescent="0.25">
      <c r="A823" s="11" t="s">
        <v>27</v>
      </c>
      <c r="B823" s="11" t="s">
        <v>27</v>
      </c>
    </row>
    <row r="824" spans="1:2" x14ac:dyDescent="0.25">
      <c r="A824" s="11" t="s">
        <v>27</v>
      </c>
      <c r="B824" s="11" t="s">
        <v>27</v>
      </c>
    </row>
    <row r="825" spans="1:2" x14ac:dyDescent="0.25">
      <c r="A825" s="11" t="s">
        <v>27</v>
      </c>
      <c r="B825" s="11" t="s">
        <v>27</v>
      </c>
    </row>
    <row r="826" spans="1:2" x14ac:dyDescent="0.25">
      <c r="A826" s="11" t="s">
        <v>27</v>
      </c>
      <c r="B826" s="11" t="s">
        <v>27</v>
      </c>
    </row>
    <row r="827" spans="1:2" x14ac:dyDescent="0.25">
      <c r="A827" s="11" t="s">
        <v>27</v>
      </c>
      <c r="B827" s="11" t="s">
        <v>27</v>
      </c>
    </row>
    <row r="828" spans="1:2" x14ac:dyDescent="0.25">
      <c r="A828" s="11" t="s">
        <v>27</v>
      </c>
      <c r="B828" s="11" t="s">
        <v>27</v>
      </c>
    </row>
    <row r="829" spans="1:2" x14ac:dyDescent="0.25">
      <c r="A829" s="11" t="s">
        <v>27</v>
      </c>
      <c r="B829" s="11" t="s">
        <v>27</v>
      </c>
    </row>
    <row r="830" spans="1:2" x14ac:dyDescent="0.25">
      <c r="A830" s="11" t="s">
        <v>27</v>
      </c>
      <c r="B830" s="11" t="s">
        <v>27</v>
      </c>
    </row>
    <row r="831" spans="1:2" x14ac:dyDescent="0.25">
      <c r="A831" s="11" t="s">
        <v>27</v>
      </c>
      <c r="B831" s="11" t="s">
        <v>27</v>
      </c>
    </row>
    <row r="832" spans="1:2" x14ac:dyDescent="0.25">
      <c r="A832" s="11" t="s">
        <v>27</v>
      </c>
      <c r="B832" s="11" t="s">
        <v>27</v>
      </c>
    </row>
    <row r="833" spans="1:2" x14ac:dyDescent="0.25">
      <c r="A833" s="11" t="s">
        <v>27</v>
      </c>
      <c r="B833" s="11" t="s">
        <v>27</v>
      </c>
    </row>
    <row r="834" spans="1:2" x14ac:dyDescent="0.25">
      <c r="A834" s="11" t="s">
        <v>27</v>
      </c>
      <c r="B834" s="11" t="s">
        <v>27</v>
      </c>
    </row>
    <row r="835" spans="1:2" x14ac:dyDescent="0.25">
      <c r="A835" s="11" t="s">
        <v>27</v>
      </c>
      <c r="B835" s="11" t="s">
        <v>27</v>
      </c>
    </row>
    <row r="836" spans="1:2" x14ac:dyDescent="0.25">
      <c r="A836" s="11" t="s">
        <v>27</v>
      </c>
      <c r="B836" s="11" t="s">
        <v>27</v>
      </c>
    </row>
    <row r="837" spans="1:2" x14ac:dyDescent="0.25">
      <c r="A837" s="11" t="s">
        <v>27</v>
      </c>
      <c r="B837" s="11" t="s">
        <v>27</v>
      </c>
    </row>
    <row r="838" spans="1:2" x14ac:dyDescent="0.25">
      <c r="A838" s="11" t="s">
        <v>27</v>
      </c>
      <c r="B838" s="11" t="s">
        <v>27</v>
      </c>
    </row>
    <row r="839" spans="1:2" x14ac:dyDescent="0.25">
      <c r="A839" s="11" t="s">
        <v>27</v>
      </c>
      <c r="B839" s="11" t="s">
        <v>27</v>
      </c>
    </row>
    <row r="840" spans="1:2" x14ac:dyDescent="0.25">
      <c r="A840" s="11" t="s">
        <v>27</v>
      </c>
      <c r="B840" s="11" t="s">
        <v>27</v>
      </c>
    </row>
    <row r="841" spans="1:2" x14ac:dyDescent="0.25">
      <c r="A841" s="11" t="s">
        <v>27</v>
      </c>
      <c r="B841" s="11" t="s">
        <v>27</v>
      </c>
    </row>
    <row r="842" spans="1:2" x14ac:dyDescent="0.25">
      <c r="A842" s="11" t="s">
        <v>27</v>
      </c>
      <c r="B842" s="11" t="s">
        <v>27</v>
      </c>
    </row>
    <row r="843" spans="1:2" x14ac:dyDescent="0.25">
      <c r="A843" s="11" t="s">
        <v>27</v>
      </c>
      <c r="B843" s="11" t="s">
        <v>27</v>
      </c>
    </row>
    <row r="844" spans="1:2" x14ac:dyDescent="0.25">
      <c r="A844" s="11" t="s">
        <v>27</v>
      </c>
      <c r="B844" s="11" t="s">
        <v>27</v>
      </c>
    </row>
    <row r="845" spans="1:2" x14ac:dyDescent="0.25">
      <c r="A845" s="11" t="s">
        <v>27</v>
      </c>
      <c r="B845" s="11" t="s">
        <v>27</v>
      </c>
    </row>
    <row r="846" spans="1:2" x14ac:dyDescent="0.25">
      <c r="A846" s="11" t="s">
        <v>27</v>
      </c>
      <c r="B846" s="11" t="s">
        <v>27</v>
      </c>
    </row>
    <row r="847" spans="1:2" x14ac:dyDescent="0.25">
      <c r="A847" s="11" t="s">
        <v>27</v>
      </c>
      <c r="B847" s="11" t="s">
        <v>27</v>
      </c>
    </row>
    <row r="848" spans="1:2" x14ac:dyDescent="0.25">
      <c r="A848" s="11" t="s">
        <v>27</v>
      </c>
      <c r="B848" s="11" t="s">
        <v>27</v>
      </c>
    </row>
    <row r="849" spans="1:2" x14ac:dyDescent="0.25">
      <c r="A849" s="11" t="s">
        <v>27</v>
      </c>
      <c r="B849" s="11" t="s">
        <v>27</v>
      </c>
    </row>
    <row r="850" spans="1:2" x14ac:dyDescent="0.25">
      <c r="A850" s="11" t="s">
        <v>27</v>
      </c>
      <c r="B850" s="11" t="s">
        <v>27</v>
      </c>
    </row>
    <row r="851" spans="1:2" x14ac:dyDescent="0.25">
      <c r="A851" s="11" t="s">
        <v>27</v>
      </c>
      <c r="B851" s="11" t="s">
        <v>27</v>
      </c>
    </row>
    <row r="852" spans="1:2" x14ac:dyDescent="0.25">
      <c r="A852" s="11" t="s">
        <v>27</v>
      </c>
      <c r="B852" s="11" t="s">
        <v>27</v>
      </c>
    </row>
    <row r="853" spans="1:2" x14ac:dyDescent="0.25">
      <c r="A853" s="11" t="s">
        <v>27</v>
      </c>
      <c r="B853" s="11" t="s">
        <v>27</v>
      </c>
    </row>
    <row r="854" spans="1:2" x14ac:dyDescent="0.25">
      <c r="A854" s="11" t="s">
        <v>27</v>
      </c>
      <c r="B854" s="11" t="s">
        <v>27</v>
      </c>
    </row>
    <row r="855" spans="1:2" x14ac:dyDescent="0.25">
      <c r="A855" s="11" t="s">
        <v>27</v>
      </c>
      <c r="B855" s="11" t="s">
        <v>27</v>
      </c>
    </row>
    <row r="856" spans="1:2" x14ac:dyDescent="0.25">
      <c r="A856" s="11" t="s">
        <v>27</v>
      </c>
      <c r="B856" s="11" t="s">
        <v>27</v>
      </c>
    </row>
    <row r="857" spans="1:2" x14ac:dyDescent="0.25">
      <c r="A857" s="11" t="s">
        <v>27</v>
      </c>
      <c r="B857" s="11" t="s">
        <v>27</v>
      </c>
    </row>
    <row r="858" spans="1:2" x14ac:dyDescent="0.25">
      <c r="A858" s="11" t="s">
        <v>27</v>
      </c>
      <c r="B858" s="11" t="s">
        <v>27</v>
      </c>
    </row>
    <row r="859" spans="1:2" x14ac:dyDescent="0.25">
      <c r="A859" s="11" t="s">
        <v>27</v>
      </c>
      <c r="B859" s="11" t="s">
        <v>27</v>
      </c>
    </row>
    <row r="860" spans="1:2" x14ac:dyDescent="0.25">
      <c r="A860" s="11" t="s">
        <v>27</v>
      </c>
      <c r="B860" s="11" t="s">
        <v>27</v>
      </c>
    </row>
    <row r="861" spans="1:2" x14ac:dyDescent="0.25">
      <c r="A861" s="11" t="s">
        <v>27</v>
      </c>
      <c r="B861" s="11" t="s">
        <v>27</v>
      </c>
    </row>
    <row r="862" spans="1:2" x14ac:dyDescent="0.25">
      <c r="A862" s="11" t="s">
        <v>27</v>
      </c>
      <c r="B862" s="11" t="s">
        <v>27</v>
      </c>
    </row>
    <row r="863" spans="1:2" x14ac:dyDescent="0.25">
      <c r="A863" s="11" t="s">
        <v>27</v>
      </c>
      <c r="B863" s="11" t="s">
        <v>27</v>
      </c>
    </row>
    <row r="864" spans="1:2" x14ac:dyDescent="0.25">
      <c r="A864" s="11" t="s">
        <v>27</v>
      </c>
      <c r="B864" s="11" t="s">
        <v>27</v>
      </c>
    </row>
    <row r="865" spans="1:2" x14ac:dyDescent="0.25">
      <c r="A865" s="11" t="s">
        <v>27</v>
      </c>
      <c r="B865" s="11" t="s">
        <v>27</v>
      </c>
    </row>
    <row r="866" spans="1:2" x14ac:dyDescent="0.25">
      <c r="A866" s="11" t="s">
        <v>27</v>
      </c>
      <c r="B866" s="11" t="s">
        <v>27</v>
      </c>
    </row>
    <row r="867" spans="1:2" x14ac:dyDescent="0.25">
      <c r="A867" s="11" t="s">
        <v>27</v>
      </c>
      <c r="B867" s="11" t="s">
        <v>27</v>
      </c>
    </row>
    <row r="868" spans="1:2" x14ac:dyDescent="0.25">
      <c r="A868" s="11" t="s">
        <v>27</v>
      </c>
      <c r="B868" s="11" t="s">
        <v>27</v>
      </c>
    </row>
    <row r="869" spans="1:2" x14ac:dyDescent="0.25">
      <c r="A869" s="11" t="s">
        <v>27</v>
      </c>
      <c r="B869" s="11" t="s">
        <v>27</v>
      </c>
    </row>
    <row r="870" spans="1:2" x14ac:dyDescent="0.25">
      <c r="A870" s="11" t="s">
        <v>27</v>
      </c>
      <c r="B870" s="11" t="s">
        <v>27</v>
      </c>
    </row>
    <row r="871" spans="1:2" x14ac:dyDescent="0.25">
      <c r="A871" s="11" t="s">
        <v>27</v>
      </c>
      <c r="B871" s="11" t="s">
        <v>27</v>
      </c>
    </row>
    <row r="872" spans="1:2" x14ac:dyDescent="0.25">
      <c r="A872" s="11" t="s">
        <v>27</v>
      </c>
      <c r="B872" s="11" t="s">
        <v>27</v>
      </c>
    </row>
    <row r="873" spans="1:2" x14ac:dyDescent="0.25">
      <c r="A873" s="11" t="s">
        <v>27</v>
      </c>
      <c r="B873" s="11" t="s">
        <v>27</v>
      </c>
    </row>
    <row r="874" spans="1:2" x14ac:dyDescent="0.25">
      <c r="A874" s="11" t="s">
        <v>27</v>
      </c>
      <c r="B874" s="11" t="s">
        <v>27</v>
      </c>
    </row>
    <row r="875" spans="1:2" x14ac:dyDescent="0.25">
      <c r="A875" s="11" t="s">
        <v>27</v>
      </c>
      <c r="B875" s="11" t="s">
        <v>27</v>
      </c>
    </row>
    <row r="876" spans="1:2" x14ac:dyDescent="0.25">
      <c r="A876" s="11" t="s">
        <v>27</v>
      </c>
      <c r="B876" s="11" t="s">
        <v>27</v>
      </c>
    </row>
    <row r="877" spans="1:2" x14ac:dyDescent="0.25">
      <c r="A877" s="11" t="s">
        <v>27</v>
      </c>
      <c r="B877" s="11" t="s">
        <v>27</v>
      </c>
    </row>
    <row r="878" spans="1:2" x14ac:dyDescent="0.25">
      <c r="A878" s="11" t="s">
        <v>27</v>
      </c>
      <c r="B878" s="11" t="s">
        <v>27</v>
      </c>
    </row>
    <row r="879" spans="1:2" x14ac:dyDescent="0.25">
      <c r="A879" s="11" t="s">
        <v>27</v>
      </c>
      <c r="B879" s="11" t="s">
        <v>27</v>
      </c>
    </row>
    <row r="880" spans="1:2" x14ac:dyDescent="0.25">
      <c r="A880" s="11" t="s">
        <v>27</v>
      </c>
      <c r="B880" s="11" t="s">
        <v>27</v>
      </c>
    </row>
    <row r="881" spans="1:2" x14ac:dyDescent="0.25">
      <c r="A881" s="11" t="s">
        <v>27</v>
      </c>
      <c r="B881" s="11" t="s">
        <v>27</v>
      </c>
    </row>
    <row r="882" spans="1:2" x14ac:dyDescent="0.25">
      <c r="A882" s="11" t="s">
        <v>27</v>
      </c>
      <c r="B882" s="11" t="s">
        <v>27</v>
      </c>
    </row>
    <row r="883" spans="1:2" x14ac:dyDescent="0.25">
      <c r="A883" s="11" t="s">
        <v>27</v>
      </c>
      <c r="B883" s="11" t="s">
        <v>27</v>
      </c>
    </row>
    <row r="884" spans="1:2" x14ac:dyDescent="0.25">
      <c r="A884" s="11" t="s">
        <v>27</v>
      </c>
      <c r="B884" s="11" t="s">
        <v>27</v>
      </c>
    </row>
    <row r="885" spans="1:2" x14ac:dyDescent="0.25">
      <c r="A885" s="11" t="s">
        <v>27</v>
      </c>
      <c r="B885" s="11" t="s">
        <v>27</v>
      </c>
    </row>
    <row r="886" spans="1:2" x14ac:dyDescent="0.25">
      <c r="A886" s="11" t="s">
        <v>27</v>
      </c>
      <c r="B886" s="11" t="s">
        <v>27</v>
      </c>
    </row>
    <row r="887" spans="1:2" x14ac:dyDescent="0.25">
      <c r="A887" s="11" t="s">
        <v>27</v>
      </c>
      <c r="B887" s="11" t="s">
        <v>27</v>
      </c>
    </row>
    <row r="888" spans="1:2" x14ac:dyDescent="0.25">
      <c r="A888" s="11" t="s">
        <v>27</v>
      </c>
      <c r="B888" s="11" t="s">
        <v>27</v>
      </c>
    </row>
    <row r="889" spans="1:2" x14ac:dyDescent="0.25">
      <c r="A889" s="11" t="s">
        <v>27</v>
      </c>
      <c r="B889" s="11" t="s">
        <v>27</v>
      </c>
    </row>
    <row r="890" spans="1:2" x14ac:dyDescent="0.25">
      <c r="A890" s="11" t="s">
        <v>27</v>
      </c>
      <c r="B890" s="11" t="s">
        <v>27</v>
      </c>
    </row>
    <row r="891" spans="1:2" x14ac:dyDescent="0.25">
      <c r="A891" s="11" t="s">
        <v>27</v>
      </c>
      <c r="B891" s="11" t="s">
        <v>27</v>
      </c>
    </row>
    <row r="892" spans="1:2" x14ac:dyDescent="0.25">
      <c r="A892" s="11" t="s">
        <v>27</v>
      </c>
      <c r="B892" s="11" t="s">
        <v>27</v>
      </c>
    </row>
    <row r="893" spans="1:2" x14ac:dyDescent="0.25">
      <c r="A893" s="11" t="s">
        <v>27</v>
      </c>
      <c r="B893" s="11" t="s">
        <v>27</v>
      </c>
    </row>
    <row r="894" spans="1:2" x14ac:dyDescent="0.25">
      <c r="A894" s="11" t="s">
        <v>27</v>
      </c>
      <c r="B894" s="11" t="s">
        <v>27</v>
      </c>
    </row>
    <row r="895" spans="1:2" x14ac:dyDescent="0.25">
      <c r="A895" s="11" t="s">
        <v>27</v>
      </c>
      <c r="B895" s="11" t="s">
        <v>27</v>
      </c>
    </row>
    <row r="896" spans="1:2" x14ac:dyDescent="0.25">
      <c r="A896" s="11" t="s">
        <v>27</v>
      </c>
      <c r="B896" s="11" t="s">
        <v>27</v>
      </c>
    </row>
    <row r="897" spans="1:2" x14ac:dyDescent="0.25">
      <c r="A897" s="11" t="s">
        <v>27</v>
      </c>
      <c r="B897" s="11" t="s">
        <v>27</v>
      </c>
    </row>
    <row r="898" spans="1:2" x14ac:dyDescent="0.25">
      <c r="A898" s="11" t="s">
        <v>27</v>
      </c>
      <c r="B898" s="11" t="s">
        <v>27</v>
      </c>
    </row>
    <row r="899" spans="1:2" x14ac:dyDescent="0.25">
      <c r="A899" s="11" t="s">
        <v>27</v>
      </c>
      <c r="B899" s="11" t="s">
        <v>27</v>
      </c>
    </row>
    <row r="900" spans="1:2" x14ac:dyDescent="0.25">
      <c r="A900" s="11" t="s">
        <v>27</v>
      </c>
      <c r="B900" s="11" t="s">
        <v>27</v>
      </c>
    </row>
    <row r="901" spans="1:2" x14ac:dyDescent="0.25">
      <c r="A901" s="11" t="s">
        <v>27</v>
      </c>
      <c r="B901" s="11" t="s">
        <v>27</v>
      </c>
    </row>
    <row r="902" spans="1:2" x14ac:dyDescent="0.25">
      <c r="A902" s="11" t="s">
        <v>27</v>
      </c>
      <c r="B902" s="11" t="s">
        <v>27</v>
      </c>
    </row>
    <row r="903" spans="1:2" x14ac:dyDescent="0.25">
      <c r="A903" s="11" t="s">
        <v>27</v>
      </c>
      <c r="B903" s="11" t="s">
        <v>27</v>
      </c>
    </row>
    <row r="904" spans="1:2" x14ac:dyDescent="0.25">
      <c r="A904" s="11" t="s">
        <v>27</v>
      </c>
      <c r="B904" s="11" t="s">
        <v>27</v>
      </c>
    </row>
    <row r="905" spans="1:2" x14ac:dyDescent="0.25">
      <c r="A905" s="11" t="s">
        <v>27</v>
      </c>
      <c r="B905" s="11" t="s">
        <v>27</v>
      </c>
    </row>
    <row r="906" spans="1:2" x14ac:dyDescent="0.25">
      <c r="A906" s="11" t="s">
        <v>27</v>
      </c>
      <c r="B906" s="11" t="s">
        <v>27</v>
      </c>
    </row>
    <row r="907" spans="1:2" x14ac:dyDescent="0.25">
      <c r="A907" s="11" t="s">
        <v>27</v>
      </c>
      <c r="B907" s="11" t="s">
        <v>27</v>
      </c>
    </row>
    <row r="908" spans="1:2" x14ac:dyDescent="0.25">
      <c r="A908" s="11" t="s">
        <v>27</v>
      </c>
      <c r="B908" s="11" t="s">
        <v>27</v>
      </c>
    </row>
    <row r="909" spans="1:2" x14ac:dyDescent="0.25">
      <c r="A909" s="11" t="s">
        <v>27</v>
      </c>
      <c r="B909" s="11" t="s">
        <v>27</v>
      </c>
    </row>
    <row r="910" spans="1:2" x14ac:dyDescent="0.25">
      <c r="A910" s="11" t="s">
        <v>27</v>
      </c>
      <c r="B910" s="11" t="s">
        <v>27</v>
      </c>
    </row>
    <row r="911" spans="1:2" x14ac:dyDescent="0.25">
      <c r="A911" s="11" t="s">
        <v>27</v>
      </c>
      <c r="B911" s="11" t="s">
        <v>27</v>
      </c>
    </row>
    <row r="912" spans="1:2" x14ac:dyDescent="0.25">
      <c r="A912" s="11" t="s">
        <v>27</v>
      </c>
      <c r="B912" s="11" t="s">
        <v>27</v>
      </c>
    </row>
    <row r="913" spans="1:2" x14ac:dyDescent="0.25">
      <c r="A913" s="11" t="s">
        <v>27</v>
      </c>
      <c r="B913" s="11" t="s">
        <v>27</v>
      </c>
    </row>
    <row r="914" spans="1:2" x14ac:dyDescent="0.25">
      <c r="A914" s="11" t="s">
        <v>27</v>
      </c>
      <c r="B914" s="11" t="s">
        <v>27</v>
      </c>
    </row>
    <row r="915" spans="1:2" x14ac:dyDescent="0.25">
      <c r="A915" s="11" t="s">
        <v>27</v>
      </c>
      <c r="B915" s="11" t="s">
        <v>27</v>
      </c>
    </row>
    <row r="916" spans="1:2" x14ac:dyDescent="0.25">
      <c r="A916" s="11" t="s">
        <v>27</v>
      </c>
      <c r="B916" s="11" t="s">
        <v>27</v>
      </c>
    </row>
    <row r="917" spans="1:2" x14ac:dyDescent="0.25">
      <c r="A917" s="11" t="s">
        <v>27</v>
      </c>
      <c r="B917" s="11" t="s">
        <v>27</v>
      </c>
    </row>
    <row r="918" spans="1:2" x14ac:dyDescent="0.25">
      <c r="A918" s="11" t="s">
        <v>27</v>
      </c>
      <c r="B918" s="11" t="s">
        <v>27</v>
      </c>
    </row>
    <row r="919" spans="1:2" x14ac:dyDescent="0.25">
      <c r="A919" s="11" t="s">
        <v>27</v>
      </c>
      <c r="B919" s="11" t="s">
        <v>27</v>
      </c>
    </row>
    <row r="920" spans="1:2" x14ac:dyDescent="0.25">
      <c r="A920" s="11" t="s">
        <v>27</v>
      </c>
      <c r="B920" s="11" t="s">
        <v>27</v>
      </c>
    </row>
    <row r="921" spans="1:2" x14ac:dyDescent="0.25">
      <c r="A921" s="11" t="s">
        <v>27</v>
      </c>
      <c r="B921" s="11" t="s">
        <v>27</v>
      </c>
    </row>
    <row r="922" spans="1:2" x14ac:dyDescent="0.25">
      <c r="A922" s="11" t="s">
        <v>27</v>
      </c>
      <c r="B922" s="11" t="s">
        <v>27</v>
      </c>
    </row>
    <row r="923" spans="1:2" x14ac:dyDescent="0.25">
      <c r="A923" s="11" t="s">
        <v>27</v>
      </c>
      <c r="B923" s="11" t="s">
        <v>27</v>
      </c>
    </row>
    <row r="924" spans="1:2" x14ac:dyDescent="0.25">
      <c r="A924" s="11" t="s">
        <v>27</v>
      </c>
      <c r="B924" s="11" t="s">
        <v>27</v>
      </c>
    </row>
    <row r="925" spans="1:2" x14ac:dyDescent="0.25">
      <c r="A925" s="11" t="s">
        <v>27</v>
      </c>
      <c r="B925" s="11" t="s">
        <v>27</v>
      </c>
    </row>
    <row r="926" spans="1:2" x14ac:dyDescent="0.25">
      <c r="A926" s="11" t="s">
        <v>27</v>
      </c>
      <c r="B926" s="11" t="s">
        <v>27</v>
      </c>
    </row>
    <row r="927" spans="1:2" x14ac:dyDescent="0.25">
      <c r="A927" s="11" t="s">
        <v>27</v>
      </c>
      <c r="B927" s="11" t="s">
        <v>27</v>
      </c>
    </row>
    <row r="928" spans="1:2" x14ac:dyDescent="0.25">
      <c r="A928" s="11" t="s">
        <v>27</v>
      </c>
      <c r="B928" s="11" t="s">
        <v>27</v>
      </c>
    </row>
    <row r="929" spans="1:2" x14ac:dyDescent="0.25">
      <c r="A929" s="11" t="s">
        <v>27</v>
      </c>
      <c r="B929" s="11" t="s">
        <v>27</v>
      </c>
    </row>
    <row r="930" spans="1:2" x14ac:dyDescent="0.25">
      <c r="A930" s="11" t="s">
        <v>27</v>
      </c>
      <c r="B930" s="11" t="s">
        <v>27</v>
      </c>
    </row>
    <row r="931" spans="1:2" x14ac:dyDescent="0.25">
      <c r="A931" s="11" t="s">
        <v>27</v>
      </c>
      <c r="B931" s="11" t="s">
        <v>27</v>
      </c>
    </row>
    <row r="932" spans="1:2" x14ac:dyDescent="0.25">
      <c r="A932" s="11" t="s">
        <v>27</v>
      </c>
      <c r="B932" s="11" t="s">
        <v>27</v>
      </c>
    </row>
    <row r="933" spans="1:2" x14ac:dyDescent="0.25">
      <c r="A933" s="11" t="s">
        <v>27</v>
      </c>
      <c r="B933" s="11" t="s">
        <v>27</v>
      </c>
    </row>
    <row r="934" spans="1:2" x14ac:dyDescent="0.25">
      <c r="A934" s="11" t="s">
        <v>27</v>
      </c>
      <c r="B934" s="11" t="s">
        <v>27</v>
      </c>
    </row>
    <row r="935" spans="1:2" x14ac:dyDescent="0.25">
      <c r="A935" s="11" t="s">
        <v>27</v>
      </c>
      <c r="B935" s="11" t="s">
        <v>27</v>
      </c>
    </row>
    <row r="936" spans="1:2" x14ac:dyDescent="0.25">
      <c r="A936" s="11" t="s">
        <v>27</v>
      </c>
      <c r="B936" s="11" t="s">
        <v>27</v>
      </c>
    </row>
    <row r="937" spans="1:2" x14ac:dyDescent="0.25">
      <c r="A937" s="11" t="s">
        <v>27</v>
      </c>
      <c r="B937" s="11" t="s">
        <v>27</v>
      </c>
    </row>
    <row r="938" spans="1:2" x14ac:dyDescent="0.25">
      <c r="A938" s="11" t="s">
        <v>27</v>
      </c>
      <c r="B938" s="11" t="s">
        <v>27</v>
      </c>
    </row>
    <row r="939" spans="1:2" x14ac:dyDescent="0.25">
      <c r="A939" s="11" t="s">
        <v>27</v>
      </c>
      <c r="B939" s="11" t="s">
        <v>27</v>
      </c>
    </row>
    <row r="940" spans="1:2" x14ac:dyDescent="0.25">
      <c r="A940" s="11" t="s">
        <v>27</v>
      </c>
      <c r="B940" s="11" t="s">
        <v>27</v>
      </c>
    </row>
    <row r="941" spans="1:2" x14ac:dyDescent="0.25">
      <c r="A941" s="11" t="s">
        <v>27</v>
      </c>
      <c r="B941" s="11" t="s">
        <v>27</v>
      </c>
    </row>
    <row r="942" spans="1:2" x14ac:dyDescent="0.25">
      <c r="A942" s="11" t="s">
        <v>27</v>
      </c>
      <c r="B942" s="11" t="s">
        <v>27</v>
      </c>
    </row>
    <row r="943" spans="1:2" x14ac:dyDescent="0.25">
      <c r="A943" s="11" t="s">
        <v>27</v>
      </c>
      <c r="B943" s="11" t="s">
        <v>27</v>
      </c>
    </row>
    <row r="944" spans="1:2" x14ac:dyDescent="0.25">
      <c r="A944" s="11" t="s">
        <v>27</v>
      </c>
      <c r="B944" s="11" t="s">
        <v>27</v>
      </c>
    </row>
    <row r="945" spans="1:2" x14ac:dyDescent="0.25">
      <c r="A945" s="11" t="s">
        <v>27</v>
      </c>
      <c r="B945" s="11" t="s">
        <v>27</v>
      </c>
    </row>
    <row r="946" spans="1:2" x14ac:dyDescent="0.25">
      <c r="A946" s="11" t="s">
        <v>27</v>
      </c>
      <c r="B946" s="11" t="s">
        <v>27</v>
      </c>
    </row>
    <row r="947" spans="1:2" x14ac:dyDescent="0.25">
      <c r="A947" s="11" t="s">
        <v>27</v>
      </c>
      <c r="B947" s="11" t="s">
        <v>27</v>
      </c>
    </row>
    <row r="948" spans="1:2" x14ac:dyDescent="0.25">
      <c r="A948" s="11" t="s">
        <v>27</v>
      </c>
      <c r="B948" s="11" t="s">
        <v>27</v>
      </c>
    </row>
    <row r="949" spans="1:2" x14ac:dyDescent="0.25">
      <c r="A949" s="11" t="s">
        <v>27</v>
      </c>
      <c r="B949" s="11" t="s">
        <v>27</v>
      </c>
    </row>
    <row r="950" spans="1:2" x14ac:dyDescent="0.25">
      <c r="A950" s="11" t="s">
        <v>27</v>
      </c>
      <c r="B950" s="11" t="s">
        <v>27</v>
      </c>
    </row>
    <row r="951" spans="1:2" x14ac:dyDescent="0.25">
      <c r="A951" s="11" t="s">
        <v>27</v>
      </c>
      <c r="B951" s="11" t="s">
        <v>27</v>
      </c>
    </row>
    <row r="952" spans="1:2" x14ac:dyDescent="0.25">
      <c r="A952" s="11" t="s">
        <v>27</v>
      </c>
      <c r="B952" s="11" t="s">
        <v>27</v>
      </c>
    </row>
    <row r="953" spans="1:2" x14ac:dyDescent="0.25">
      <c r="A953" s="11" t="s">
        <v>27</v>
      </c>
      <c r="B953" s="11" t="s">
        <v>27</v>
      </c>
    </row>
    <row r="954" spans="1:2" x14ac:dyDescent="0.25">
      <c r="A954" s="11" t="s">
        <v>27</v>
      </c>
      <c r="B954" s="11" t="s">
        <v>27</v>
      </c>
    </row>
    <row r="955" spans="1:2" x14ac:dyDescent="0.25">
      <c r="A955" s="11" t="s">
        <v>27</v>
      </c>
      <c r="B955" s="11" t="s">
        <v>27</v>
      </c>
    </row>
    <row r="956" spans="1:2" x14ac:dyDescent="0.25">
      <c r="A956" s="11" t="s">
        <v>27</v>
      </c>
      <c r="B956" s="11" t="s">
        <v>27</v>
      </c>
    </row>
    <row r="957" spans="1:2" x14ac:dyDescent="0.25">
      <c r="A957" s="11" t="s">
        <v>27</v>
      </c>
      <c r="B957" s="11" t="s">
        <v>27</v>
      </c>
    </row>
    <row r="958" spans="1:2" x14ac:dyDescent="0.25">
      <c r="A958" s="11" t="s">
        <v>27</v>
      </c>
      <c r="B958" s="11" t="s">
        <v>27</v>
      </c>
    </row>
    <row r="959" spans="1:2" x14ac:dyDescent="0.25">
      <c r="A959" s="11" t="s">
        <v>27</v>
      </c>
      <c r="B959" s="11" t="s">
        <v>27</v>
      </c>
    </row>
    <row r="960" spans="1:2" x14ac:dyDescent="0.25">
      <c r="A960" s="11" t="s">
        <v>27</v>
      </c>
      <c r="B960" s="11" t="s">
        <v>27</v>
      </c>
    </row>
    <row r="961" spans="1:2" x14ac:dyDescent="0.25">
      <c r="A961" s="11" t="s">
        <v>27</v>
      </c>
      <c r="B961" s="11" t="s">
        <v>27</v>
      </c>
    </row>
    <row r="962" spans="1:2" x14ac:dyDescent="0.25">
      <c r="A962" s="11" t="s">
        <v>27</v>
      </c>
      <c r="B962" s="11" t="s">
        <v>27</v>
      </c>
    </row>
    <row r="963" spans="1:2" x14ac:dyDescent="0.25">
      <c r="A963" s="11" t="s">
        <v>27</v>
      </c>
      <c r="B963" s="11" t="s">
        <v>27</v>
      </c>
    </row>
    <row r="964" spans="1:2" x14ac:dyDescent="0.25">
      <c r="A964" s="11" t="s">
        <v>27</v>
      </c>
      <c r="B964" s="11" t="s">
        <v>27</v>
      </c>
    </row>
    <row r="965" spans="1:2" x14ac:dyDescent="0.25">
      <c r="A965" s="11" t="s">
        <v>27</v>
      </c>
      <c r="B965" s="11" t="s">
        <v>27</v>
      </c>
    </row>
    <row r="966" spans="1:2" x14ac:dyDescent="0.25">
      <c r="A966" s="11" t="s">
        <v>27</v>
      </c>
      <c r="B966" s="11" t="s">
        <v>27</v>
      </c>
    </row>
    <row r="967" spans="1:2" x14ac:dyDescent="0.25">
      <c r="A967" s="11" t="s">
        <v>27</v>
      </c>
      <c r="B967" s="11" t="s">
        <v>27</v>
      </c>
    </row>
    <row r="968" spans="1:2" x14ac:dyDescent="0.25">
      <c r="A968" s="11" t="s">
        <v>27</v>
      </c>
      <c r="B968" s="11" t="s">
        <v>27</v>
      </c>
    </row>
    <row r="969" spans="1:2" x14ac:dyDescent="0.25">
      <c r="A969" s="11" t="s">
        <v>27</v>
      </c>
      <c r="B969" s="11" t="s">
        <v>27</v>
      </c>
    </row>
    <row r="970" spans="1:2" x14ac:dyDescent="0.25">
      <c r="A970" s="11" t="s">
        <v>27</v>
      </c>
      <c r="B970" s="11" t="s">
        <v>27</v>
      </c>
    </row>
    <row r="971" spans="1:2" x14ac:dyDescent="0.25">
      <c r="A971" s="11" t="s">
        <v>27</v>
      </c>
      <c r="B971" s="11" t="s">
        <v>27</v>
      </c>
    </row>
    <row r="972" spans="1:2" x14ac:dyDescent="0.25">
      <c r="A972" s="11" t="s">
        <v>27</v>
      </c>
      <c r="B972" s="11" t="s">
        <v>27</v>
      </c>
    </row>
    <row r="973" spans="1:2" x14ac:dyDescent="0.25">
      <c r="A973" s="11" t="s">
        <v>27</v>
      </c>
      <c r="B973" s="11" t="s">
        <v>27</v>
      </c>
    </row>
    <row r="974" spans="1:2" x14ac:dyDescent="0.25">
      <c r="A974" s="11" t="s">
        <v>27</v>
      </c>
      <c r="B974" s="11" t="s">
        <v>27</v>
      </c>
    </row>
    <row r="975" spans="1:2" x14ac:dyDescent="0.25">
      <c r="A975" s="11" t="s">
        <v>27</v>
      </c>
      <c r="B975" s="11" t="s">
        <v>27</v>
      </c>
    </row>
    <row r="976" spans="1:2" x14ac:dyDescent="0.25">
      <c r="A976" s="11" t="s">
        <v>27</v>
      </c>
      <c r="B976" s="11" t="s">
        <v>27</v>
      </c>
    </row>
    <row r="977" spans="1:2" x14ac:dyDescent="0.25">
      <c r="A977" s="11" t="s">
        <v>27</v>
      </c>
      <c r="B977" s="11" t="s">
        <v>27</v>
      </c>
    </row>
    <row r="978" spans="1:2" x14ac:dyDescent="0.25">
      <c r="A978" s="11" t="s">
        <v>27</v>
      </c>
      <c r="B978" s="11" t="s">
        <v>27</v>
      </c>
    </row>
    <row r="979" spans="1:2" x14ac:dyDescent="0.25">
      <c r="A979" s="11" t="s">
        <v>27</v>
      </c>
      <c r="B979" s="11" t="s">
        <v>27</v>
      </c>
    </row>
    <row r="980" spans="1:2" x14ac:dyDescent="0.25">
      <c r="A980" s="11" t="s">
        <v>27</v>
      </c>
      <c r="B980" s="11" t="s">
        <v>27</v>
      </c>
    </row>
    <row r="981" spans="1:2" x14ac:dyDescent="0.25">
      <c r="A981" s="11" t="s">
        <v>27</v>
      </c>
      <c r="B981" s="11" t="s">
        <v>27</v>
      </c>
    </row>
    <row r="982" spans="1:2" x14ac:dyDescent="0.25">
      <c r="A982" s="11" t="s">
        <v>27</v>
      </c>
      <c r="B982" s="11" t="s">
        <v>27</v>
      </c>
    </row>
    <row r="983" spans="1:2" x14ac:dyDescent="0.25">
      <c r="A983" s="11" t="s">
        <v>27</v>
      </c>
      <c r="B983" s="11" t="s">
        <v>27</v>
      </c>
    </row>
    <row r="984" spans="1:2" x14ac:dyDescent="0.25">
      <c r="A984" s="11" t="s">
        <v>27</v>
      </c>
      <c r="B984" s="11" t="s">
        <v>27</v>
      </c>
    </row>
    <row r="985" spans="1:2" x14ac:dyDescent="0.25">
      <c r="A985" s="11" t="s">
        <v>27</v>
      </c>
      <c r="B985" s="11" t="s">
        <v>27</v>
      </c>
    </row>
    <row r="986" spans="1:2" x14ac:dyDescent="0.25">
      <c r="A986" s="11" t="s">
        <v>27</v>
      </c>
      <c r="B986" s="11" t="s">
        <v>27</v>
      </c>
    </row>
    <row r="987" spans="1:2" x14ac:dyDescent="0.25">
      <c r="A987" s="11" t="s">
        <v>27</v>
      </c>
      <c r="B987" s="11" t="s">
        <v>27</v>
      </c>
    </row>
    <row r="988" spans="1:2" x14ac:dyDescent="0.25">
      <c r="A988" s="11" t="s">
        <v>27</v>
      </c>
      <c r="B988" s="11" t="s">
        <v>27</v>
      </c>
    </row>
    <row r="989" spans="1:2" x14ac:dyDescent="0.25">
      <c r="A989" s="11" t="s">
        <v>27</v>
      </c>
      <c r="B989" s="11" t="s">
        <v>27</v>
      </c>
    </row>
    <row r="990" spans="1:2" x14ac:dyDescent="0.25">
      <c r="A990" s="11" t="s">
        <v>27</v>
      </c>
      <c r="B990" s="11" t="s">
        <v>27</v>
      </c>
    </row>
    <row r="991" spans="1:2" x14ac:dyDescent="0.25">
      <c r="A991" s="11" t="s">
        <v>27</v>
      </c>
      <c r="B991" s="11" t="s">
        <v>27</v>
      </c>
    </row>
    <row r="992" spans="1:2" x14ac:dyDescent="0.25">
      <c r="A992" s="11" t="s">
        <v>27</v>
      </c>
      <c r="B992" s="11" t="s">
        <v>27</v>
      </c>
    </row>
    <row r="993" spans="1:2" x14ac:dyDescent="0.25">
      <c r="A993" s="11" t="s">
        <v>27</v>
      </c>
      <c r="B993" s="11" t="s">
        <v>27</v>
      </c>
    </row>
    <row r="994" spans="1:2" x14ac:dyDescent="0.25">
      <c r="A994" s="11" t="s">
        <v>27</v>
      </c>
      <c r="B994" s="11" t="s">
        <v>27</v>
      </c>
    </row>
    <row r="995" spans="1:2" x14ac:dyDescent="0.25">
      <c r="A995" s="11" t="s">
        <v>27</v>
      </c>
      <c r="B995" s="11" t="s">
        <v>27</v>
      </c>
    </row>
    <row r="996" spans="1:2" x14ac:dyDescent="0.25">
      <c r="A996" s="11" t="s">
        <v>27</v>
      </c>
      <c r="B996" s="11" t="s">
        <v>27</v>
      </c>
    </row>
    <row r="997" spans="1:2" x14ac:dyDescent="0.25">
      <c r="A997" s="11" t="s">
        <v>27</v>
      </c>
      <c r="B997" s="11" t="s">
        <v>27</v>
      </c>
    </row>
    <row r="998" spans="1:2" x14ac:dyDescent="0.25">
      <c r="A998" s="11" t="s">
        <v>27</v>
      </c>
      <c r="B998" s="11" t="s">
        <v>27</v>
      </c>
    </row>
    <row r="999" spans="1:2" x14ac:dyDescent="0.25">
      <c r="A999" s="11" t="s">
        <v>27</v>
      </c>
      <c r="B999" s="11" t="s">
        <v>27</v>
      </c>
    </row>
    <row r="1000" spans="1:2" x14ac:dyDescent="0.25">
      <c r="A1000" s="11" t="s">
        <v>27</v>
      </c>
      <c r="B1000" s="11" t="s">
        <v>27</v>
      </c>
    </row>
    <row r="1001" spans="1:2" x14ac:dyDescent="0.25">
      <c r="A1001" s="11" t="s">
        <v>27</v>
      </c>
      <c r="B1001" s="11" t="s">
        <v>27</v>
      </c>
    </row>
    <row r="1002" spans="1:2" x14ac:dyDescent="0.25">
      <c r="A1002" s="11" t="s">
        <v>27</v>
      </c>
      <c r="B1002" s="11" t="s">
        <v>27</v>
      </c>
    </row>
    <row r="1003" spans="1:2" x14ac:dyDescent="0.25">
      <c r="A1003" s="11" t="s">
        <v>27</v>
      </c>
      <c r="B1003" s="11" t="s">
        <v>27</v>
      </c>
    </row>
    <row r="1004" spans="1:2" x14ac:dyDescent="0.25">
      <c r="A1004" s="11" t="s">
        <v>27</v>
      </c>
      <c r="B1004" s="11" t="s">
        <v>27</v>
      </c>
    </row>
    <row r="1005" spans="1:2" x14ac:dyDescent="0.25">
      <c r="A1005" s="11" t="s">
        <v>27</v>
      </c>
      <c r="B1005" s="11" t="s">
        <v>27</v>
      </c>
    </row>
    <row r="1006" spans="1:2" x14ac:dyDescent="0.25">
      <c r="A1006" s="11" t="s">
        <v>27</v>
      </c>
      <c r="B1006" s="11" t="s">
        <v>27</v>
      </c>
    </row>
    <row r="1007" spans="1:2" x14ac:dyDescent="0.25">
      <c r="A1007" s="11" t="s">
        <v>27</v>
      </c>
      <c r="B1007" s="11" t="s">
        <v>27</v>
      </c>
    </row>
    <row r="1008" spans="1:2" x14ac:dyDescent="0.25">
      <c r="A1008" s="11" t="s">
        <v>27</v>
      </c>
      <c r="B1008" s="11" t="s">
        <v>27</v>
      </c>
    </row>
  </sheetData>
  <mergeCells count="10">
    <mergeCell ref="AG49:AM49"/>
    <mergeCell ref="AN49:AT49"/>
    <mergeCell ref="AU49:BA49"/>
    <mergeCell ref="BB49:BH49"/>
    <mergeCell ref="A1:M1"/>
    <mergeCell ref="A2:M2"/>
    <mergeCell ref="A3:M3"/>
    <mergeCell ref="A4:M4"/>
    <mergeCell ref="A5:M5"/>
    <mergeCell ref="J24:M24"/>
  </mergeCells>
  <printOptions horizontalCentered="1" verticalCentered="1"/>
  <pageMargins left="0.84" right="0.34" top="0.25" bottom="0.6" header="0" footer="0"/>
  <pageSetup paperSize="9" scale="82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 moveWithCells="1">
              <from>
                <xdr:col>0</xdr:col>
                <xdr:colOff>114300</xdr:colOff>
                <xdr:row>0</xdr:row>
                <xdr:rowOff>66675</xdr:rowOff>
              </from>
              <to>
                <xdr:col>3</xdr:col>
                <xdr:colOff>123825</xdr:colOff>
                <xdr:row>2</xdr:row>
                <xdr:rowOff>180975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2</vt:i4>
      </vt:variant>
    </vt:vector>
  </HeadingPairs>
  <TitlesOfParts>
    <vt:vector size="5" baseType="lpstr">
      <vt:lpstr>X-KM</vt:lpstr>
      <vt:lpstr>DATAGİR</vt:lpstr>
      <vt:lpstr>SONUÇLAR</vt:lpstr>
      <vt:lpstr>DATAGİR!Yazdırma_Alanı</vt:lpstr>
      <vt:lpstr>SONUÇLAR!Yazdırma_Alanı</vt:lpstr>
    </vt:vector>
  </TitlesOfParts>
  <Company>SAMSUN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2020-01-10T22:34:29Z</cp:lastPrinted>
  <dcterms:created xsi:type="dcterms:W3CDTF">1998-09-15T10:48:45Z</dcterms:created>
  <dcterms:modified xsi:type="dcterms:W3CDTF">2025-12-22T10:59:49Z</dcterms:modified>
</cp:coreProperties>
</file>